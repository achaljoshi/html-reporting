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fig" sheetId="2" state="visible" r:id="rId4"/>
    <sheet name="Weekly_Snapshot" sheetId="3" state="visible" r:id="rId5"/>
    <sheet name="Topic_Progress" sheetId="4" state="visible" r:id="rId6"/>
    <sheet name="Defect_Log" sheetId="5" state="visible" r:id="rId7"/>
    <sheet name="TSR_Log" sheetId="6" state="visible" r:id="rId8"/>
    <sheet name="Milestones" sheetId="7" state="visible" r:id="rId9"/>
    <sheet name="Readiness" sheetId="8" state="visible" r:id="rId10"/>
    <sheet name="Commentary" sheetId="9" state="visible" r:id="rId11"/>
    <sheet name="Resourcing" sheetId="10" state="visible" r:id="rId12"/>
    <sheet name="Demand_Forecast" sheetId="11" state="visible" r:id="rId13"/>
    <sheet name="Lessons_Learned" sheetId="12" state="visible" r:id="rId14"/>
    <sheet name="Bank_Holidays" sheetId="13" state="visible" r:id="rId15"/>
    <sheet name="Lists" sheetId="14" state="visible" r:id="rId16"/>
  </sheets>
  <definedNames>
    <definedName function="false" hidden="true" localSheetId="12" name="_xlnm._FilterDatabase" vbProcedure="false">Bank_Holidays!$A$5:$B$60</definedName>
    <definedName function="false" hidden="false" localSheetId="8" name="_xlnm.Print_Titles" vbProcedure="false">Commentary!$5:$5</definedName>
    <definedName function="false" hidden="true" localSheetId="8" name="_xlnm._FilterDatabase" vbProcedure="false">Commentary!$A$5:$I$305</definedName>
    <definedName function="false" hidden="false" localSheetId="4" name="_xlnm.Print_Titles" vbProcedure="false">Defect_Log!$5:$5</definedName>
    <definedName function="false" hidden="true" localSheetId="4" name="_xlnm._FilterDatabase" vbProcedure="false">Defect_Log!$A$5:$P$305</definedName>
    <definedName function="false" hidden="false" localSheetId="10" name="_xlnm.Print_Titles" vbProcedure="false">Demand_Forecast!$5:$5</definedName>
    <definedName function="false" hidden="true" localSheetId="10" name="_xlnm._FilterDatabase" vbProcedure="false">Demand_Forecast!$A$5:$D$305</definedName>
    <definedName function="false" hidden="false" localSheetId="11" name="_xlnm.Print_Titles" vbProcedure="false">Lessons_Learned!$5:$5</definedName>
    <definedName function="false" hidden="true" localSheetId="11" name="_xlnm._FilterDatabase" vbProcedure="false">Lessons_Learned!$A$5:$G$305</definedName>
    <definedName function="false" hidden="false" localSheetId="6" name="_xlnm.Print_Titles" vbProcedure="false">Milestones!$5:$5</definedName>
    <definedName function="false" hidden="true" localSheetId="6" name="_xlnm._FilterDatabase" vbProcedure="false">Milestones!$A$5:$K$305</definedName>
    <definedName function="false" hidden="false" localSheetId="7" name="_xlnm.Print_Titles" vbProcedure="false">Readiness!$5:$5</definedName>
    <definedName function="false" hidden="true" localSheetId="7" name="_xlnm._FilterDatabase" vbProcedure="false">Readiness!$A$5:$R$305</definedName>
    <definedName function="false" hidden="false" localSheetId="9" name="_xlnm.Print_Titles" vbProcedure="false">Resourcing!$5:$5</definedName>
    <definedName function="false" hidden="true" localSheetId="9" name="_xlnm._FilterDatabase" vbProcedure="false">Resourcing!$A$5:$H$305</definedName>
    <definedName function="false" hidden="false" localSheetId="3" name="_xlnm.Print_Titles" vbProcedure="false">Topic_Progress!$5:$5</definedName>
    <definedName function="false" hidden="true" localSheetId="3" name="_xlnm._FilterDatabase" vbProcedure="false">Topic_Progress!$A$5:$M$305</definedName>
    <definedName function="false" hidden="false" localSheetId="5" name="_xlnm.Print_Titles" vbProcedure="false">TSR_Log!$5:$5</definedName>
    <definedName function="false" hidden="true" localSheetId="5" name="_xlnm._FilterDatabase" vbProcedure="false">TSR_Log!$A$5:$K$305</definedName>
    <definedName function="false" hidden="false" localSheetId="2" name="_xlnm.Print_Titles" vbProcedure="false">Weekly_Snapshot!$5:$5</definedName>
    <definedName function="false" hidden="true" localSheetId="2" name="_xlnm._FilterDatabase" vbProcedure="false">Weekly_Snapshot!$A$5:$AE$305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<sst xmlns="http://schemas.openxmlformats.org/spreadsheetml/2006/main" count="1001" uniqueCount="551">
  <si>
    <t xml:space="preserve">ATS Weekly Data – User Guide</t>
  </si>
  <si>
    <t xml:space="preserve">One workbook, filled once a week, feeds BOTH the Weekly Report and the Monthly Council dashboard.</t>
  </si>
  <si>
    <t xml:space="preserve">SAMPLE DATA – fictional illustrative history for this portfolio; replace before presenting</t>
  </si>
  <si>
    <t xml:space="preserve">Data Mode on the Config sheet = SAMPLE. The history in this file is made up so you can try the dashboard. Replace it with your own rows, then set Data Mode to LIVE.</t>
  </si>
  <si>
    <t xml:space="preserve">1.  The idea: fill once, weekly</t>
  </si>
  <si>
    <t xml:space="preserve">•  Every Friday you add ONE new row to Weekly_Snapshot and one row per active topic to Topic_Progress and Readiness; defects, TSRs and milestones are updated whenever they change. Nothing is ever overwritten: history is kept as dated rows.</t>
  </si>
  <si>
    <t xml:space="preserve">•  A WEEK is a slice (the latest Week Ending). A MONTH or QUARTER is a roll-up of the weeks in it (see section 4). That is how the same file feeds the Weekly Report and the Monthly Council.</t>
  </si>
  <si>
    <t xml:space="preserve">•  Yellow cells (blue text) are for you to type or pick from a dropdown. Grey cells are formulas – never type over them. Dates are real dates shown as yyyy-mm-dd; use Alt+Enter for a new line inside a text cell.</t>
  </si>
  <si>
    <t xml:space="preserve">•  Do not rename sheets, rename or reorder column headers, or insert columns: the dashboard finds columns by header text. Adding new rows below the last row is always safe (about 300 rows are pre-formatted on each data sheet).</t>
  </si>
  <si>
    <t xml:space="preserve">2.  What to update and when</t>
  </si>
  <si>
    <t xml:space="preserve">When</t>
  </si>
  <si>
    <t xml:space="preserve">Sheet</t>
  </si>
  <si>
    <t xml:space="preserve">What to do</t>
  </si>
  <si>
    <t xml:space="preserve">Rows</t>
  </si>
  <si>
    <t xml:space="preserve">Weekly (every Friday)</t>
  </si>
  <si>
    <t xml:space="preserve">Weekly_Snapshot</t>
  </si>
  <si>
    <t xml:space="preserve">Add 1 new row for the new Week Ending (a Friday). Enter cumulative-to-date counts, test days, downtime hours, FTE, spend and the Overall RAG + summary.</t>
  </si>
  <si>
    <t xml:space="preserve">1 per week</t>
  </si>
  <si>
    <t xml:space="preserve">Weekly</t>
  </si>
  <si>
    <t xml:space="preserve">Topic_Progress</t>
  </si>
  <si>
    <t xml:space="preserve">1 row per active topic: phase, test cases planned / designed, and cumulative passed, failed, blocked.</t>
  </si>
  <si>
    <t xml:space="preserve">1 per topic per week</t>
  </si>
  <si>
    <t xml:space="preserve">Defect_Log</t>
  </si>
  <si>
    <t xml:space="preserve">Add new defects; update Status, Resolved Date, TCs Blocked and Triage Comments on existing ones.</t>
  </si>
  <si>
    <t xml:space="preserve">As needed</t>
  </si>
  <si>
    <t xml:space="preserve">Readiness</t>
  </si>
  <si>
    <t xml:space="preserve">1 row per topic: planned SIT start, overall RAG, six readiness areas (RAG + note) and Road to Green.</t>
  </si>
  <si>
    <t xml:space="preserve">Weekly (optional)</t>
  </si>
  <si>
    <t xml:space="preserve">Commentary</t>
  </si>
  <si>
    <t xml:space="preserve">Narrative per KPI for the week: highlights, concern, actions, executive commentary; optional RAG / current-position override.</t>
  </si>
  <si>
    <t xml:space="preserve">0–16 per week</t>
  </si>
  <si>
    <t xml:space="preserve">As they happen</t>
  </si>
  <si>
    <t xml:space="preserve">TSR_Log</t>
  </si>
  <si>
    <t xml:space="preserve">Add a TSR when received; fill Returned Date when sent back and Hold Days for time pending clarification.</t>
  </si>
  <si>
    <t xml:space="preserve">1 per TSR</t>
  </si>
  <si>
    <t xml:space="preserve">Milestones</t>
  </si>
  <si>
    <t xml:space="preserve">Add each milestone once. Set Forecast Date if it slips and Completed Date when done.</t>
  </si>
  <si>
    <t xml:space="preserve">1 per milestone</t>
  </si>
  <si>
    <t xml:space="preserve">Raise a defect the day it is logged; set Resolved Date when fix + confirmation test is complete (or on rejection).</t>
  </si>
  <si>
    <t xml:space="preserve">1 per defect</t>
  </si>
  <si>
    <t xml:space="preserve">Monthly / Quarterly</t>
  </si>
  <si>
    <t xml:space="preserve">Weekly_Snapshot (CSAT columns)</t>
  </si>
  <si>
    <t xml:space="preserve">Enter the CSAT score and number of responses only in the week a survey result is received; otherwise leave blank (= 'Not Requested').</t>
  </si>
  <si>
    <t xml:space="preserve">Occasional</t>
  </si>
  <si>
    <t xml:space="preserve">Demand_Forecast</t>
  </si>
  <si>
    <t xml:space="preserve">Refresh planned vs available FTE for the coming months.</t>
  </si>
  <si>
    <t xml:space="preserve">1 per month</t>
  </si>
  <si>
    <t xml:space="preserve">Lessons_Learned</t>
  </si>
  <si>
    <t xml:space="preserve">Record lessons and improvement actions; update Status when actioned.</t>
  </si>
  <si>
    <t xml:space="preserve">Resourcing</t>
  </si>
  <si>
    <t xml:space="preserve">Update when people join, change allocation or leave.</t>
  </si>
  <si>
    <t xml:space="preserve">Yearly / rarely</t>
  </si>
  <si>
    <t xml:space="preserve">Bank_Holidays, Config, Lists</t>
  </si>
  <si>
    <t xml:space="preserve">Extend bank holidays each year; change RAG thresholds or add dropdown values (Lists) only when the rules change.</t>
  </si>
  <si>
    <t xml:space="preserve">Rare</t>
  </si>
  <si>
    <t xml:space="preserve">3.  Colour legend</t>
  </si>
  <si>
    <t xml:space="preserve">Sample</t>
  </si>
  <si>
    <t xml:space="preserve">Input cell (yellow, blue)</t>
  </si>
  <si>
    <t xml:space="preserve">Type here or pick from the dropdown.</t>
  </si>
  <si>
    <t xml:space="preserve">Calculated cell (grey)</t>
  </si>
  <si>
    <t xml:space="preserve">Formula – never type over it.</t>
  </si>
  <si>
    <t xml:space="preserve">EXAMPLE row (grey italic)</t>
  </si>
  <si>
    <t xml:space="preserve">Delete it; the dashboard ignores rows whose Notes start with EXAMPLE.</t>
  </si>
  <si>
    <t xml:space="preserve">Green</t>
  </si>
  <si>
    <t xml:space="preserve">On track / within target.</t>
  </si>
  <si>
    <t xml:space="preserve">Amber</t>
  </si>
  <si>
    <t xml:space="preserve">At risk / watch closely.</t>
  </si>
  <si>
    <t xml:space="preserve">Red</t>
  </si>
  <si>
    <t xml:space="preserve">Off track / action needed.</t>
  </si>
  <si>
    <t xml:space="preserve">4.  Flow vs cumulative: how weeks roll up into a month or quarter</t>
  </si>
  <si>
    <t xml:space="preserve">Type</t>
  </si>
  <si>
    <t xml:space="preserve">Measures</t>
  </si>
  <si>
    <t xml:space="preserve">Roll-up rule</t>
  </si>
  <si>
    <t xml:space="preserve">Why</t>
  </si>
  <si>
    <t xml:space="preserve">FLOW measures</t>
  </si>
  <si>
    <t xml:space="preserve">Planned Test Days, Downtime Hours</t>
  </si>
  <si>
    <t xml:space="preserve">SUM over the weeks in the period.</t>
  </si>
  <si>
    <t xml:space="preserve">Each week records only what happened that week.</t>
  </si>
  <si>
    <t xml:space="preserve">CUMULATIVE / snapshot measures</t>
  </si>
  <si>
    <t xml:space="preserve">Coverage, automation, test execution (passed / failed / blocked, designed), resources, cumulative spend, forecast at completion</t>
  </si>
  <si>
    <t xml:space="preserve">Take the LATEST week in the period.</t>
  </si>
  <si>
    <t xml:space="preserve">Each week records the running total to date, so the last week already contains everything before it.</t>
  </si>
  <si>
    <t xml:space="preserve">Example: September availability = 1 − (sum of September downtime hours) ÷ (sum of September planned test days × hours per test day). Coverage for September = the value in the last September week.</t>
  </si>
  <si>
    <t xml:space="preserve">5.  RAG rules the dashboard applies (thresholds live on the Config sheet)</t>
  </si>
  <si>
    <t xml:space="preserve">KPI</t>
  </si>
  <si>
    <t xml:space="preserve">Rule</t>
  </si>
  <si>
    <t xml:space="preserve">Source</t>
  </si>
  <si>
    <t xml:space="preserve">Risk Based Coverage</t>
  </si>
  <si>
    <t xml:space="preserve">Per risk level: coverage = Covered ÷ Requirements; Green ≥ target, Amber ≥ target − tolerance, else Red. Overall = worst of High and Medium.</t>
  </si>
  <si>
    <t xml:space="preserve">ATS KPI Data Collation – M.Coverage (3.9)</t>
  </si>
  <si>
    <t xml:space="preserve">Production Defect Leakage (quarterly)</t>
  </si>
  <si>
    <t xml:space="preserve">Defects with Found In = Production in the quarter to date. Red if P1 ≥ 1 or P2 ≥ 5 or P3 ≥ 6; Amber if P2 in 1–4 or P3 in 1–5; else Green. 'Not in Production' while Go-Live is blank.</t>
  </si>
  <si>
    <t xml:space="preserve">Q.Defects (3.1)</t>
  </si>
  <si>
    <t xml:space="preserve">Defect Detection Effectiveness</t>
  </si>
  <si>
    <t xml:space="preserve">DDE = Testing-found ÷ (Testing-found + Production-found). Also raised / rejected by priority; rejection % Green ≤ 5%, Amber ≤ 10%, else Red.</t>
  </si>
  <si>
    <t xml:space="preserve">M.Defects (3.2)</t>
  </si>
  <si>
    <t xml:space="preserve">Defect Aging</t>
  </si>
  <si>
    <t xml:space="preserve">Working-day aging buckets; SLA compliance = share resolved within SLA days; Green ≥ 80%, Amber ≥ 60%, else Red.</t>
  </si>
  <si>
    <t xml:space="preserve">M.Defect Turnaround (4.11); thresholds are an ASSUMPTION</t>
  </si>
  <si>
    <t xml:space="preserve">Automation Coverage (quarterly)</t>
  </si>
  <si>
    <t xml:space="preserve">Green if ≥ target (95%) or improved vs the previous period, else Amber.</t>
  </si>
  <si>
    <t xml:space="preserve">Q.Automation (4.5)</t>
  </si>
  <si>
    <t xml:space="preserve">Milestone Delivery</t>
  </si>
  <si>
    <t xml:space="preserve">Per milestone: completed on time = Green, completed late = Red; open and past due = Red; due within 5 days = Amber; else Green. Overall Red if any Red; Amber if share of Amber &gt; 20%; else Green.</t>
  </si>
  <si>
    <t xml:space="preserve">M.Test Milestone Delays (4.15)</t>
  </si>
  <si>
    <t xml:space="preserve">Environment Availability</t>
  </si>
  <si>
    <t xml:space="preserve">Downtime hours: monthly Green ≤ 24, Amber ≤ 48, else Red; weekly thresholds are set on Config.</t>
  </si>
  <si>
    <t xml:space="preserve">M.Downtime (4.14); weekly thresholds are an ASSUMPTION</t>
  </si>
  <si>
    <t xml:space="preserve">TSR Impact Assessment</t>
  </si>
  <si>
    <t xml:space="preserve">Red if any TSR working days &gt; SLA (10), else Green.</t>
  </si>
  <si>
    <t xml:space="preserve">M.TSR Assessment (3.5)</t>
  </si>
  <si>
    <t xml:space="preserve">Customer Satisfaction (quarterly)</t>
  </si>
  <si>
    <t xml:space="preserve">Green if score ≥ pass mark and not declining; Red if &lt; pass mark and not improving; else Amber. 'Not Requested' if blank.</t>
  </si>
  <si>
    <t xml:space="preserve">Q.Satisfaction (3.3)</t>
  </si>
  <si>
    <t xml:space="preserve">Resource Position</t>
  </si>
  <si>
    <t xml:space="preserve">Actual ÷ Planned: Green ≥ 100%, Amber ≥ 90%, else Red.</t>
  </si>
  <si>
    <t xml:space="preserve">ASSUMPTION</t>
  </si>
  <si>
    <t xml:space="preserve">Demand Forecast</t>
  </si>
  <si>
    <t xml:space="preserve">Planned FTE vs Available FTE for the next 3 months: Green if available ≥ planned; Amber if gap ≤ 1 FTE; else Red.</t>
  </si>
  <si>
    <t xml:space="preserve">Commercial Performance</t>
  </si>
  <si>
    <t xml:space="preserve">Forecast vs Budget: Green ≤ budget; Amber ≤ budget + 5%; else Red.</t>
  </si>
  <si>
    <t xml:space="preserve">RAID Health</t>
  </si>
  <si>
    <t xml:space="preserve">Red if any open risk/issue is rated Very High (score ≥ 20); Amber if any High (15–19); else Green.</t>
  </si>
  <si>
    <t xml:space="preserve">ASSUMPTION (from the Test RAID Log)</t>
  </si>
  <si>
    <t xml:space="preserve">Test Execution Progress</t>
  </si>
  <si>
    <t xml:space="preserve">Blocked ÷ planned TCs: Green ≤ 5%, Amber ≤ 20%, else Red.</t>
  </si>
  <si>
    <t xml:space="preserve">SIT Readiness</t>
  </si>
  <si>
    <t xml:space="preserve">Worst latest overall RAG across topics in Readiness (from your weekly rows).</t>
  </si>
  <si>
    <t xml:space="preserve">Derived from the Readiness sheet</t>
  </si>
  <si>
    <t xml:space="preserve">6.  The EXAMPLE-row rule</t>
  </si>
  <si>
    <t xml:space="preserve">•  Every data sheet (except Bank_Holidays and Lists) has a Notes column as its LAST column. Rows whose Notes start with the word EXAMPLE are ignored by the dashboard.</t>
  </si>
  <si>
    <t xml:space="preserve">•  The blank template ships with one grey italic EXAMPLE row on each data sheet (Notes = “EXAMPLE – delete this row”). Overwrite or delete it when you add your first real row. If you forget, nothing breaks – it is simply skipped.</t>
  </si>
  <si>
    <t xml:space="preserve">•  The SAMPLE workbook has no example rows: its rows are made-up history made up for this portfolio.</t>
  </si>
  <si>
    <t xml:space="preserve">7.  How to load into the dashboard</t>
  </si>
  <si>
    <t xml:space="preserve">•  Save this file as ATS_Weekly_Data.xlsx (see section 8 for the portfolio folder layout). Keep the RAID log in its own existing file (ATS - Test RAID Log.xlsx format) and the plan in ATS_POAP.xlsx.</t>
  </si>
  <si>
    <t xml:space="preserve">•  Put all three files in the SAME folder.</t>
  </si>
  <si>
    <t xml:space="preserve">•  Open the dashboard and choose that folder in the load step; it reads the three workbooks offline and builds the Weekly Report and Monthly Council views.</t>
  </si>
  <si>
    <t xml:space="preserve">•  Weekly routine: open the file on Friday, add your rows, save, reload the folder in the dashboard. Check Config &gt; Data Mode says LIVE before presenting.</t>
  </si>
  <si>
    <t xml:space="preserve">8.  Many portfolios, one design</t>
  </si>
  <si>
    <t xml:space="preserve">•  This workbook design is the same for EVERY portfolio. Each portfolio keeps its OWN copy: copy the template, set Portfolio Name (and Programme) on the Config sheet, then fill it weekly. Portfolio Name must be unique across portfolios.</t>
  </si>
  <si>
    <t xml:space="preserve">•  Recommended folder layout: ATS_Program/&lt;Portfolio Name&gt;/ATS_Weekly_Data.xlsx, with that portfolio's ATS_POAP.xlsx and RAID log in the same subfolder.</t>
  </si>
  <si>
    <t xml:space="preserve">•  Alternative: one flat folder with files named  ATS_Weekly_Data - &lt;Portfolio Name&gt;.xlsx.</t>
  </si>
  <si>
    <t xml:space="preserve">•  In the dashboard: use Load program folder once and a portfolio dropdown appears. The Programme Overview compares all portfolios; Monthly Council, Weekly Report and POAP show the selected portfolio.</t>
  </si>
  <si>
    <t xml:space="preserve">•  A portfolio without a POAP or RAID file simply does not show those pages.</t>
  </si>
  <si>
    <t xml:space="preserve">Config – programme details, thresholds and rules</t>
  </si>
  <si>
    <t xml:space="preserve">Keys in column A are read by the dashboard (text must not change); edit only the yellow values in column B.</t>
  </si>
  <si>
    <t xml:space="preserve">Setting</t>
  </si>
  <si>
    <t xml:space="preserve">Value</t>
  </si>
  <si>
    <t xml:space="preserve">Description / assumption</t>
  </si>
  <si>
    <t xml:space="preserve">Program Name</t>
  </si>
  <si>
    <t xml:space="preserve">HMRC ATS – Self Assessment</t>
  </si>
  <si>
    <t xml:space="preserve">Shown in dashboard headers. SAMPLE – fictional value.</t>
  </si>
  <si>
    <t xml:space="preserve">Project / Phase</t>
  </si>
  <si>
    <t xml:space="preserve">Phase 1</t>
  </si>
  <si>
    <t xml:space="preserve">SAMPLE – fictional value for this portfolio.</t>
  </si>
  <si>
    <t xml:space="preserve">TSR Reference</t>
  </si>
  <si>
    <t xml:space="preserve">TSR_PR021877-REQ031204</t>
  </si>
  <si>
    <t xml:space="preserve">The portfolio's own TSR (QA activities and resource estimation). SAMPLE – dummy reference.</t>
  </si>
  <si>
    <t xml:space="preserve">Programme Test Manager</t>
  </si>
  <si>
    <t xml:space="preserve">TBC</t>
  </si>
  <si>
    <t xml:space="preserve">SAMPLE – name left as TBC.</t>
  </si>
  <si>
    <t xml:space="preserve">Test Manager</t>
  </si>
  <si>
    <t xml:space="preserve">Programme Start Date</t>
  </si>
  <si>
    <t xml:space="preserve">SAMPLE – fictional date.</t>
  </si>
  <si>
    <t xml:space="preserve">Programme End Date</t>
  </si>
  <si>
    <t xml:space="preserve">Programme end date as supplied by the test-delivery lead.</t>
  </si>
  <si>
    <t xml:space="preserve">Total Budget (£)</t>
  </si>
  <si>
    <t xml:space="preserve">SAMPLE – fictional budget scaled to the portfolio's size.</t>
  </si>
  <si>
    <t xml:space="preserve">Production Go-Live Date</t>
  </si>
  <si>
    <t xml:space="preserve">Leave BLANK until the solution is live in production. Blank = 'Not in Production' (Production Defect Leakage is not scored).</t>
  </si>
  <si>
    <t xml:space="preserve">Data Mode</t>
  </si>
  <si>
    <t xml:space="preserve">SAMPLE</t>
  </si>
  <si>
    <t xml:space="preserve">SAMPLE DATA – fictional illustrative history for this portfolio; replace before presenting. SAMPLE = seeded demo data; LIVE = real data. The dashboard shows a SAMPLE badge when this says SAMPLE. Change to LIVE once you replace the sample rows with real ones.</t>
  </si>
  <si>
    <t xml:space="preserve">Hours per Test Day</t>
  </si>
  <si>
    <t xml:space="preserve">Source: ATS KPI Data Collation – M.Downtime (4.14): Required Hours = test days x 8.</t>
  </si>
  <si>
    <t xml:space="preserve">TSR SLA – Max Working Days</t>
  </si>
  <si>
    <t xml:space="preserve">Source: ATS KPI Data Collation – M.TSR Assessment (3.5): Red if any TSR working days &gt; 10.</t>
  </si>
  <si>
    <t xml:space="preserve">Defect Turnaround SLA – Working Days</t>
  </si>
  <si>
    <t xml:space="preserve">Source: M.Defect Turnaround (4.11) ageing buckets (0-2, 3-5, 6-10, &gt;10 days). ASSUMPTION: not defined in the source KPI workbook; 5 working days is used as the SLA.</t>
  </si>
  <si>
    <t xml:space="preserve">Defect Turnaround – Green if SLA compliance &gt;=</t>
  </si>
  <si>
    <t xml:space="preserve">ASSUMPTION – not defined in the source KPI workbook; turnaround RAG thresholds (share of defects resolved within SLA).</t>
  </si>
  <si>
    <t xml:space="preserve">Defect Turnaround – Amber if SLA compliance &gt;=</t>
  </si>
  <si>
    <t xml:space="preserve">Defect Rejection – Green if &lt;=</t>
  </si>
  <si>
    <t xml:space="preserve">Source: ATS KPI Data Collation – M.Defects (3.2): Green if rejection &lt;= 5%.</t>
  </si>
  <si>
    <t xml:space="preserve">Defect Rejection – Amber if &lt;=</t>
  </si>
  <si>
    <t xml:space="preserve">Source: ATS KPI Data Collation – M.Defects (3.2): Amber if rejection &lt;= 10%, else Red.</t>
  </si>
  <si>
    <t xml:space="preserve">Downtime (monthly) – Green if hours &lt;=</t>
  </si>
  <si>
    <t xml:space="preserve">Source: ATS KPI Data Collation – M.Downtime (4.14).</t>
  </si>
  <si>
    <t xml:space="preserve">Downtime (monthly) – Amber if hours &lt;=</t>
  </si>
  <si>
    <t xml:space="preserve">Source: ATS KPI Data Collation – M.Downtime (4.14); above this = Red.</t>
  </si>
  <si>
    <t xml:space="preserve">Downtime (weekly) – Green if hours &lt;=</t>
  </si>
  <si>
    <t xml:space="preserve">ASSUMPTION – not defined in the source KPI workbook; weekly downtime thresholds (monthly thresholds scaled to a week).</t>
  </si>
  <si>
    <t xml:space="preserve">Downtime (weekly) – Amber if hours &lt;=</t>
  </si>
  <si>
    <t xml:space="preserve">ASSUMPTION – not defined in the source KPI workbook; weekly downtime thresholds; above this = Red.</t>
  </si>
  <si>
    <t xml:space="preserve">Coverage Target – High Risk</t>
  </si>
  <si>
    <t xml:space="preserve">Source: ATS KPI Data Collation – M.Coverage (3.9).</t>
  </si>
  <si>
    <t xml:space="preserve">Coverage Target – Medium Risk</t>
  </si>
  <si>
    <t xml:space="preserve">Coverage Target – Low Risk</t>
  </si>
  <si>
    <t xml:space="preserve">Source: ATS KPI Data Collation – M.Coverage (3.9) (no target for Low risk).</t>
  </si>
  <si>
    <t xml:space="preserve">Coverage – Amber tolerance (points)</t>
  </si>
  <si>
    <t xml:space="preserve">Source: M.Coverage (3.9): Amber if within 2 points below target (H &gt;= -2%).</t>
  </si>
  <si>
    <t xml:space="preserve">Milestone – Amber window (days before due)</t>
  </si>
  <si>
    <t xml:space="preserve">Source: ATS KPI Data Collation – M.Test Milestone Delays (4.15): Amber if due within 5 days.</t>
  </si>
  <si>
    <t xml:space="preserve">Milestone – Amber if share of Amber &gt;</t>
  </si>
  <si>
    <t xml:space="preserve">Source: M.Test Milestone Delays (4.15): overall Amber if more than 20% of milestones are Amber (Red if any Red).</t>
  </si>
  <si>
    <t xml:space="preserve">Automation Target</t>
  </si>
  <si>
    <t xml:space="preserve">Source: ATS KPI Data Collation – Q.Automation (4.5): Green if &gt;= 95% or improved vs previous.</t>
  </si>
  <si>
    <t xml:space="preserve">CSAT Pass Mark (1-5 score)</t>
  </si>
  <si>
    <t xml:space="preserve">Source: ATS KPI Data Collation – Q.Satisfaction (3.3): pass mark 3.</t>
  </si>
  <si>
    <t xml:space="preserve">Resource – Amber if actual &gt;= (share of plan)</t>
  </si>
  <si>
    <t xml:space="preserve">ASSUMPTION – not defined in the source KPI workbook; resource RAG: Green &gt;= 100% of plan, Amber &gt;= this share, else Red.</t>
  </si>
  <si>
    <t xml:space="preserve">Execution – Amber if blocked share of planned &gt;</t>
  </si>
  <si>
    <t xml:space="preserve">ASSUMPTION – not defined in the source KPI workbook; the dashboard flags test execution RAG from blocked ÷ planned test cases.</t>
  </si>
  <si>
    <t xml:space="preserve">Execution – Red if blocked share of planned &gt;</t>
  </si>
  <si>
    <t xml:space="preserve">Commercial – Amber if forecast &lt;= budget + (share)</t>
  </si>
  <si>
    <t xml:space="preserve">ASSUMPTION – not defined in the source KPI workbook; commercial RAG: Green &lt;= budget, Amber &lt;= budget + this share, else Red.</t>
  </si>
  <si>
    <t xml:space="preserve">Portfolio Name</t>
  </si>
  <si>
    <t xml:space="preserve">Self Assessment</t>
  </si>
  <si>
    <t xml:space="preserve">The name this portfolio is shown under in the dashboard's portfolio dropdown and cross-portfolio overview. Must be unique across portfolios.</t>
  </si>
  <si>
    <t xml:space="preserve">Programme</t>
  </si>
  <si>
    <t xml:space="preserve">HMRC ATS</t>
  </si>
  <si>
    <t xml:space="preserve">Groups portfolios under one programme heading.</t>
  </si>
  <si>
    <t xml:space="preserve">Weekly_Snapshot   [SAMPLE DATA – illustrative]</t>
  </si>
  <si>
    <t xml:space="preserve">One row per week: environment, coverage, automation, satisfaction, resourcing &amp; commercials and the overall RAG. Coverage / automation / resources / spend are CUMULATIVE to date.</t>
  </si>
  <si>
    <t xml:space="preserve">HOW TO FILL: add ONE new row each Friday (new Week Ending). Yellow = type; grey = formula. Leave CSAT blank unless a score was collected that week.</t>
  </si>
  <si>
    <t xml:space="preserve">WEEK</t>
  </si>
  <si>
    <t xml:space="preserve">ENVIRONMENT</t>
  </si>
  <si>
    <t xml:space="preserve">COVERAGE</t>
  </si>
  <si>
    <t xml:space="preserve">AUTOMATION</t>
  </si>
  <si>
    <t xml:space="preserve">SATISFACTION</t>
  </si>
  <si>
    <t xml:space="preserve">RESOURCING &amp; COMMERCIALS</t>
  </si>
  <si>
    <t xml:space="preserve">OVERALL</t>
  </si>
  <si>
    <t xml:space="preserve">Week Ending</t>
  </si>
  <si>
    <t xml:space="preserve">Planned Test Days</t>
  </si>
  <si>
    <t xml:space="preserve">Downtime Hours</t>
  </si>
  <si>
    <t xml:space="preserve">Availability %</t>
  </si>
  <si>
    <t xml:space="preserve">High Risk – Requirements</t>
  </si>
  <si>
    <t xml:space="preserve">High Risk – Test Cases</t>
  </si>
  <si>
    <t xml:space="preserve">High Risk – Covered Reqs</t>
  </si>
  <si>
    <t xml:space="preserve">High Risk – Coverage %</t>
  </si>
  <si>
    <t xml:space="preserve">Medium Risk – Requirements</t>
  </si>
  <si>
    <t xml:space="preserve">Medium Risk – Test Cases</t>
  </si>
  <si>
    <t xml:space="preserve">Medium Risk – Covered Reqs</t>
  </si>
  <si>
    <t xml:space="preserve">Medium Risk – Coverage %</t>
  </si>
  <si>
    <t xml:space="preserve">Low Risk – Requirements</t>
  </si>
  <si>
    <t xml:space="preserve">Low Risk – Test Cases</t>
  </si>
  <si>
    <t xml:space="preserve">Low Risk – Covered Reqs</t>
  </si>
  <si>
    <t xml:space="preserve">Low Risk – Coverage %</t>
  </si>
  <si>
    <t xml:space="preserve">Automatable Test Data Setups</t>
  </si>
  <si>
    <t xml:space="preserve">Automated Test Data Setups</t>
  </si>
  <si>
    <t xml:space="preserve">Test Data Automation %</t>
  </si>
  <si>
    <t xml:space="preserve">Automatable Test Cases</t>
  </si>
  <si>
    <t xml:space="preserve">Automated Test Cases</t>
  </si>
  <si>
    <t xml:space="preserve">Test Case Automation %</t>
  </si>
  <si>
    <t xml:space="preserve">CSAT Score (1-5)</t>
  </si>
  <si>
    <t xml:space="preserve">CSAT Responses</t>
  </si>
  <si>
    <t xml:space="preserve">Resources Planned (FTE)</t>
  </si>
  <si>
    <t xml:space="preserve">Resources Actual (FTE)</t>
  </si>
  <si>
    <t xml:space="preserve">Cumulative Spend (£)</t>
  </si>
  <si>
    <t xml:space="preserve">Forecast at Completion (£)</t>
  </si>
  <si>
    <t xml:space="preserve">Overall RAG</t>
  </si>
  <si>
    <t xml:space="preserve">Overall Executive Summary</t>
  </si>
  <si>
    <t xml:space="preserve">Notes</t>
  </si>
  <si>
    <t xml:space="preserve">Portfolio mobilised for the autumn releases; test approach re-baselined and Release 1 design under way. Cumulative execution: 0 of 420 test cases (0%); 0 blocked; 0 open defects.</t>
  </si>
  <si>
    <t xml:space="preserve">Release 1 test design progressing; requirements walk-throughs complete. Cumulative execution: 0 of 420 test cases (0%); 0 blocked; 0 open defects.</t>
  </si>
  <si>
    <t xml:space="preserve">Release 2 design started; test data set-up scripted. Cumulative execution: 0 of 420 test cases (0%); 0 blocked; 0 open defects.</t>
  </si>
  <si>
    <t xml:space="preserve">Smoke scripts ready and entry criteria agreed. Cumulative execution: 0 of 420 test cases (0%); 0 blocked; 0 open defects.</t>
  </si>
  <si>
    <t xml:space="preserve">Smoke testing complete; SIT execution started for Release 1. First defect fixed within 2 days. Cumulative execution: 13 of 420 test cases (3%); 0 blocked; 0 open defects.</t>
  </si>
  <si>
    <t xml:space="preserve">SIT execution progressing; one team member on leave, no schedule impact. Cumulative execution: 26 of 420 test cases (6%); 0 blocked; 0 open defects.</t>
  </si>
  <si>
    <t xml:space="preserve">One FTE on leave this week.</t>
  </si>
  <si>
    <t xml:space="preserve">Release 2 moved into execution; defects triaged and closed quickly. Cumulative execution: 51 of 420 test cases (12%); 0 blocked; 0 open defects.</t>
  </si>
  <si>
    <t xml:space="preserve">SIT on plan; test data automation passes the 50% mark. Cumulative execution: 75 of 420 test cases (18%); 0 blocked; 0 open defects.</t>
  </si>
  <si>
    <t xml:space="preserve">Release 3 test design progressing; Digital Filing design started. Cumulative execution: 99 of 420 test cases (24%); 1 blocked; 1 open defect.</t>
  </si>
  <si>
    <t xml:space="preserve">Execution tracking to plan; all defects closed within SLA. Cumulative execution: 132 of 420 test cases (31%); 0 blocked; 0 open defects.</t>
  </si>
  <si>
    <t xml:space="preserve">No new defects; coverage of High and Medium risk requirements at or above target. Cumulative execution: 165 of 420 test cases (39%); 0 blocked; 0 open defects.</t>
  </si>
  <si>
    <t xml:space="preserve">No new defects raised.</t>
  </si>
  <si>
    <t xml:space="preserve">Release 2 execution passes the halfway mark; environment stable. Cumulative execution: 199 of 420 test cases (47%); 0 blocked; 0 open defects.</t>
  </si>
  <si>
    <t xml:space="preserve">Portfolio remains Green: execution on plan, one low-priority defect in triage, spend and forecast aligned to budget. Cumulative execution: 232 of 420 test cases (55%); 3 blocked; 1 open defect.</t>
  </si>
  <si>
    <t xml:space="preserve">Topic_Progress   [SAMPLE DATA – illustrative]</t>
  </si>
  <si>
    <t xml:space="preserve">One row per topic per week. All counts are CUMULATIVE to date at that Week Ending.</t>
  </si>
  <si>
    <t xml:space="preserve">HOW TO FILL: each Friday add one row for every active topic; pick Topic and Phase from the dropdowns. Executed and % columns calculate themselves.</t>
  </si>
  <si>
    <t xml:space="preserve">Topic</t>
  </si>
  <si>
    <t xml:space="preserve">Phase</t>
  </si>
  <si>
    <t xml:space="preserve">TCs Planned</t>
  </si>
  <si>
    <t xml:space="preserve">TCs Designed</t>
  </si>
  <si>
    <t xml:space="preserve">Passed</t>
  </si>
  <si>
    <t xml:space="preserve">Failed</t>
  </si>
  <si>
    <t xml:space="preserve">Blocked</t>
  </si>
  <si>
    <t xml:space="preserve">Executed</t>
  </si>
  <si>
    <t xml:space="preserve">% Executed</t>
  </si>
  <si>
    <t xml:space="preserve">% Designed</t>
  </si>
  <si>
    <t xml:space="preserve">Comments</t>
  </si>
  <si>
    <t xml:space="preserve">Self Assessment – Release 1</t>
  </si>
  <si>
    <t xml:space="preserve">Test Prep</t>
  </si>
  <si>
    <t xml:space="preserve">Test design 10% complete.</t>
  </si>
  <si>
    <t xml:space="preserve">Test design 19% complete.</t>
  </si>
  <si>
    <t xml:space="preserve">Test design 41% complete.</t>
  </si>
  <si>
    <t xml:space="preserve">Test design 69% complete.</t>
  </si>
  <si>
    <t xml:space="preserve">Smoke</t>
  </si>
  <si>
    <t xml:space="preserve">13 executed (12 passed, 1 failed); 0 blocked.</t>
  </si>
  <si>
    <t xml:space="preserve">SIT</t>
  </si>
  <si>
    <t xml:space="preserve">26 executed (24 passed, 2 failed); 0 blocked.</t>
  </si>
  <si>
    <t xml:space="preserve">40 executed (37 passed, 3 failed); 0 blocked.</t>
  </si>
  <si>
    <t xml:space="preserve">53 executed (49 passed, 4 failed); 0 blocked.</t>
  </si>
  <si>
    <t xml:space="preserve">66 executed (61 passed, 5 failed); 0 blocked.</t>
  </si>
  <si>
    <t xml:space="preserve">79 executed (73 passed, 6 failed); 0 blocked.</t>
  </si>
  <si>
    <t xml:space="preserve">93 executed (86 passed, 7 failed); 0 blocked.</t>
  </si>
  <si>
    <t xml:space="preserve">106 executed (99 passed, 7 failed); 0 blocked.</t>
  </si>
  <si>
    <t xml:space="preserve">119 executed (111 passed, 8 failed); 0 blocked.</t>
  </si>
  <si>
    <t xml:space="preserve">Self Assessment – Release 2</t>
  </si>
  <si>
    <t xml:space="preserve">Test design 15% complete.</t>
  </si>
  <si>
    <t xml:space="preserve">Test design 28% complete.</t>
  </si>
  <si>
    <t xml:space="preserve">Test design 46% complete.</t>
  </si>
  <si>
    <t xml:space="preserve">Test design 64% complete.</t>
  </si>
  <si>
    <t xml:space="preserve">Test design 82% complete.</t>
  </si>
  <si>
    <t xml:space="preserve">11 executed (10 passed, 1 failed); 0 blocked.</t>
  </si>
  <si>
    <t xml:space="preserve">22 executed (20 passed, 2 failed); 0 blocked.</t>
  </si>
  <si>
    <t xml:space="preserve">33 executed (31 passed, 2 failed); 1 blocked.</t>
  </si>
  <si>
    <t xml:space="preserve">45 executed (42 passed, 3 failed); 0 blocked.</t>
  </si>
  <si>
    <t xml:space="preserve">56 executed (52 passed, 4 failed); 0 blocked.</t>
  </si>
  <si>
    <t xml:space="preserve">67 executed (62 passed, 5 failed); 0 blocked.</t>
  </si>
  <si>
    <t xml:space="preserve">78 executed (73 passed, 5 failed); 0 blocked.</t>
  </si>
  <si>
    <t xml:space="preserve">Self Assessment – Release 3</t>
  </si>
  <si>
    <t xml:space="preserve">Test design 13% complete.</t>
  </si>
  <si>
    <t xml:space="preserve">Test design 24% complete.</t>
  </si>
  <si>
    <t xml:space="preserve">Test design 39% complete.</t>
  </si>
  <si>
    <t xml:space="preserve">Test design 56% complete.</t>
  </si>
  <si>
    <t xml:space="preserve">Test design 71% complete.</t>
  </si>
  <si>
    <t xml:space="preserve">Test design 86% complete.</t>
  </si>
  <si>
    <t xml:space="preserve">8 executed (7 passed, 1 failed); 0 blocked.</t>
  </si>
  <si>
    <t xml:space="preserve">16 executed (15 passed, 1 failed); 0 blocked.</t>
  </si>
  <si>
    <t xml:space="preserve">24 executed (22 passed, 2 failed); 0 blocked.</t>
  </si>
  <si>
    <t xml:space="preserve">31 executed (29 passed, 2 failed); 3 blocked.</t>
  </si>
  <si>
    <t xml:space="preserve">Self Assessment – Digital Filing</t>
  </si>
  <si>
    <t xml:space="preserve">Test design 14% complete.</t>
  </si>
  <si>
    <t xml:space="preserve">Test design 26% complete.</t>
  </si>
  <si>
    <t xml:space="preserve">Test design 59% complete.</t>
  </si>
  <si>
    <t xml:space="preserve">Test design 74% complete.</t>
  </si>
  <si>
    <t xml:space="preserve">2 executed (2 passed, 0 failed); 0 blocked.</t>
  </si>
  <si>
    <t xml:space="preserve">4 executed (4 passed, 0 failed); 0 blocked.</t>
  </si>
  <si>
    <t xml:space="preserve">Defect_Log   [SAMPLE DATA – illustrative]</t>
  </si>
  <si>
    <t xml:space="preserve">One row per defect. Aging is in working days (inclusive) from Raised Date to Resolved Date (or today while open).</t>
  </si>
  <si>
    <t xml:space="preserve">HOW TO FILL: add each defect when raised; set Resolved Date when fix + confirmation test is complete (or on rejection). Aging and bucket calculate themselves.</t>
  </si>
  <si>
    <t xml:space="preserve">Defect ID</t>
  </si>
  <si>
    <t xml:space="preserve">Summary</t>
  </si>
  <si>
    <t xml:space="preserve">Test Type</t>
  </si>
  <si>
    <t xml:space="preserve">Priority</t>
  </si>
  <si>
    <t xml:space="preserve">Severity</t>
  </si>
  <si>
    <t xml:space="preserve">Raised Date</t>
  </si>
  <si>
    <t xml:space="preserve">Resolved Date</t>
  </si>
  <si>
    <t xml:space="preserve">Status</t>
  </si>
  <si>
    <t xml:space="preserve">Found In</t>
  </si>
  <si>
    <t xml:space="preserve">Owner / DG</t>
  </si>
  <si>
    <t xml:space="preserve">TCs Blocked</t>
  </si>
  <si>
    <t xml:space="preserve">Triage Comments</t>
  </si>
  <si>
    <t xml:space="preserve">Aging (Working Days)</t>
  </si>
  <si>
    <t xml:space="preserve">Aging Bucket</t>
  </si>
  <si>
    <t xml:space="preserve">SA-101</t>
  </si>
  <si>
    <t xml:space="preserve">Tax calculation – message queued but not delivered</t>
  </si>
  <si>
    <t xml:space="preserve">P2 Medium</t>
  </si>
  <si>
    <t xml:space="preserve">3 - High</t>
  </si>
  <si>
    <t xml:space="preserve">Closed</t>
  </si>
  <si>
    <t xml:space="preserve">Testing</t>
  </si>
  <si>
    <t xml:space="preserve">Data Team</t>
  </si>
  <si>
    <t xml:space="preserve">Fix delivered and confirmed by retest.</t>
  </si>
  <si>
    <t xml:space="preserve">SA-102</t>
  </si>
  <si>
    <t xml:space="preserve">Return submission – field truncated in output</t>
  </si>
  <si>
    <t xml:space="preserve">P3 Low</t>
  </si>
  <si>
    <t xml:space="preserve">5 - Low</t>
  </si>
  <si>
    <t xml:space="preserve">Environments</t>
  </si>
  <si>
    <t xml:space="preserve">SA-103</t>
  </si>
  <si>
    <t xml:space="preserve">Return submission – error returned for valid input</t>
  </si>
  <si>
    <t xml:space="preserve">4 - Standard</t>
  </si>
  <si>
    <t xml:space="preserve">Supplier A</t>
  </si>
  <si>
    <t xml:space="preserve">SA-104</t>
  </si>
  <si>
    <t xml:space="preserve">Online filing – status not updated after processing</t>
  </si>
  <si>
    <t xml:space="preserve">6 - Trivial</t>
  </si>
  <si>
    <t xml:space="preserve">Resolved</t>
  </si>
  <si>
    <t xml:space="preserve">Dev Team 1</t>
  </si>
  <si>
    <t xml:space="preserve">SA-105</t>
  </si>
  <si>
    <t xml:space="preserve">Penalty notice – notification not issued</t>
  </si>
  <si>
    <t xml:space="preserve">P1 High</t>
  </si>
  <si>
    <t xml:space="preserve">Dev Team 2</t>
  </si>
  <si>
    <t xml:space="preserve">SA-106</t>
  </si>
  <si>
    <t xml:space="preserve">Account summary – validation message missing</t>
  </si>
  <si>
    <t xml:space="preserve">Integration Team</t>
  </si>
  <si>
    <t xml:space="preserve">SA-107</t>
  </si>
  <si>
    <t xml:space="preserve">Penalty notice – error returned for valid input</t>
  </si>
  <si>
    <t xml:space="preserve">SA-108</t>
  </si>
  <si>
    <t xml:space="preserve">Online filing – message queued but not delivered</t>
  </si>
  <si>
    <t xml:space="preserve">SA-109</t>
  </si>
  <si>
    <t xml:space="preserve">Account summary – stale data returned after update</t>
  </si>
  <si>
    <t xml:space="preserve">In Progress</t>
  </si>
  <si>
    <t xml:space="preserve">With Supplier A for fix; retest pending.</t>
  </si>
  <si>
    <t xml:space="preserve">TSR_Log   [SAMPLE DATA – illustrative]</t>
  </si>
  <si>
    <t xml:space="preserve">One row per Technical Service Request (TSR) received for impact assessment. Work Days exclude Hold Days.</t>
  </si>
  <si>
    <t xml:space="preserve">HOW TO FILL: add the TSR when received; fill Returned Date when sent back to the Front Desk and Hold Days for time pending clarification.</t>
  </si>
  <si>
    <t xml:space="preserve">TSR Ref</t>
  </si>
  <si>
    <t xml:space="preserve">Description</t>
  </si>
  <si>
    <t xml:space="preserve">Received Date</t>
  </si>
  <si>
    <t xml:space="preserve">Returned Date</t>
  </si>
  <si>
    <t xml:space="preserve">Hold Days (pending clarification)</t>
  </si>
  <si>
    <t xml:space="preserve">Value (£)</t>
  </si>
  <si>
    <t xml:space="preserve">Work Days</t>
  </si>
  <si>
    <t xml:space="preserve">Over SLA?</t>
  </si>
  <si>
    <t xml:space="preserve">Raised for the portfolio's QA activities and resource estimation (the portfolio's own TSR).</t>
  </si>
  <si>
    <t xml:space="preserve">Programme (cross-cutting)</t>
  </si>
  <si>
    <t xml:space="preserve">Returned</t>
  </si>
  <si>
    <t xml:space="preserve">TSR_PR021877-REQ031577</t>
  </si>
  <si>
    <t xml:space="preserve">Test impact assessment for a related change request from another team.</t>
  </si>
  <si>
    <t xml:space="preserve">PR022014-REQ031960 V2</t>
  </si>
  <si>
    <t xml:space="preserve">Follow-on test estimate; returned after a scope clarification.</t>
  </si>
  <si>
    <t xml:space="preserve">TSR_PR022014-REQ032301</t>
  </si>
  <si>
    <t xml:space="preserve">Test impact assessment for a configuration change.</t>
  </si>
  <si>
    <t xml:space="preserve">PR022310-REQ032588</t>
  </si>
  <si>
    <t xml:space="preserve">Test impact assessment for a further change; assessment in progress.</t>
  </si>
  <si>
    <t xml:space="preserve">Open</t>
  </si>
  <si>
    <t xml:space="preserve">Milestones   [SAMPLE DATA – illustrative]</t>
  </si>
  <si>
    <t xml:space="preserve">One row per test milestone with due, forecast and completed dates. Delay, status and RAG calculate against today's date.</t>
  </si>
  <si>
    <t xml:space="preserve">HOW TO FILL: add each milestone once; set Forecast Date if it slips and Completed Date when done. Critical? = Yes for key milestones.</t>
  </si>
  <si>
    <t xml:space="preserve">Milestone</t>
  </si>
  <si>
    <t xml:space="preserve">Due Date</t>
  </si>
  <si>
    <t xml:space="preserve">Forecast Date</t>
  </si>
  <si>
    <t xml:space="preserve">Completed Date</t>
  </si>
  <si>
    <t xml:space="preserve">Owner</t>
  </si>
  <si>
    <t xml:space="preserve">Critical?</t>
  </si>
  <si>
    <t xml:space="preserve">Delay (Days)</t>
  </si>
  <si>
    <t xml:space="preserve">RAG</t>
  </si>
  <si>
    <t xml:space="preserve">Test Approach</t>
  </si>
  <si>
    <t xml:space="preserve">Yes</t>
  </si>
  <si>
    <t xml:space="preserve">Smoke Testing</t>
  </si>
  <si>
    <t xml:space="preserve">SIT Test Script Creation</t>
  </si>
  <si>
    <t xml:space="preserve">Test Lead</t>
  </si>
  <si>
    <t xml:space="preserve">E2E Test Script Creation</t>
  </si>
  <si>
    <t xml:space="preserve">SIT Test Script Execution – Phase 1</t>
  </si>
  <si>
    <t xml:space="preserve">SIT Test Script Execution – Phase 2</t>
  </si>
  <si>
    <t xml:space="preserve">No</t>
  </si>
  <si>
    <t xml:space="preserve">NFR Test Scripts Ready</t>
  </si>
  <si>
    <t xml:space="preserve">Automation of Smoke / Regression Testing</t>
  </si>
  <si>
    <t xml:space="preserve">Automation Engineer 1</t>
  </si>
  <si>
    <t xml:space="preserve">E2E Test Script Execution</t>
  </si>
  <si>
    <t xml:space="preserve">Defect Retest Cycle 1 Complete</t>
  </si>
  <si>
    <t xml:space="preserve">Test Completion Report</t>
  </si>
  <si>
    <t xml:space="preserve">Readiness   [SAMPLE DATA – illustrative]</t>
  </si>
  <si>
    <t xml:space="preserve">SIT readiness per topic per week: overall RAG, six readiness areas (RAG + note) and the road to Green.</t>
  </si>
  <si>
    <t xml:space="preserve">HOW TO FILL: each Friday add one row per topic still in preparation; pick RAG from the dropdowns and use short notes (Alt+Enter for new lines).</t>
  </si>
  <si>
    <t xml:space="preserve">Planned SIT Start</t>
  </si>
  <si>
    <t xml:space="preserve">Requirements &amp; Arch Intent RAG</t>
  </si>
  <si>
    <t xml:space="preserve">Requirements &amp; Arch Intent – Note</t>
  </si>
  <si>
    <t xml:space="preserve">Blockers RAG</t>
  </si>
  <si>
    <t xml:space="preserve">Blockers – Note</t>
  </si>
  <si>
    <t xml:space="preserve">Resources RAG</t>
  </si>
  <si>
    <t xml:space="preserve">Resources – Note</t>
  </si>
  <si>
    <t xml:space="preserve">Environments RAG</t>
  </si>
  <si>
    <t xml:space="preserve">Environments – Note</t>
  </si>
  <si>
    <t xml:space="preserve">Test Scripts &amp; Test Data RAG</t>
  </si>
  <si>
    <t xml:space="preserve">Test Scripts &amp; Test Data – Note</t>
  </si>
  <si>
    <t xml:space="preserve">Knowledge Transfer RAG</t>
  </si>
  <si>
    <t xml:space="preserve">Knowledge Transfer – Note</t>
  </si>
  <si>
    <t xml:space="preserve">Road to Green</t>
  </si>
  <si>
    <t xml:space="preserve">Requirements baselined and reviewed.</t>
  </si>
  <si>
    <t xml:space="preserve">N/A</t>
  </si>
  <si>
    <t xml:space="preserve">Resources in place.</t>
  </si>
  <si>
    <t xml:space="preserve">Test environment ready.</t>
  </si>
  <si>
    <t xml:space="preserve">Scripts and test data on plan.</t>
  </si>
  <si>
    <t xml:space="preserve">Knowledge transfer complete.</t>
  </si>
  <si>
    <t xml:space="preserve">Commentary   [SAMPLE DATA – illustrative]</t>
  </si>
  <si>
    <t xml:space="preserve">Optional narrative per KPI per week (Key Highlights / Area of Concern / Actions Underway / Executive Commentary).</t>
  </si>
  <si>
    <t xml:space="preserve">HOW TO FILL: add a row for any KPI you want to explain this week (KPI from dropdown); separate bullets with Alt+Enter. RAG Override only if you disagree with the calculated RAG.</t>
  </si>
  <si>
    <t xml:space="preserve">Key Highlights</t>
  </si>
  <si>
    <t xml:space="preserve">Area of Concern</t>
  </si>
  <si>
    <t xml:space="preserve">Actions Underway</t>
  </si>
  <si>
    <t xml:space="preserve">Executive Commentary</t>
  </si>
  <si>
    <t xml:space="preserve">RAG Override</t>
  </si>
  <si>
    <t xml:space="preserve">Current Position Override</t>
  </si>
  <si>
    <t xml:space="preserve">Overall</t>
  </si>
  <si>
    <t xml:space="preserve">Execution on plan and defects closed quickly; High and Medium risk coverage at or above target.</t>
  </si>
  <si>
    <t xml:space="preserve">None material. One low-priority defect is in triage.</t>
  </si>
  <si>
    <t xml:space="preserve">Continue Release 2 and Release 3 execution; keep daily defect triage.</t>
  </si>
  <si>
    <t xml:space="preserve">The portfolio remains Green. Test execution is progressing to plan, defect turnaround is well inside SLA, no milestones are overdue, and spend and forecast remain aligned to budget.</t>
  </si>
  <si>
    <t xml:space="preserve">Resourcing   [SAMPLE DATA – illustrative]</t>
  </si>
  <si>
    <t xml:space="preserve">The team roster: role, name, organisation, allocation, dates and status.</t>
  </si>
  <si>
    <t xml:space="preserve">HOW TO FILL: add a row when someone joins or is planned; set End Date and Status = Left when they leave. Do not delete history.</t>
  </si>
  <si>
    <t xml:space="preserve">Role</t>
  </si>
  <si>
    <t xml:space="preserve">Name</t>
  </si>
  <si>
    <t xml:space="preserve">Organisation</t>
  </si>
  <si>
    <t xml:space="preserve">Allocation %</t>
  </si>
  <si>
    <t xml:space="preserve">Start Date</t>
  </si>
  <si>
    <t xml:space="preserve">End Date</t>
  </si>
  <si>
    <t xml:space="preserve">Delivery Partner</t>
  </si>
  <si>
    <t xml:space="preserve">Active</t>
  </si>
  <si>
    <t xml:space="preserve">Name placeholder – SAMPLE.</t>
  </si>
  <si>
    <t xml:space="preserve">Senior Test Analyst 1</t>
  </si>
  <si>
    <t xml:space="preserve">Test Analyst 1</t>
  </si>
  <si>
    <t xml:space="preserve">Test Analyst 2</t>
  </si>
  <si>
    <t xml:space="preserve">Demand_Forecast   [SAMPLE DATA – illustrative]</t>
  </si>
  <si>
    <t xml:space="preserve">Forward view of Planned vs Available FTE by month (Month = first day of the month).</t>
  </si>
  <si>
    <t xml:space="preserve">HOW TO FILL: refresh monthly: one row per future month, Month entered as the 1st of the month.</t>
  </si>
  <si>
    <t xml:space="preserve">Month</t>
  </si>
  <si>
    <t xml:space="preserve">Planned FTE</t>
  </si>
  <si>
    <t xml:space="preserve">Available FTE</t>
  </si>
  <si>
    <t xml:space="preserve">Capacity aligned to demand.</t>
  </si>
  <si>
    <t xml:space="preserve">Lessons_Learned   [SAMPLE DATA – illustrative]</t>
  </si>
  <si>
    <t xml:space="preserve">Lessons learned and the improvement action agreed for each.</t>
  </si>
  <si>
    <t xml:space="preserve">HOW TO FILL: add a row per lesson; update Status to Actioned when the improvement is in place.</t>
  </si>
  <si>
    <t xml:space="preserve">Date</t>
  </si>
  <si>
    <t xml:space="preserve">Category</t>
  </si>
  <si>
    <t xml:space="preserve">Lesson Learned</t>
  </si>
  <si>
    <t xml:space="preserve">Improvement Action</t>
  </si>
  <si>
    <t xml:space="preserve">Test Data</t>
  </si>
  <si>
    <t xml:space="preserve">Early automation of prerequisite test data cut set-up time for later releases.</t>
  </si>
  <si>
    <t xml:space="preserve">Build test data automation during Test Prep for each new release.</t>
  </si>
  <si>
    <t xml:space="preserve">Actioned</t>
  </si>
  <si>
    <t xml:space="preserve">Planning</t>
  </si>
  <si>
    <t xml:space="preserve">Aligning release test windows with the business filing calendar avoided clashes.</t>
  </si>
  <si>
    <t xml:space="preserve">Agree test windows against the filing calendar at mobilisation.</t>
  </si>
  <si>
    <t xml:space="preserve">Bank_Holidays   [reference data]</t>
  </si>
  <si>
    <t xml:space="preserve">England &amp; Wales bank holidays used by the working-day (NETWORKDAYS) calculations. Source: ATS - KPIs - Data Collation.xlsx &gt; Bank Holidays.</t>
  </si>
  <si>
    <t xml:space="preserve">HOW TO FILL: extend yearly – add next year's dates below the last row (rows 6–60 are used by the formulas).</t>
  </si>
  <si>
    <t xml:space="preserve">New Year’s Day</t>
  </si>
  <si>
    <t xml:space="preserve">Good Friday</t>
  </si>
  <si>
    <t xml:space="preserve">Easter Monday</t>
  </si>
  <si>
    <t xml:space="preserve">Early May Bank Holiday</t>
  </si>
  <si>
    <t xml:space="preserve">Spring Bank Holiday</t>
  </si>
  <si>
    <t xml:space="preserve">Summer Bank Holiday</t>
  </si>
  <si>
    <t xml:space="preserve">Christmas Day</t>
  </si>
  <si>
    <t xml:space="preserve">Boxing Day (substitute for Saturday, 26 December)</t>
  </si>
  <si>
    <t xml:space="preserve">Christmas Day (substitute for Saturday, 25 December)</t>
  </si>
  <si>
    <t xml:space="preserve">Boxing Day (substitute for Sunday, 26 December)</t>
  </si>
  <si>
    <t xml:space="preserve">Defect Status</t>
  </si>
  <si>
    <t xml:space="preserve">TSR Status</t>
  </si>
  <si>
    <t xml:space="preserve">Yes/No</t>
  </si>
  <si>
    <t xml:space="preserve">Resource Status</t>
  </si>
  <si>
    <t xml:space="preserve">Lesson Status</t>
  </si>
  <si>
    <t xml:space="preserve">1 - Urgent</t>
  </si>
  <si>
    <t xml:space="preserve">2 - Very High</t>
  </si>
  <si>
    <t xml:space="preserve">Production</t>
  </si>
  <si>
    <t xml:space="preserve">Planned</t>
  </si>
  <si>
    <t xml:space="preserve">E2E</t>
  </si>
  <si>
    <t xml:space="preserve">Re-Open</t>
  </si>
  <si>
    <t xml:space="preserve">Withdrawn</t>
  </si>
  <si>
    <t xml:space="preserve">Left</t>
  </si>
  <si>
    <t xml:space="preserve">Production Defect Leakage</t>
  </si>
  <si>
    <t xml:space="preserve">NFR</t>
  </si>
  <si>
    <t xml:space="preserve">Regression</t>
  </si>
  <si>
    <t xml:space="preserve">Rejected</t>
  </si>
  <si>
    <t xml:space="preserve">Automation Coverage</t>
  </si>
  <si>
    <t xml:space="preserve">Deferred</t>
  </si>
  <si>
    <t xml:space="preserve">TCR / Sign-off</t>
  </si>
  <si>
    <t xml:space="preserve">Customer Satisfaction (CSAT)</t>
  </si>
  <si>
    <t xml:space="preserve">Dropdowns read rows 2–40 of each column. Add new values in the yellow cells below the last item of a list; keep the header text as 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</si>
</sst>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£#,##0"/>
    <numFmt numFmtId="167" formatCode="0"/>
    <numFmt numFmtId="168" formatCode="0%"/>
    <numFmt numFmtId="169" formatCode="0.0"/>
    <numFmt numFmtId="170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9"/>
      <color rgb="FF44546A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color rgb="FF7F3F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E7E6E6"/>
      </patternFill>
    </fill>
    <fill>
      <patternFill patternType="solid">
        <fgColor rgb="FF1B2A4A"/>
        <bgColor rgb="FF003366"/>
      </patternFill>
    </fill>
    <fill>
      <patternFill patternType="solid">
        <fgColor rgb="FF2E5E8C"/>
        <bgColor rgb="FF44546A"/>
      </patternFill>
    </fill>
    <fill>
      <patternFill patternType="solid">
        <fgColor rgb="FFFFF6CC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E7E6E6"/>
        <bgColor rgb="FFF2F5F9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6CC"/>
      </patternFill>
    </fill>
    <fill>
      <patternFill patternType="solid">
        <fgColor rgb="FF3F7CAC"/>
        <bgColor rgb="FF2E5E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C0C0C0"/>
      <rgbColor rgb="FF7F7F7F"/>
      <rgbColor rgb="FF9999FF"/>
      <rgbColor rgb="FF993366"/>
      <rgbColor rgb="FFFFF6CC"/>
      <rgbColor rgb="FFF2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F7CAC"/>
      <rgbColor rgb="FF003300"/>
      <rgbColor rgb="FF333300"/>
      <rgbColor rgb="FF7F3F00"/>
      <rgbColor rgb="FF993366"/>
      <rgbColor rgb="FF2E5E8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E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66"/>
    <col collapsed="false" customWidth="true" hidden="false" outlineLevel="0" max="5" min="5" style="1" width="40"/>
  </cols>
  <sheetData>
    <row r="1" customFormat="false" ht="33.75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3" customFormat="false" ht="24" hidden="false" customHeight="true" outlineLevel="0" collapsed="false">
      <c r="B3" s="4" t="s">
        <v>2</v>
      </c>
      <c r="C3" s="4"/>
      <c r="D3" s="4"/>
      <c r="E3" s="4"/>
    </row>
    <row r="4" customFormat="false" ht="30.75" hidden="false" customHeight="true" outlineLevel="0" collapsed="false">
      <c r="B4" s="5" t="s">
        <v>3</v>
      </c>
      <c r="C4" s="5"/>
      <c r="D4" s="5"/>
      <c r="E4" s="5"/>
    </row>
    <row r="6" customFormat="false" ht="21" hidden="false" customHeight="true" outlineLevel="0" collapsed="false">
      <c r="B6" s="6" t="s">
        <v>4</v>
      </c>
      <c r="C6" s="6"/>
      <c r="D6" s="6"/>
      <c r="E6" s="6"/>
    </row>
    <row r="7" customFormat="false" ht="30.75" hidden="false" customHeight="true" outlineLevel="0" collapsed="false">
      <c r="B7" s="7" t="s">
        <v>5</v>
      </c>
      <c r="C7" s="7"/>
      <c r="D7" s="7"/>
      <c r="E7" s="7"/>
    </row>
    <row r="8" customFormat="false" ht="30.75" hidden="false" customHeight="true" outlineLevel="0" collapsed="false">
      <c r="B8" s="7" t="s">
        <v>6</v>
      </c>
      <c r="C8" s="7"/>
      <c r="D8" s="7"/>
      <c r="E8" s="7"/>
    </row>
    <row r="9" customFormat="false" ht="30.75" hidden="false" customHeight="true" outlineLevel="0" collapsed="false">
      <c r="B9" s="7" t="s">
        <v>7</v>
      </c>
      <c r="C9" s="7"/>
      <c r="D9" s="7"/>
      <c r="E9" s="7"/>
    </row>
    <row r="10" customFormat="false" ht="30.75" hidden="false" customHeight="true" outlineLevel="0" collapsed="false">
      <c r="B10" s="7" t="s">
        <v>8</v>
      </c>
      <c r="C10" s="7"/>
      <c r="D10" s="7"/>
      <c r="E10" s="7"/>
    </row>
    <row r="12" customFormat="false" ht="21" hidden="false" customHeight="true" outlineLevel="0" collapsed="false">
      <c r="B12" s="6" t="s">
        <v>9</v>
      </c>
      <c r="C12" s="6"/>
      <c r="D12" s="6"/>
      <c r="E12" s="6"/>
    </row>
    <row r="13" customFormat="false" ht="15" hidden="false" customHeight="true" outlineLevel="0" collapsed="false">
      <c r="B13" s="8" t="s">
        <v>10</v>
      </c>
      <c r="C13" s="8" t="s">
        <v>11</v>
      </c>
      <c r="D13" s="8" t="s">
        <v>12</v>
      </c>
      <c r="E13" s="8" t="s">
        <v>13</v>
      </c>
    </row>
    <row r="14" customFormat="false" ht="44.25" hidden="false" customHeight="true" outlineLevel="0" collapsed="false">
      <c r="B14" s="9" t="s">
        <v>14</v>
      </c>
      <c r="C14" s="10" t="s">
        <v>15</v>
      </c>
      <c r="D14" s="10" t="s">
        <v>16</v>
      </c>
      <c r="E14" s="10" t="s">
        <v>17</v>
      </c>
    </row>
    <row r="15" customFormat="false" ht="30.75" hidden="false" customHeight="true" outlineLevel="0" collapsed="false">
      <c r="B15" s="9" t="s">
        <v>18</v>
      </c>
      <c r="C15" s="10" t="s">
        <v>19</v>
      </c>
      <c r="D15" s="10" t="s">
        <v>20</v>
      </c>
      <c r="E15" s="10" t="s">
        <v>21</v>
      </c>
    </row>
    <row r="16" customFormat="false" ht="30.75" hidden="false" customHeight="true" outlineLevel="0" collapsed="false">
      <c r="B16" s="9" t="s">
        <v>18</v>
      </c>
      <c r="C16" s="10" t="s">
        <v>22</v>
      </c>
      <c r="D16" s="10" t="s">
        <v>23</v>
      </c>
      <c r="E16" s="10" t="s">
        <v>24</v>
      </c>
    </row>
    <row r="17" customFormat="false" ht="30.75" hidden="false" customHeight="true" outlineLevel="0" collapsed="false">
      <c r="B17" s="9" t="s">
        <v>18</v>
      </c>
      <c r="C17" s="10" t="s">
        <v>25</v>
      </c>
      <c r="D17" s="10" t="s">
        <v>26</v>
      </c>
      <c r="E17" s="10" t="s">
        <v>21</v>
      </c>
    </row>
    <row r="18" customFormat="false" ht="30.75" hidden="false" customHeight="true" outlineLevel="0" collapsed="false">
      <c r="B18" s="9" t="s">
        <v>27</v>
      </c>
      <c r="C18" s="10" t="s">
        <v>28</v>
      </c>
      <c r="D18" s="10" t="s">
        <v>29</v>
      </c>
      <c r="E18" s="10" t="s">
        <v>30</v>
      </c>
    </row>
    <row r="19" customFormat="false" ht="30.75" hidden="false" customHeight="true" outlineLevel="0" collapsed="false">
      <c r="B19" s="9" t="s">
        <v>31</v>
      </c>
      <c r="C19" s="10" t="s">
        <v>32</v>
      </c>
      <c r="D19" s="10" t="s">
        <v>33</v>
      </c>
      <c r="E19" s="10" t="s">
        <v>34</v>
      </c>
    </row>
    <row r="20" customFormat="false" ht="30.75" hidden="false" customHeight="true" outlineLevel="0" collapsed="false">
      <c r="B20" s="9" t="s">
        <v>31</v>
      </c>
      <c r="C20" s="10" t="s">
        <v>35</v>
      </c>
      <c r="D20" s="10" t="s">
        <v>36</v>
      </c>
      <c r="E20" s="10" t="s">
        <v>37</v>
      </c>
    </row>
    <row r="21" customFormat="false" ht="30.75" hidden="false" customHeight="true" outlineLevel="0" collapsed="false">
      <c r="B21" s="9" t="s">
        <v>31</v>
      </c>
      <c r="C21" s="10" t="s">
        <v>22</v>
      </c>
      <c r="D21" s="10" t="s">
        <v>38</v>
      </c>
      <c r="E21" s="10" t="s">
        <v>39</v>
      </c>
    </row>
    <row r="22" customFormat="false" ht="30.75" hidden="false" customHeight="true" outlineLevel="0" collapsed="false">
      <c r="B22" s="9" t="s">
        <v>40</v>
      </c>
      <c r="C22" s="10" t="s">
        <v>41</v>
      </c>
      <c r="D22" s="10" t="s">
        <v>42</v>
      </c>
      <c r="E22" s="10" t="s">
        <v>43</v>
      </c>
    </row>
    <row r="23" customFormat="false" ht="17.25" hidden="false" customHeight="true" outlineLevel="0" collapsed="false">
      <c r="B23" s="9" t="s">
        <v>40</v>
      </c>
      <c r="C23" s="10" t="s">
        <v>44</v>
      </c>
      <c r="D23" s="10" t="s">
        <v>45</v>
      </c>
      <c r="E23" s="10" t="s">
        <v>46</v>
      </c>
    </row>
    <row r="24" customFormat="false" ht="17.25" hidden="false" customHeight="true" outlineLevel="0" collapsed="false">
      <c r="B24" s="9" t="s">
        <v>40</v>
      </c>
      <c r="C24" s="10" t="s">
        <v>47</v>
      </c>
      <c r="D24" s="10" t="s">
        <v>48</v>
      </c>
      <c r="E24" s="10" t="s">
        <v>24</v>
      </c>
    </row>
    <row r="25" customFormat="false" ht="17.25" hidden="false" customHeight="true" outlineLevel="0" collapsed="false">
      <c r="B25" s="9" t="s">
        <v>40</v>
      </c>
      <c r="C25" s="10" t="s">
        <v>49</v>
      </c>
      <c r="D25" s="10" t="s">
        <v>50</v>
      </c>
      <c r="E25" s="10" t="s">
        <v>24</v>
      </c>
    </row>
    <row r="26" customFormat="false" ht="30.75" hidden="false" customHeight="true" outlineLevel="0" collapsed="false">
      <c r="B26" s="9" t="s">
        <v>51</v>
      </c>
      <c r="C26" s="10" t="s">
        <v>52</v>
      </c>
      <c r="D26" s="10" t="s">
        <v>53</v>
      </c>
      <c r="E26" s="10" t="s">
        <v>54</v>
      </c>
    </row>
    <row r="28" customFormat="false" ht="21" hidden="false" customHeight="true" outlineLevel="0" collapsed="false">
      <c r="B28" s="6" t="s">
        <v>55</v>
      </c>
      <c r="C28" s="6"/>
      <c r="D28" s="6"/>
      <c r="E28" s="6"/>
    </row>
    <row r="29" customFormat="false" ht="16.5" hidden="false" customHeight="true" outlineLevel="0" collapsed="false">
      <c r="B29" s="11" t="s">
        <v>56</v>
      </c>
      <c r="C29" s="12" t="s">
        <v>57</v>
      </c>
      <c r="D29" s="13" t="s">
        <v>58</v>
      </c>
      <c r="E29" s="13"/>
    </row>
    <row r="30" customFormat="false" ht="16.5" hidden="false" customHeight="true" outlineLevel="0" collapsed="false">
      <c r="B30" s="14" t="s">
        <v>56</v>
      </c>
      <c r="C30" s="12" t="s">
        <v>59</v>
      </c>
      <c r="D30" s="13" t="s">
        <v>60</v>
      </c>
      <c r="E30" s="13"/>
    </row>
    <row r="31" customFormat="false" ht="16.5" hidden="false" customHeight="true" outlineLevel="0" collapsed="false">
      <c r="B31" s="15" t="s">
        <v>56</v>
      </c>
      <c r="C31" s="12" t="s">
        <v>61</v>
      </c>
      <c r="D31" s="13" t="s">
        <v>62</v>
      </c>
      <c r="E31" s="13"/>
    </row>
    <row r="32" customFormat="false" ht="16.5" hidden="false" customHeight="true" outlineLevel="0" collapsed="false">
      <c r="B32" s="16" t="s">
        <v>63</v>
      </c>
      <c r="C32" s="12" t="s">
        <v>63</v>
      </c>
      <c r="D32" s="13" t="s">
        <v>64</v>
      </c>
      <c r="E32" s="13"/>
    </row>
    <row r="33" customFormat="false" ht="16.5" hidden="false" customHeight="true" outlineLevel="0" collapsed="false">
      <c r="B33" s="17" t="s">
        <v>65</v>
      </c>
      <c r="C33" s="12" t="s">
        <v>65</v>
      </c>
      <c r="D33" s="13" t="s">
        <v>66</v>
      </c>
      <c r="E33" s="13"/>
    </row>
    <row r="34" customFormat="false" ht="16.5" hidden="false" customHeight="true" outlineLevel="0" collapsed="false">
      <c r="B34" s="18" t="s">
        <v>67</v>
      </c>
      <c r="C34" s="12" t="s">
        <v>67</v>
      </c>
      <c r="D34" s="13" t="s">
        <v>68</v>
      </c>
      <c r="E34" s="13"/>
    </row>
    <row r="36" customFormat="false" ht="21" hidden="false" customHeight="true" outlineLevel="0" collapsed="false">
      <c r="B36" s="6" t="s">
        <v>69</v>
      </c>
      <c r="C36" s="6"/>
      <c r="D36" s="6"/>
      <c r="E36" s="6"/>
    </row>
    <row r="37" customFormat="false" ht="15" hidden="false" customHeight="true" outlineLevel="0" collapsed="false">
      <c r="B37" s="19" t="s">
        <v>70</v>
      </c>
      <c r="C37" s="19" t="s">
        <v>71</v>
      </c>
      <c r="D37" s="19" t="s">
        <v>72</v>
      </c>
      <c r="E37" s="19" t="s">
        <v>73</v>
      </c>
    </row>
    <row r="38" customFormat="false" ht="30.75" hidden="false" customHeight="true" outlineLevel="0" collapsed="false">
      <c r="B38" s="9" t="s">
        <v>74</v>
      </c>
      <c r="C38" s="10" t="s">
        <v>75</v>
      </c>
      <c r="D38" s="10" t="s">
        <v>76</v>
      </c>
      <c r="E38" s="10" t="s">
        <v>77</v>
      </c>
    </row>
    <row r="39" customFormat="false" ht="71.25" hidden="false" customHeight="true" outlineLevel="0" collapsed="false">
      <c r="B39" s="9" t="s">
        <v>78</v>
      </c>
      <c r="C39" s="10" t="s">
        <v>79</v>
      </c>
      <c r="D39" s="10" t="s">
        <v>80</v>
      </c>
      <c r="E39" s="10" t="s">
        <v>81</v>
      </c>
    </row>
    <row r="40" customFormat="false" ht="30.75" hidden="false" customHeight="true" outlineLevel="0" collapsed="false">
      <c r="B40" s="20" t="s">
        <v>82</v>
      </c>
      <c r="C40" s="20"/>
      <c r="D40" s="20"/>
      <c r="E40" s="20"/>
    </row>
    <row r="42" customFormat="false" ht="21" hidden="false" customHeight="true" outlineLevel="0" collapsed="false">
      <c r="B42" s="6" t="s">
        <v>83</v>
      </c>
      <c r="C42" s="6"/>
      <c r="D42" s="6"/>
      <c r="E42" s="6"/>
    </row>
    <row r="43" customFormat="false" ht="15" hidden="false" customHeight="true" outlineLevel="0" collapsed="false">
      <c r="B43" s="19" t="s">
        <v>84</v>
      </c>
      <c r="C43" s="19" t="s">
        <v>85</v>
      </c>
      <c r="D43" s="19"/>
      <c r="E43" s="19" t="s">
        <v>86</v>
      </c>
    </row>
    <row r="44" customFormat="false" ht="30.75" hidden="false" customHeight="true" outlineLevel="0" collapsed="false">
      <c r="B44" s="9" t="s">
        <v>87</v>
      </c>
      <c r="C44" s="10" t="s">
        <v>88</v>
      </c>
      <c r="D44" s="10"/>
      <c r="E44" s="21" t="s">
        <v>89</v>
      </c>
    </row>
    <row r="45" customFormat="false" ht="30.75" hidden="false" customHeight="true" outlineLevel="0" collapsed="false">
      <c r="B45" s="9" t="s">
        <v>90</v>
      </c>
      <c r="C45" s="10" t="s">
        <v>91</v>
      </c>
      <c r="D45" s="10"/>
      <c r="E45" s="21" t="s">
        <v>92</v>
      </c>
    </row>
    <row r="46" customFormat="false" ht="30.75" hidden="false" customHeight="true" outlineLevel="0" collapsed="false">
      <c r="B46" s="9" t="s">
        <v>93</v>
      </c>
      <c r="C46" s="10" t="s">
        <v>94</v>
      </c>
      <c r="D46" s="10"/>
      <c r="E46" s="21" t="s">
        <v>95</v>
      </c>
    </row>
    <row r="47" customFormat="false" ht="30.75" hidden="false" customHeight="true" outlineLevel="0" collapsed="false">
      <c r="B47" s="9" t="s">
        <v>96</v>
      </c>
      <c r="C47" s="10" t="s">
        <v>97</v>
      </c>
      <c r="D47" s="10"/>
      <c r="E47" s="21" t="s">
        <v>98</v>
      </c>
    </row>
    <row r="48" customFormat="false" ht="30.75" hidden="false" customHeight="true" outlineLevel="0" collapsed="false">
      <c r="B48" s="9" t="s">
        <v>99</v>
      </c>
      <c r="C48" s="10" t="s">
        <v>100</v>
      </c>
      <c r="D48" s="10"/>
      <c r="E48" s="21" t="s">
        <v>101</v>
      </c>
    </row>
    <row r="49" customFormat="false" ht="30.75" hidden="false" customHeight="true" outlineLevel="0" collapsed="false">
      <c r="B49" s="9" t="s">
        <v>102</v>
      </c>
      <c r="C49" s="10" t="s">
        <v>103</v>
      </c>
      <c r="D49" s="10"/>
      <c r="E49" s="21" t="s">
        <v>104</v>
      </c>
    </row>
    <row r="50" customFormat="false" ht="30.75" hidden="false" customHeight="true" outlineLevel="0" collapsed="false">
      <c r="B50" s="9" t="s">
        <v>105</v>
      </c>
      <c r="C50" s="10" t="s">
        <v>106</v>
      </c>
      <c r="D50" s="10"/>
      <c r="E50" s="21" t="s">
        <v>107</v>
      </c>
    </row>
    <row r="51" customFormat="false" ht="27.75" hidden="false" customHeight="true" outlineLevel="0" collapsed="false">
      <c r="B51" s="9" t="s">
        <v>108</v>
      </c>
      <c r="C51" s="10" t="s">
        <v>109</v>
      </c>
      <c r="D51" s="10"/>
      <c r="E51" s="21" t="s">
        <v>110</v>
      </c>
    </row>
    <row r="52" customFormat="false" ht="30.75" hidden="false" customHeight="true" outlineLevel="0" collapsed="false">
      <c r="B52" s="9" t="s">
        <v>111</v>
      </c>
      <c r="C52" s="10" t="s">
        <v>112</v>
      </c>
      <c r="D52" s="10"/>
      <c r="E52" s="21" t="s">
        <v>113</v>
      </c>
    </row>
    <row r="53" customFormat="false" ht="27.75" hidden="false" customHeight="true" outlineLevel="0" collapsed="false">
      <c r="B53" s="9" t="s">
        <v>114</v>
      </c>
      <c r="C53" s="10" t="s">
        <v>115</v>
      </c>
      <c r="D53" s="10"/>
      <c r="E53" s="21" t="s">
        <v>116</v>
      </c>
    </row>
    <row r="54" customFormat="false" ht="30.75" hidden="false" customHeight="true" outlineLevel="0" collapsed="false">
      <c r="B54" s="9" t="s">
        <v>117</v>
      </c>
      <c r="C54" s="10" t="s">
        <v>118</v>
      </c>
      <c r="D54" s="10"/>
      <c r="E54" s="21" t="s">
        <v>116</v>
      </c>
    </row>
    <row r="55" customFormat="false" ht="27.75" hidden="false" customHeight="true" outlineLevel="0" collapsed="false">
      <c r="B55" s="9" t="s">
        <v>119</v>
      </c>
      <c r="C55" s="10" t="s">
        <v>120</v>
      </c>
      <c r="D55" s="10"/>
      <c r="E55" s="21" t="s">
        <v>116</v>
      </c>
    </row>
    <row r="56" customFormat="false" ht="27.75" hidden="false" customHeight="true" outlineLevel="0" collapsed="false">
      <c r="B56" s="9" t="s">
        <v>121</v>
      </c>
      <c r="C56" s="10" t="s">
        <v>122</v>
      </c>
      <c r="D56" s="10"/>
      <c r="E56" s="21" t="s">
        <v>123</v>
      </c>
    </row>
    <row r="57" customFormat="false" ht="27.75" hidden="false" customHeight="true" outlineLevel="0" collapsed="false">
      <c r="B57" s="9" t="s">
        <v>124</v>
      </c>
      <c r="C57" s="10" t="s">
        <v>125</v>
      </c>
      <c r="D57" s="10"/>
      <c r="E57" s="21" t="s">
        <v>116</v>
      </c>
    </row>
    <row r="58" customFormat="false" ht="27.75" hidden="false" customHeight="true" outlineLevel="0" collapsed="false">
      <c r="B58" s="9" t="s">
        <v>126</v>
      </c>
      <c r="C58" s="10" t="s">
        <v>127</v>
      </c>
      <c r="D58" s="10"/>
      <c r="E58" s="21" t="s">
        <v>128</v>
      </c>
    </row>
    <row r="60" customFormat="false" ht="21" hidden="false" customHeight="true" outlineLevel="0" collapsed="false">
      <c r="B60" s="6" t="s">
        <v>129</v>
      </c>
      <c r="C60" s="6"/>
      <c r="D60" s="6"/>
      <c r="E60" s="6"/>
    </row>
    <row r="61" customFormat="false" ht="17.25" hidden="false" customHeight="true" outlineLevel="0" collapsed="false">
      <c r="B61" s="7" t="s">
        <v>130</v>
      </c>
      <c r="C61" s="7"/>
      <c r="D61" s="7"/>
      <c r="E61" s="7"/>
    </row>
    <row r="62" customFormat="false" ht="30.75" hidden="false" customHeight="true" outlineLevel="0" collapsed="false">
      <c r="B62" s="7" t="s">
        <v>131</v>
      </c>
      <c r="C62" s="7"/>
      <c r="D62" s="7"/>
      <c r="E62" s="7"/>
    </row>
    <row r="63" customFormat="false" ht="17.25" hidden="false" customHeight="true" outlineLevel="0" collapsed="false">
      <c r="B63" s="7" t="s">
        <v>132</v>
      </c>
      <c r="C63" s="7"/>
      <c r="D63" s="7"/>
      <c r="E63" s="7"/>
    </row>
    <row r="65" customFormat="false" ht="21" hidden="false" customHeight="true" outlineLevel="0" collapsed="false">
      <c r="B65" s="6" t="s">
        <v>133</v>
      </c>
      <c r="C65" s="6"/>
      <c r="D65" s="6"/>
      <c r="E65" s="6"/>
    </row>
    <row r="66" customFormat="false" ht="30.75" hidden="false" customHeight="true" outlineLevel="0" collapsed="false">
      <c r="B66" s="7" t="s">
        <v>134</v>
      </c>
      <c r="C66" s="7"/>
      <c r="D66" s="7"/>
      <c r="E66" s="7"/>
    </row>
    <row r="67" customFormat="false" ht="17.25" hidden="false" customHeight="true" outlineLevel="0" collapsed="false">
      <c r="B67" s="7" t="s">
        <v>135</v>
      </c>
      <c r="C67" s="7"/>
      <c r="D67" s="7"/>
      <c r="E67" s="7"/>
    </row>
    <row r="68" customFormat="false" ht="17.25" hidden="false" customHeight="true" outlineLevel="0" collapsed="false">
      <c r="B68" s="7" t="s">
        <v>136</v>
      </c>
      <c r="C68" s="7"/>
      <c r="D68" s="7"/>
      <c r="E68" s="7"/>
    </row>
    <row r="69" customFormat="false" ht="17.25" hidden="false" customHeight="true" outlineLevel="0" collapsed="false">
      <c r="B69" s="7" t="s">
        <v>137</v>
      </c>
      <c r="C69" s="7"/>
      <c r="D69" s="7"/>
      <c r="E69" s="7"/>
    </row>
    <row r="71" customFormat="false" ht="21" hidden="false" customHeight="true" outlineLevel="0" collapsed="false">
      <c r="B71" s="6" t="s">
        <v>138</v>
      </c>
      <c r="C71" s="6"/>
      <c r="D71" s="6"/>
      <c r="E71" s="6"/>
    </row>
    <row r="72" customFormat="false" ht="30.75" hidden="false" customHeight="true" outlineLevel="0" collapsed="false">
      <c r="B72" s="7" t="s">
        <v>139</v>
      </c>
      <c r="C72" s="7"/>
      <c r="D72" s="7"/>
      <c r="E72" s="7"/>
    </row>
    <row r="73" customFormat="false" ht="17.25" hidden="false" customHeight="true" outlineLevel="0" collapsed="false">
      <c r="B73" s="7" t="s">
        <v>140</v>
      </c>
      <c r="C73" s="7"/>
      <c r="D73" s="7"/>
      <c r="E73" s="7"/>
    </row>
    <row r="74" customFormat="false" ht="17.25" hidden="false" customHeight="true" outlineLevel="0" collapsed="false">
      <c r="B74" s="7" t="s">
        <v>141</v>
      </c>
      <c r="C74" s="7"/>
      <c r="D74" s="7"/>
      <c r="E74" s="7"/>
    </row>
    <row r="75" customFormat="false" ht="30.75" hidden="false" customHeight="true" outlineLevel="0" collapsed="false">
      <c r="B75" s="7" t="s">
        <v>142</v>
      </c>
      <c r="C75" s="7"/>
      <c r="D75" s="7"/>
      <c r="E75" s="7"/>
    </row>
    <row r="76" customFormat="false" ht="17.25" hidden="false" customHeight="true" outlineLevel="0" collapsed="false">
      <c r="B76" s="7" t="s">
        <v>143</v>
      </c>
      <c r="C76" s="7"/>
      <c r="D76" s="7"/>
      <c r="E76" s="7"/>
    </row>
  </sheetData>
  <mergeCells count="51">
    <mergeCell ref="B1:E1"/>
    <mergeCell ref="B2:E2"/>
    <mergeCell ref="B3:E3"/>
    <mergeCell ref="B4:E4"/>
    <mergeCell ref="B6:E6"/>
    <mergeCell ref="B7:E7"/>
    <mergeCell ref="B8:E8"/>
    <mergeCell ref="B9:E9"/>
    <mergeCell ref="B10:E10"/>
    <mergeCell ref="B12:E12"/>
    <mergeCell ref="B28:E28"/>
    <mergeCell ref="D29:E29"/>
    <mergeCell ref="D30:E30"/>
    <mergeCell ref="D31:E31"/>
    <mergeCell ref="D32:E32"/>
    <mergeCell ref="D33:E33"/>
    <mergeCell ref="D34:E34"/>
    <mergeCell ref="B36:E36"/>
    <mergeCell ref="B40:E40"/>
    <mergeCell ref="B42:E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60:E60"/>
    <mergeCell ref="B61:E61"/>
    <mergeCell ref="B62:E62"/>
    <mergeCell ref="B63:E63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  <mergeCell ref="B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0"/>
    <col collapsed="false" customWidth="true" hidden="false" outlineLevel="0" max="3" min="3" style="1" width="110"/>
  </cols>
  <sheetData>
    <row r="1" customFormat="false" ht="21.75" hidden="false" customHeight="true" outlineLevel="0" collapsed="false">
      <c r="A1" s="22" t="s">
        <v>144</v>
      </c>
    </row>
    <row r="2" customFormat="false" ht="15" hidden="false" customHeight="true" outlineLevel="0" collapsed="false">
      <c r="A2" s="23" t="s">
        <v>145</v>
      </c>
    </row>
    <row r="3" customFormat="false" ht="21.75" hidden="false" customHeight="true" outlineLevel="0" collapsed="false">
      <c r="A3" s="24" t="s">
        <v>2</v>
      </c>
      <c r="B3" s="24"/>
      <c r="C3" s="24"/>
    </row>
    <row r="4" customFormat="false" ht="19.5" hidden="false" customHeight="true" outlineLevel="0" collapsed="false">
      <c r="A4" s="25" t="s">
        <v>146</v>
      </c>
      <c r="B4" s="25" t="s">
        <v>147</v>
      </c>
      <c r="C4" s="25" t="s">
        <v>148</v>
      </c>
    </row>
    <row r="5" customFormat="false" ht="16.5" hidden="false" customHeight="true" outlineLevel="0" collapsed="false">
      <c r="A5" s="26" t="s">
        <v>149</v>
      </c>
      <c r="B5" s="27" t="s">
        <v>150</v>
      </c>
      <c r="C5" s="28" t="s">
        <v>151</v>
      </c>
    </row>
    <row r="6" customFormat="false" ht="16.5" hidden="false" customHeight="true" outlineLevel="0" collapsed="false">
      <c r="A6" s="26" t="s">
        <v>152</v>
      </c>
      <c r="B6" s="27" t="s">
        <v>153</v>
      </c>
      <c r="C6" s="28" t="s">
        <v>154</v>
      </c>
    </row>
    <row r="7" customFormat="false" ht="16.5" hidden="false" customHeight="true" outlineLevel="0" collapsed="false">
      <c r="A7" s="26" t="s">
        <v>155</v>
      </c>
      <c r="B7" s="27" t="s">
        <v>156</v>
      </c>
      <c r="C7" s="28" t="s">
        <v>157</v>
      </c>
    </row>
    <row r="8" customFormat="false" ht="16.5" hidden="false" customHeight="true" outlineLevel="0" collapsed="false">
      <c r="A8" s="26" t="s">
        <v>158</v>
      </c>
      <c r="B8" s="27" t="s">
        <v>159</v>
      </c>
      <c r="C8" s="28" t="s">
        <v>160</v>
      </c>
    </row>
    <row r="9" customFormat="false" ht="16.5" hidden="false" customHeight="true" outlineLevel="0" collapsed="false">
      <c r="A9" s="26" t="s">
        <v>161</v>
      </c>
      <c r="B9" s="27" t="s">
        <v>159</v>
      </c>
      <c r="C9" s="28" t="s">
        <v>160</v>
      </c>
    </row>
    <row r="10" customFormat="false" ht="16.5" hidden="false" customHeight="true" outlineLevel="0" collapsed="false">
      <c r="A10" s="26" t="s">
        <v>162</v>
      </c>
      <c r="B10" s="29" t="n">
        <v>46083</v>
      </c>
      <c r="C10" s="28" t="s">
        <v>163</v>
      </c>
    </row>
    <row r="11" customFormat="false" ht="16.5" hidden="false" customHeight="true" outlineLevel="0" collapsed="false">
      <c r="A11" s="26" t="s">
        <v>164</v>
      </c>
      <c r="B11" s="29" t="n">
        <v>46374</v>
      </c>
      <c r="C11" s="28" t="s">
        <v>165</v>
      </c>
    </row>
    <row r="12" customFormat="false" ht="16.5" hidden="false" customHeight="true" outlineLevel="0" collapsed="false">
      <c r="A12" s="26" t="s">
        <v>166</v>
      </c>
      <c r="B12" s="30" t="n">
        <v>760000</v>
      </c>
      <c r="C12" s="28" t="s">
        <v>167</v>
      </c>
    </row>
    <row r="13" customFormat="false" ht="28.5" hidden="false" customHeight="true" outlineLevel="0" collapsed="false">
      <c r="A13" s="26" t="s">
        <v>168</v>
      </c>
      <c r="B13" s="29"/>
      <c r="C13" s="28" t="s">
        <v>169</v>
      </c>
    </row>
    <row r="14" customFormat="false" ht="41.25" hidden="false" customHeight="true" outlineLevel="0" collapsed="false">
      <c r="A14" s="26" t="s">
        <v>170</v>
      </c>
      <c r="B14" s="27" t="s">
        <v>171</v>
      </c>
      <c r="C14" s="28" t="s">
        <v>172</v>
      </c>
    </row>
    <row r="15" customFormat="false" ht="16.5" hidden="false" customHeight="true" outlineLevel="0" collapsed="false">
      <c r="A15" s="26" t="s">
        <v>173</v>
      </c>
      <c r="B15" s="31" t="n">
        <v>8</v>
      </c>
      <c r="C15" s="28" t="s">
        <v>174</v>
      </c>
    </row>
    <row r="16" customFormat="false" ht="16.5" hidden="false" customHeight="true" outlineLevel="0" collapsed="false">
      <c r="A16" s="26" t="s">
        <v>175</v>
      </c>
      <c r="B16" s="31" t="n">
        <v>10</v>
      </c>
      <c r="C16" s="28" t="s">
        <v>176</v>
      </c>
    </row>
    <row r="17" customFormat="false" ht="28.5" hidden="false" customHeight="true" outlineLevel="0" collapsed="false">
      <c r="A17" s="26" t="s">
        <v>177</v>
      </c>
      <c r="B17" s="31" t="n">
        <v>5</v>
      </c>
      <c r="C17" s="32" t="s">
        <v>178</v>
      </c>
    </row>
    <row r="18" customFormat="false" ht="28.5" hidden="false" customHeight="true" outlineLevel="0" collapsed="false">
      <c r="A18" s="26" t="s">
        <v>179</v>
      </c>
      <c r="B18" s="33" t="n">
        <v>0.8</v>
      </c>
      <c r="C18" s="32" t="s">
        <v>180</v>
      </c>
    </row>
    <row r="19" customFormat="false" ht="28.5" hidden="false" customHeight="true" outlineLevel="0" collapsed="false">
      <c r="A19" s="26" t="s">
        <v>181</v>
      </c>
      <c r="B19" s="33" t="n">
        <v>0.6</v>
      </c>
      <c r="C19" s="32" t="s">
        <v>180</v>
      </c>
    </row>
    <row r="20" customFormat="false" ht="16.5" hidden="false" customHeight="true" outlineLevel="0" collapsed="false">
      <c r="A20" s="26" t="s">
        <v>182</v>
      </c>
      <c r="B20" s="33" t="n">
        <v>0.05</v>
      </c>
      <c r="C20" s="28" t="s">
        <v>183</v>
      </c>
    </row>
    <row r="21" customFormat="false" ht="16.5" hidden="false" customHeight="true" outlineLevel="0" collapsed="false">
      <c r="A21" s="26" t="s">
        <v>184</v>
      </c>
      <c r="B21" s="33" t="n">
        <v>0.1</v>
      </c>
      <c r="C21" s="28" t="s">
        <v>185</v>
      </c>
    </row>
    <row r="22" customFormat="false" ht="16.5" hidden="false" customHeight="true" outlineLevel="0" collapsed="false">
      <c r="A22" s="26" t="s">
        <v>186</v>
      </c>
      <c r="B22" s="31" t="n">
        <v>24</v>
      </c>
      <c r="C22" s="28" t="s">
        <v>187</v>
      </c>
    </row>
    <row r="23" customFormat="false" ht="16.5" hidden="false" customHeight="true" outlineLevel="0" collapsed="false">
      <c r="A23" s="26" t="s">
        <v>188</v>
      </c>
      <c r="B23" s="31" t="n">
        <v>48</v>
      </c>
      <c r="C23" s="28" t="s">
        <v>189</v>
      </c>
    </row>
    <row r="24" customFormat="false" ht="28.5" hidden="false" customHeight="true" outlineLevel="0" collapsed="false">
      <c r="A24" s="26" t="s">
        <v>190</v>
      </c>
      <c r="B24" s="31" t="n">
        <v>6</v>
      </c>
      <c r="C24" s="32" t="s">
        <v>191</v>
      </c>
    </row>
    <row r="25" customFormat="false" ht="16.5" hidden="false" customHeight="true" outlineLevel="0" collapsed="false">
      <c r="A25" s="26" t="s">
        <v>192</v>
      </c>
      <c r="B25" s="31" t="n">
        <v>12</v>
      </c>
      <c r="C25" s="32" t="s">
        <v>193</v>
      </c>
    </row>
    <row r="26" customFormat="false" ht="16.5" hidden="false" customHeight="true" outlineLevel="0" collapsed="false">
      <c r="A26" s="26" t="s">
        <v>194</v>
      </c>
      <c r="B26" s="33" t="n">
        <v>0.98</v>
      </c>
      <c r="C26" s="28" t="s">
        <v>195</v>
      </c>
    </row>
    <row r="27" customFormat="false" ht="16.5" hidden="false" customHeight="true" outlineLevel="0" collapsed="false">
      <c r="A27" s="26" t="s">
        <v>196</v>
      </c>
      <c r="B27" s="33" t="n">
        <v>0.95</v>
      </c>
      <c r="C27" s="28" t="s">
        <v>195</v>
      </c>
    </row>
    <row r="28" customFormat="false" ht="16.5" hidden="false" customHeight="true" outlineLevel="0" collapsed="false">
      <c r="A28" s="26" t="s">
        <v>197</v>
      </c>
      <c r="B28" s="33" t="n">
        <v>0</v>
      </c>
      <c r="C28" s="28" t="s">
        <v>198</v>
      </c>
    </row>
    <row r="29" customFormat="false" ht="16.5" hidden="false" customHeight="true" outlineLevel="0" collapsed="false">
      <c r="A29" s="26" t="s">
        <v>199</v>
      </c>
      <c r="B29" s="33" t="n">
        <v>0.02</v>
      </c>
      <c r="C29" s="28" t="s">
        <v>200</v>
      </c>
    </row>
    <row r="30" customFormat="false" ht="16.5" hidden="false" customHeight="true" outlineLevel="0" collapsed="false">
      <c r="A30" s="26" t="s">
        <v>201</v>
      </c>
      <c r="B30" s="31" t="n">
        <v>5</v>
      </c>
      <c r="C30" s="28" t="s">
        <v>202</v>
      </c>
    </row>
    <row r="31" customFormat="false" ht="16.5" hidden="false" customHeight="true" outlineLevel="0" collapsed="false">
      <c r="A31" s="26" t="s">
        <v>203</v>
      </c>
      <c r="B31" s="33" t="n">
        <v>0.2</v>
      </c>
      <c r="C31" s="28" t="s">
        <v>204</v>
      </c>
    </row>
    <row r="32" customFormat="false" ht="16.5" hidden="false" customHeight="true" outlineLevel="0" collapsed="false">
      <c r="A32" s="26" t="s">
        <v>205</v>
      </c>
      <c r="B32" s="33" t="n">
        <v>0.95</v>
      </c>
      <c r="C32" s="28" t="s">
        <v>206</v>
      </c>
    </row>
    <row r="33" customFormat="false" ht="16.5" hidden="false" customHeight="true" outlineLevel="0" collapsed="false">
      <c r="A33" s="26" t="s">
        <v>207</v>
      </c>
      <c r="B33" s="34" t="n">
        <v>3</v>
      </c>
      <c r="C33" s="28" t="s">
        <v>208</v>
      </c>
    </row>
    <row r="34" customFormat="false" ht="28.5" hidden="false" customHeight="true" outlineLevel="0" collapsed="false">
      <c r="A34" s="26" t="s">
        <v>209</v>
      </c>
      <c r="B34" s="33" t="n">
        <v>0.9</v>
      </c>
      <c r="C34" s="32" t="s">
        <v>210</v>
      </c>
    </row>
    <row r="35" customFormat="false" ht="28.5" hidden="false" customHeight="true" outlineLevel="0" collapsed="false">
      <c r="A35" s="26" t="s">
        <v>211</v>
      </c>
      <c r="B35" s="33" t="n">
        <v>0.05</v>
      </c>
      <c r="C35" s="32" t="s">
        <v>212</v>
      </c>
    </row>
    <row r="36" customFormat="false" ht="28.5" hidden="false" customHeight="true" outlineLevel="0" collapsed="false">
      <c r="A36" s="26" t="s">
        <v>213</v>
      </c>
      <c r="B36" s="33" t="n">
        <v>0.2</v>
      </c>
      <c r="C36" s="32" t="s">
        <v>212</v>
      </c>
    </row>
    <row r="37" customFormat="false" ht="28.5" hidden="false" customHeight="true" outlineLevel="0" collapsed="false">
      <c r="A37" s="26" t="s">
        <v>214</v>
      </c>
      <c r="B37" s="33" t="n">
        <v>0.05</v>
      </c>
      <c r="C37" s="32" t="s">
        <v>215</v>
      </c>
    </row>
    <row r="38" customFormat="false" ht="28.5" hidden="false" customHeight="true" outlineLevel="0" collapsed="false">
      <c r="A38" s="26" t="s">
        <v>216</v>
      </c>
      <c r="B38" s="27" t="s">
        <v>217</v>
      </c>
      <c r="C38" s="28" t="s">
        <v>218</v>
      </c>
    </row>
    <row r="39" customFormat="false" ht="16.5" hidden="false" customHeight="true" outlineLevel="0" collapsed="false">
      <c r="A39" s="26" t="s">
        <v>219</v>
      </c>
      <c r="B39" s="27" t="s">
        <v>220</v>
      </c>
      <c r="C39" s="28" t="s">
        <v>221</v>
      </c>
    </row>
  </sheetData>
  <mergeCells count="1">
    <mergeCell ref="A3:C3"/>
  </mergeCells>
  <dataValidations count="1">
    <dataValidation allowBlank="false" error="Data Mode must be SAMPLE or LIVE." errorStyle="stop" errorTitle="SAMPLE or LIVE" operator="between" showDropDown="false" showErrorMessage="true" showInputMessage="false" sqref="B14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AE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16" min="4" style="1" width="11"/>
    <col collapsed="false" customWidth="true" hidden="false" outlineLevel="0" max="18" min="17" style="1" width="12"/>
    <col collapsed="false" customWidth="true" hidden="false" outlineLevel="0" max="19" min="19" style="1" width="11"/>
    <col collapsed="false" customWidth="true" hidden="false" outlineLevel="0" max="21" min="20" style="1" width="12"/>
    <col collapsed="false" customWidth="true" hidden="false" outlineLevel="0" max="22" min="22" style="1" width="11"/>
    <col collapsed="false" customWidth="true" hidden="false" outlineLevel="0" max="24" min="23" style="1" width="10"/>
    <col collapsed="false" customWidth="true" hidden="false" outlineLevel="0" max="26" min="25" style="1" width="11"/>
    <col collapsed="false" customWidth="true" hidden="false" outlineLevel="0" max="28" min="27" style="1" width="14"/>
    <col collapsed="false" customWidth="true" hidden="false" outlineLevel="0" max="29" min="29" style="1" width="10"/>
    <col collapsed="false" customWidth="true" hidden="false" outlineLevel="0" max="30" min="30" style="1" width="60"/>
    <col collapsed="false" customWidth="true" hidden="false" outlineLevel="0" max="31" min="31" style="1" width="34"/>
  </cols>
  <sheetData>
    <row r="1" customFormat="false" ht="21.75" hidden="false" customHeight="true" outlineLevel="0" collapsed="false">
      <c r="A1" s="22" t="s">
        <v>222</v>
      </c>
    </row>
    <row r="2" customFormat="false" ht="15" hidden="false" customHeight="true" outlineLevel="0" collapsed="false">
      <c r="A2" s="23" t="s">
        <v>223</v>
      </c>
    </row>
    <row r="3" customFormat="false" ht="15" hidden="false" customHeight="true" outlineLevel="0" collapsed="false">
      <c r="A3" s="35" t="s">
        <v>224</v>
      </c>
    </row>
    <row r="4" customFormat="false" ht="19.5" hidden="false" customHeight="true" outlineLevel="0" collapsed="false">
      <c r="A4" s="36" t="s">
        <v>225</v>
      </c>
      <c r="B4" s="37" t="s">
        <v>226</v>
      </c>
      <c r="C4" s="37"/>
      <c r="D4" s="37"/>
      <c r="E4" s="38" t="s">
        <v>227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7" t="s">
        <v>228</v>
      </c>
      <c r="R4" s="37"/>
      <c r="S4" s="37"/>
      <c r="T4" s="37"/>
      <c r="U4" s="37"/>
      <c r="V4" s="37"/>
      <c r="W4" s="38" t="s">
        <v>229</v>
      </c>
      <c r="X4" s="38"/>
      <c r="Y4" s="37" t="s">
        <v>230</v>
      </c>
      <c r="Z4" s="37"/>
      <c r="AA4" s="37"/>
      <c r="AB4" s="37"/>
      <c r="AC4" s="38" t="s">
        <v>231</v>
      </c>
      <c r="AD4" s="38"/>
      <c r="AE4" s="36"/>
    </row>
    <row r="5" customFormat="false" ht="43.5" hidden="false" customHeight="true" outlineLevel="0" collapsed="false">
      <c r="A5" s="39" t="s">
        <v>232</v>
      </c>
      <c r="B5" s="39" t="s">
        <v>233</v>
      </c>
      <c r="C5" s="39" t="s">
        <v>234</v>
      </c>
      <c r="D5" s="39" t="s">
        <v>235</v>
      </c>
      <c r="E5" s="39" t="s">
        <v>236</v>
      </c>
      <c r="F5" s="39" t="s">
        <v>237</v>
      </c>
      <c r="G5" s="39" t="s">
        <v>238</v>
      </c>
      <c r="H5" s="39" t="s">
        <v>239</v>
      </c>
      <c r="I5" s="39" t="s">
        <v>240</v>
      </c>
      <c r="J5" s="39" t="s">
        <v>241</v>
      </c>
      <c r="K5" s="39" t="s">
        <v>242</v>
      </c>
      <c r="L5" s="39" t="s">
        <v>243</v>
      </c>
      <c r="M5" s="39" t="s">
        <v>244</v>
      </c>
      <c r="N5" s="39" t="s">
        <v>245</v>
      </c>
      <c r="O5" s="39" t="s">
        <v>246</v>
      </c>
      <c r="P5" s="39" t="s">
        <v>247</v>
      </c>
      <c r="Q5" s="39" t="s">
        <v>248</v>
      </c>
      <c r="R5" s="39" t="s">
        <v>249</v>
      </c>
      <c r="S5" s="39" t="s">
        <v>250</v>
      </c>
      <c r="T5" s="39" t="s">
        <v>251</v>
      </c>
      <c r="U5" s="39" t="s">
        <v>252</v>
      </c>
      <c r="V5" s="39" t="s">
        <v>253</v>
      </c>
      <c r="W5" s="39" t="s">
        <v>254</v>
      </c>
      <c r="X5" s="39" t="s">
        <v>255</v>
      </c>
      <c r="Y5" s="39" t="s">
        <v>256</v>
      </c>
      <c r="Z5" s="39" t="s">
        <v>257</v>
      </c>
      <c r="AA5" s="39" t="s">
        <v>258</v>
      </c>
      <c r="AB5" s="39" t="s">
        <v>259</v>
      </c>
      <c r="AC5" s="39" t="s">
        <v>260</v>
      </c>
      <c r="AD5" s="39" t="s">
        <v>261</v>
      </c>
      <c r="AE5" s="39" t="s">
        <v>262</v>
      </c>
    </row>
    <row r="6" customFormat="false" ht="42.75" hidden="false" customHeight="true" outlineLevel="0" collapsed="false">
      <c r="A6" s="40" t="n">
        <v>46213</v>
      </c>
      <c r="B6" s="41" t="n">
        <v>5</v>
      </c>
      <c r="C6" s="41" t="n">
        <v>0</v>
      </c>
      <c r="D6" s="42" t="n">
        <f aca="false">IF(N(B6)&gt;0,1-N(C6)/(B6*Config!$B$15),"")</f>
        <v>1</v>
      </c>
      <c r="E6" s="43" t="n">
        <v>72</v>
      </c>
      <c r="F6" s="43" t="n">
        <v>25</v>
      </c>
      <c r="G6" s="43" t="n">
        <v>25</v>
      </c>
      <c r="H6" s="42" t="n">
        <f aca="false">IF(AND(ISNUMBER(E6),E6&gt;0),N(G6)/E6,"")</f>
        <v>0.347222222222222</v>
      </c>
      <c r="I6" s="43" t="n">
        <v>100</v>
      </c>
      <c r="J6" s="43" t="n">
        <v>29</v>
      </c>
      <c r="K6" s="43" t="n">
        <v>29</v>
      </c>
      <c r="L6" s="42" t="n">
        <f aca="false">IF(AND(ISNUMBER(I6),I6&gt;0),N(K6)/I6,"")</f>
        <v>0.29</v>
      </c>
      <c r="M6" s="43" t="n">
        <v>48</v>
      </c>
      <c r="N6" s="43" t="n">
        <v>10</v>
      </c>
      <c r="O6" s="43" t="n">
        <v>10</v>
      </c>
      <c r="P6" s="42" t="n">
        <f aca="false">IF(AND(ISNUMBER(M6),M6&gt;0),N(O6)/M6,"")</f>
        <v>0.208333333333333</v>
      </c>
      <c r="Q6" s="43" t="n">
        <v>150</v>
      </c>
      <c r="R6" s="43" t="n">
        <v>40</v>
      </c>
      <c r="S6" s="42" t="n">
        <f aca="false">IF(AND(ISNUMBER(Q6),Q6&gt;0),N(R6)/Q6,"")</f>
        <v>0.266666666666667</v>
      </c>
      <c r="T6" s="43" t="n">
        <v>200</v>
      </c>
      <c r="U6" s="43" t="n">
        <v>60</v>
      </c>
      <c r="V6" s="42" t="n">
        <f aca="false">IF(AND(ISNUMBER(T6),T6&gt;0),N(U6)/T6,"")</f>
        <v>0.3</v>
      </c>
      <c r="W6" s="41"/>
      <c r="X6" s="43"/>
      <c r="Y6" s="41" t="n">
        <v>6</v>
      </c>
      <c r="Z6" s="41" t="n">
        <v>6</v>
      </c>
      <c r="AA6" s="44" t="n">
        <v>465000</v>
      </c>
      <c r="AB6" s="44" t="n">
        <v>760000</v>
      </c>
      <c r="AC6" s="45" t="s">
        <v>63</v>
      </c>
      <c r="AD6" s="46" t="s">
        <v>263</v>
      </c>
      <c r="AE6" s="46"/>
    </row>
    <row r="7" customFormat="false" ht="42.75" hidden="false" customHeight="true" outlineLevel="0" collapsed="false">
      <c r="A7" s="40" t="n">
        <v>46220</v>
      </c>
      <c r="B7" s="41" t="n">
        <v>5</v>
      </c>
      <c r="C7" s="41" t="n">
        <v>1</v>
      </c>
      <c r="D7" s="42" t="n">
        <f aca="false">IF(N(B7)&gt;0,1-N(C7)/(B7*Config!$B$15),"")</f>
        <v>0.975</v>
      </c>
      <c r="E7" s="43" t="n">
        <v>72</v>
      </c>
      <c r="F7" s="43" t="n">
        <v>34</v>
      </c>
      <c r="G7" s="43" t="n">
        <v>34</v>
      </c>
      <c r="H7" s="42" t="n">
        <f aca="false">IF(AND(ISNUMBER(E7),E7&gt;0),N(G7)/E7,"")</f>
        <v>0.472222222222222</v>
      </c>
      <c r="I7" s="43" t="n">
        <v>100</v>
      </c>
      <c r="J7" s="43" t="n">
        <v>41</v>
      </c>
      <c r="K7" s="43" t="n">
        <v>41</v>
      </c>
      <c r="L7" s="42" t="n">
        <f aca="false">IF(AND(ISNUMBER(I7),I7&gt;0),N(K7)/I7,"")</f>
        <v>0.41</v>
      </c>
      <c r="M7" s="43" t="n">
        <v>48</v>
      </c>
      <c r="N7" s="43" t="n">
        <v>14</v>
      </c>
      <c r="O7" s="43" t="n">
        <v>14</v>
      </c>
      <c r="P7" s="42" t="n">
        <f aca="false">IF(AND(ISNUMBER(M7),M7&gt;0),N(O7)/M7,"")</f>
        <v>0.291666666666667</v>
      </c>
      <c r="Q7" s="43" t="n">
        <v>150</v>
      </c>
      <c r="R7" s="43" t="n">
        <v>46</v>
      </c>
      <c r="S7" s="42" t="n">
        <f aca="false">IF(AND(ISNUMBER(Q7),Q7&gt;0),N(R7)/Q7,"")</f>
        <v>0.306666666666667</v>
      </c>
      <c r="T7" s="43" t="n">
        <v>200</v>
      </c>
      <c r="U7" s="43" t="n">
        <v>68</v>
      </c>
      <c r="V7" s="42" t="n">
        <f aca="false">IF(AND(ISNUMBER(T7),T7&gt;0),N(U7)/T7,"")</f>
        <v>0.34</v>
      </c>
      <c r="W7" s="41"/>
      <c r="X7" s="43"/>
      <c r="Y7" s="41" t="n">
        <v>6</v>
      </c>
      <c r="Z7" s="41" t="n">
        <v>6</v>
      </c>
      <c r="AA7" s="44" t="n">
        <v>477000</v>
      </c>
      <c r="AB7" s="44" t="n">
        <v>760000</v>
      </c>
      <c r="AC7" s="45" t="s">
        <v>63</v>
      </c>
      <c r="AD7" s="46" t="s">
        <v>264</v>
      </c>
      <c r="AE7" s="46"/>
    </row>
    <row r="8" customFormat="false" ht="42.75" hidden="false" customHeight="true" outlineLevel="0" collapsed="false">
      <c r="A8" s="40" t="n">
        <v>46227</v>
      </c>
      <c r="B8" s="41" t="n">
        <v>5</v>
      </c>
      <c r="C8" s="41" t="n">
        <v>0</v>
      </c>
      <c r="D8" s="42" t="n">
        <f aca="false">IF(N(B8)&gt;0,1-N(C8)/(B8*Config!$B$15),"")</f>
        <v>1</v>
      </c>
      <c r="E8" s="43" t="n">
        <v>72</v>
      </c>
      <c r="F8" s="43" t="n">
        <v>42</v>
      </c>
      <c r="G8" s="43" t="n">
        <v>42</v>
      </c>
      <c r="H8" s="42" t="n">
        <f aca="false">IF(AND(ISNUMBER(E8),E8&gt;0),N(G8)/E8,"")</f>
        <v>0.583333333333333</v>
      </c>
      <c r="I8" s="43" t="n">
        <v>100</v>
      </c>
      <c r="J8" s="43" t="n">
        <v>52</v>
      </c>
      <c r="K8" s="43" t="n">
        <v>52</v>
      </c>
      <c r="L8" s="42" t="n">
        <f aca="false">IF(AND(ISNUMBER(I8),I8&gt;0),N(K8)/I8,"")</f>
        <v>0.52</v>
      </c>
      <c r="M8" s="43" t="n">
        <v>48</v>
      </c>
      <c r="N8" s="43" t="n">
        <v>25</v>
      </c>
      <c r="O8" s="43" t="n">
        <v>17</v>
      </c>
      <c r="P8" s="42" t="n">
        <f aca="false">IF(AND(ISNUMBER(M8),M8&gt;0),N(O8)/M8,"")</f>
        <v>0.354166666666667</v>
      </c>
      <c r="Q8" s="43" t="n">
        <v>150</v>
      </c>
      <c r="R8" s="43" t="n">
        <v>51</v>
      </c>
      <c r="S8" s="42" t="n">
        <f aca="false">IF(AND(ISNUMBER(Q8),Q8&gt;0),N(R8)/Q8,"")</f>
        <v>0.34</v>
      </c>
      <c r="T8" s="43" t="n">
        <v>200</v>
      </c>
      <c r="U8" s="43" t="n">
        <v>75</v>
      </c>
      <c r="V8" s="42" t="n">
        <f aca="false">IF(AND(ISNUMBER(T8),T8&gt;0),N(U8)/T8,"")</f>
        <v>0.375</v>
      </c>
      <c r="W8" s="41"/>
      <c r="X8" s="43"/>
      <c r="Y8" s="41" t="n">
        <v>6</v>
      </c>
      <c r="Z8" s="41" t="n">
        <v>6</v>
      </c>
      <c r="AA8" s="44" t="n">
        <v>488000</v>
      </c>
      <c r="AB8" s="44" t="n">
        <v>760000</v>
      </c>
      <c r="AC8" s="45" t="s">
        <v>63</v>
      </c>
      <c r="AD8" s="46" t="s">
        <v>265</v>
      </c>
      <c r="AE8" s="46"/>
    </row>
    <row r="9" customFormat="false" ht="30" hidden="false" customHeight="true" outlineLevel="0" collapsed="false">
      <c r="A9" s="40" t="n">
        <v>46234</v>
      </c>
      <c r="B9" s="41" t="n">
        <v>5</v>
      </c>
      <c r="C9" s="41" t="n">
        <v>0</v>
      </c>
      <c r="D9" s="42" t="n">
        <f aca="false">IF(N(B9)&gt;0,1-N(C9)/(B9*Config!$B$15),"")</f>
        <v>1</v>
      </c>
      <c r="E9" s="43" t="n">
        <v>72</v>
      </c>
      <c r="F9" s="43" t="n">
        <v>50</v>
      </c>
      <c r="G9" s="43" t="n">
        <v>49</v>
      </c>
      <c r="H9" s="42" t="n">
        <f aca="false">IF(AND(ISNUMBER(E9),E9&gt;0),N(G9)/E9,"")</f>
        <v>0.680555555555556</v>
      </c>
      <c r="I9" s="43" t="n">
        <v>100</v>
      </c>
      <c r="J9" s="43" t="n">
        <v>75</v>
      </c>
      <c r="K9" s="43" t="n">
        <v>62</v>
      </c>
      <c r="L9" s="42" t="n">
        <f aca="false">IF(AND(ISNUMBER(I9),I9&gt;0),N(K9)/I9,"")</f>
        <v>0.62</v>
      </c>
      <c r="M9" s="43" t="n">
        <v>48</v>
      </c>
      <c r="N9" s="43" t="n">
        <v>41</v>
      </c>
      <c r="O9" s="43" t="n">
        <v>20</v>
      </c>
      <c r="P9" s="42" t="n">
        <f aca="false">IF(AND(ISNUMBER(M9),M9&gt;0),N(O9)/M9,"")</f>
        <v>0.416666666666667</v>
      </c>
      <c r="Q9" s="43" t="n">
        <v>150</v>
      </c>
      <c r="R9" s="43" t="n">
        <v>57</v>
      </c>
      <c r="S9" s="42" t="n">
        <f aca="false">IF(AND(ISNUMBER(Q9),Q9&gt;0),N(R9)/Q9,"")</f>
        <v>0.38</v>
      </c>
      <c r="T9" s="43" t="n">
        <v>200</v>
      </c>
      <c r="U9" s="43" t="n">
        <v>82</v>
      </c>
      <c r="V9" s="42" t="n">
        <f aca="false">IF(AND(ISNUMBER(T9),T9&gt;0),N(U9)/T9,"")</f>
        <v>0.41</v>
      </c>
      <c r="W9" s="41"/>
      <c r="X9" s="43"/>
      <c r="Y9" s="41" t="n">
        <v>6</v>
      </c>
      <c r="Z9" s="41" t="n">
        <v>6</v>
      </c>
      <c r="AA9" s="44" t="n">
        <v>500000</v>
      </c>
      <c r="AB9" s="44" t="n">
        <v>760000</v>
      </c>
      <c r="AC9" s="45" t="s">
        <v>63</v>
      </c>
      <c r="AD9" s="46" t="s">
        <v>266</v>
      </c>
      <c r="AE9" s="46"/>
    </row>
    <row r="10" customFormat="false" ht="42.75" hidden="false" customHeight="true" outlineLevel="0" collapsed="false">
      <c r="A10" s="40" t="n">
        <v>46241</v>
      </c>
      <c r="B10" s="41" t="n">
        <v>5</v>
      </c>
      <c r="C10" s="41" t="n">
        <v>1</v>
      </c>
      <c r="D10" s="42" t="n">
        <f aca="false">IF(N(B10)&gt;0,1-N(C10)/(B10*Config!$B$15),"")</f>
        <v>0.975</v>
      </c>
      <c r="E10" s="43" t="n">
        <v>72</v>
      </c>
      <c r="F10" s="43" t="n">
        <v>71</v>
      </c>
      <c r="G10" s="43" t="n">
        <v>55</v>
      </c>
      <c r="H10" s="42" t="n">
        <f aca="false">IF(AND(ISNUMBER(E10),E10&gt;0),N(G10)/E10,"")</f>
        <v>0.763888888888889</v>
      </c>
      <c r="I10" s="43" t="n">
        <v>100</v>
      </c>
      <c r="J10" s="43" t="n">
        <v>107</v>
      </c>
      <c r="K10" s="43" t="n">
        <v>72</v>
      </c>
      <c r="L10" s="42" t="n">
        <f aca="false">IF(AND(ISNUMBER(I10),I10&gt;0),N(K10)/I10,"")</f>
        <v>0.72</v>
      </c>
      <c r="M10" s="43" t="n">
        <v>48</v>
      </c>
      <c r="N10" s="43" t="n">
        <v>59</v>
      </c>
      <c r="O10" s="43" t="n">
        <v>23</v>
      </c>
      <c r="P10" s="42" t="n">
        <f aca="false">IF(AND(ISNUMBER(M10),M10&gt;0),N(O10)/M10,"")</f>
        <v>0.479166666666667</v>
      </c>
      <c r="Q10" s="43" t="n">
        <v>150</v>
      </c>
      <c r="R10" s="43" t="n">
        <v>63</v>
      </c>
      <c r="S10" s="42" t="n">
        <f aca="false">IF(AND(ISNUMBER(Q10),Q10&gt;0),N(R10)/Q10,"")</f>
        <v>0.42</v>
      </c>
      <c r="T10" s="43" t="n">
        <v>200</v>
      </c>
      <c r="U10" s="43" t="n">
        <v>90</v>
      </c>
      <c r="V10" s="42" t="n">
        <f aca="false">IF(AND(ISNUMBER(T10),T10&gt;0),N(U10)/T10,"")</f>
        <v>0.45</v>
      </c>
      <c r="W10" s="41"/>
      <c r="X10" s="43"/>
      <c r="Y10" s="41" t="n">
        <v>6</v>
      </c>
      <c r="Z10" s="41" t="n">
        <v>6</v>
      </c>
      <c r="AA10" s="44" t="n">
        <v>513000</v>
      </c>
      <c r="AB10" s="44" t="n">
        <v>760000</v>
      </c>
      <c r="AC10" s="45" t="s">
        <v>63</v>
      </c>
      <c r="AD10" s="46" t="s">
        <v>267</v>
      </c>
      <c r="AE10" s="46"/>
    </row>
    <row r="11" customFormat="false" ht="42.75" hidden="false" customHeight="true" outlineLevel="0" collapsed="false">
      <c r="A11" s="40" t="n">
        <v>46248</v>
      </c>
      <c r="B11" s="41" t="n">
        <v>5</v>
      </c>
      <c r="C11" s="41" t="n">
        <v>0</v>
      </c>
      <c r="D11" s="42" t="n">
        <f aca="false">IF(N(B11)&gt;0,1-N(C11)/(B11*Config!$B$15),"")</f>
        <v>1</v>
      </c>
      <c r="E11" s="43" t="n">
        <v>72</v>
      </c>
      <c r="F11" s="43" t="n">
        <v>87</v>
      </c>
      <c r="G11" s="43" t="n">
        <v>60</v>
      </c>
      <c r="H11" s="42" t="n">
        <f aca="false">IF(AND(ISNUMBER(E11),E11&gt;0),N(G11)/E11,"")</f>
        <v>0.833333333333333</v>
      </c>
      <c r="I11" s="43" t="n">
        <v>100</v>
      </c>
      <c r="J11" s="43" t="n">
        <v>130</v>
      </c>
      <c r="K11" s="43" t="n">
        <v>79</v>
      </c>
      <c r="L11" s="42" t="n">
        <f aca="false">IF(AND(ISNUMBER(I11),I11&gt;0),N(K11)/I11,"")</f>
        <v>0.79</v>
      </c>
      <c r="M11" s="43" t="n">
        <v>48</v>
      </c>
      <c r="N11" s="43" t="n">
        <v>72</v>
      </c>
      <c r="O11" s="43" t="n">
        <v>25</v>
      </c>
      <c r="P11" s="42" t="n">
        <f aca="false">IF(AND(ISNUMBER(M11),M11&gt;0),N(O11)/M11,"")</f>
        <v>0.520833333333333</v>
      </c>
      <c r="Q11" s="43" t="n">
        <v>150</v>
      </c>
      <c r="R11" s="43" t="n">
        <v>69</v>
      </c>
      <c r="S11" s="42" t="n">
        <f aca="false">IF(AND(ISNUMBER(Q11),Q11&gt;0),N(R11)/Q11,"")</f>
        <v>0.46</v>
      </c>
      <c r="T11" s="43" t="n">
        <v>200</v>
      </c>
      <c r="U11" s="43" t="n">
        <v>98</v>
      </c>
      <c r="V11" s="42" t="n">
        <f aca="false">IF(AND(ISNUMBER(T11),T11&gt;0),N(U11)/T11,"")</f>
        <v>0.49</v>
      </c>
      <c r="W11" s="41"/>
      <c r="X11" s="43"/>
      <c r="Y11" s="41" t="n">
        <v>6</v>
      </c>
      <c r="Z11" s="41" t="n">
        <v>5</v>
      </c>
      <c r="AA11" s="44" t="n">
        <v>525000</v>
      </c>
      <c r="AB11" s="44" t="n">
        <v>760000</v>
      </c>
      <c r="AC11" s="45" t="s">
        <v>63</v>
      </c>
      <c r="AD11" s="46" t="s">
        <v>268</v>
      </c>
      <c r="AE11" s="46" t="s">
        <v>269</v>
      </c>
    </row>
    <row r="12" customFormat="false" ht="42.75" hidden="false" customHeight="true" outlineLevel="0" collapsed="false">
      <c r="A12" s="40" t="n">
        <v>46255</v>
      </c>
      <c r="B12" s="41" t="n">
        <v>5</v>
      </c>
      <c r="C12" s="41" t="n">
        <v>1</v>
      </c>
      <c r="D12" s="42" t="n">
        <f aca="false">IF(N(B12)&gt;0,1-N(C12)/(B12*Config!$B$15),"")</f>
        <v>0.975</v>
      </c>
      <c r="E12" s="43" t="n">
        <v>72</v>
      </c>
      <c r="F12" s="43" t="n">
        <v>98</v>
      </c>
      <c r="G12" s="43" t="n">
        <v>64</v>
      </c>
      <c r="H12" s="42" t="n">
        <f aca="false">IF(AND(ISNUMBER(E12),E12&gt;0),N(G12)/E12,"")</f>
        <v>0.888888888888889</v>
      </c>
      <c r="I12" s="43" t="n">
        <v>100</v>
      </c>
      <c r="J12" s="43" t="n">
        <v>147</v>
      </c>
      <c r="K12" s="43" t="n">
        <v>85</v>
      </c>
      <c r="L12" s="42" t="n">
        <f aca="false">IF(AND(ISNUMBER(I12),I12&gt;0),N(K12)/I12,"")</f>
        <v>0.85</v>
      </c>
      <c r="M12" s="43" t="n">
        <v>48</v>
      </c>
      <c r="N12" s="43" t="n">
        <v>82</v>
      </c>
      <c r="O12" s="43" t="n">
        <v>26</v>
      </c>
      <c r="P12" s="42" t="n">
        <f aca="false">IF(AND(ISNUMBER(M12),M12&gt;0),N(O12)/M12,"")</f>
        <v>0.541666666666667</v>
      </c>
      <c r="Q12" s="43" t="n">
        <v>150</v>
      </c>
      <c r="R12" s="43" t="n">
        <v>74</v>
      </c>
      <c r="S12" s="42" t="n">
        <f aca="false">IF(AND(ISNUMBER(Q12),Q12&gt;0),N(R12)/Q12,"")</f>
        <v>0.493333333333333</v>
      </c>
      <c r="T12" s="43" t="n">
        <v>200</v>
      </c>
      <c r="U12" s="43" t="n">
        <v>105</v>
      </c>
      <c r="V12" s="42" t="n">
        <f aca="false">IF(AND(ISNUMBER(T12),T12&gt;0),N(U12)/T12,"")</f>
        <v>0.525</v>
      </c>
      <c r="W12" s="41"/>
      <c r="X12" s="43"/>
      <c r="Y12" s="41" t="n">
        <v>6</v>
      </c>
      <c r="Z12" s="41" t="n">
        <v>6</v>
      </c>
      <c r="AA12" s="44" t="n">
        <v>536000</v>
      </c>
      <c r="AB12" s="44" t="n">
        <v>760000</v>
      </c>
      <c r="AC12" s="45" t="s">
        <v>63</v>
      </c>
      <c r="AD12" s="46" t="s">
        <v>270</v>
      </c>
      <c r="AE12" s="46"/>
    </row>
    <row r="13" customFormat="false" ht="42.75" hidden="false" customHeight="true" outlineLevel="0" collapsed="false">
      <c r="A13" s="40" t="n">
        <v>46262</v>
      </c>
      <c r="B13" s="41" t="n">
        <v>5</v>
      </c>
      <c r="C13" s="41" t="n">
        <v>0</v>
      </c>
      <c r="D13" s="42" t="n">
        <f aca="false">IF(N(B13)&gt;0,1-N(C13)/(B13*Config!$B$15),"")</f>
        <v>1</v>
      </c>
      <c r="E13" s="43" t="n">
        <v>72</v>
      </c>
      <c r="F13" s="43" t="n">
        <v>108</v>
      </c>
      <c r="G13" s="43" t="n">
        <v>67</v>
      </c>
      <c r="H13" s="42" t="n">
        <f aca="false">IF(AND(ISNUMBER(E13),E13&gt;0),N(G13)/E13,"")</f>
        <v>0.930555555555556</v>
      </c>
      <c r="I13" s="43" t="n">
        <v>100</v>
      </c>
      <c r="J13" s="43" t="n">
        <v>162</v>
      </c>
      <c r="K13" s="43" t="n">
        <v>89</v>
      </c>
      <c r="L13" s="42" t="n">
        <f aca="false">IF(AND(ISNUMBER(I13),I13&gt;0),N(K13)/I13,"")</f>
        <v>0.89</v>
      </c>
      <c r="M13" s="43" t="n">
        <v>48</v>
      </c>
      <c r="N13" s="43" t="n">
        <v>89</v>
      </c>
      <c r="O13" s="43" t="n">
        <v>28</v>
      </c>
      <c r="P13" s="42" t="n">
        <f aca="false">IF(AND(ISNUMBER(M13),M13&gt;0),N(O13)/M13,"")</f>
        <v>0.583333333333333</v>
      </c>
      <c r="Q13" s="43" t="n">
        <v>150</v>
      </c>
      <c r="R13" s="43" t="n">
        <v>80</v>
      </c>
      <c r="S13" s="42" t="n">
        <f aca="false">IF(AND(ISNUMBER(Q13),Q13&gt;0),N(R13)/Q13,"")</f>
        <v>0.533333333333333</v>
      </c>
      <c r="T13" s="43" t="n">
        <v>200</v>
      </c>
      <c r="U13" s="43" t="n">
        <v>112</v>
      </c>
      <c r="V13" s="42" t="n">
        <f aca="false">IF(AND(ISNUMBER(T13),T13&gt;0),N(U13)/T13,"")</f>
        <v>0.56</v>
      </c>
      <c r="W13" s="41"/>
      <c r="X13" s="43"/>
      <c r="Y13" s="41" t="n">
        <v>6</v>
      </c>
      <c r="Z13" s="41" t="n">
        <v>6</v>
      </c>
      <c r="AA13" s="44" t="n">
        <v>548000</v>
      </c>
      <c r="AB13" s="44" t="n">
        <v>760000</v>
      </c>
      <c r="AC13" s="45" t="s">
        <v>63</v>
      </c>
      <c r="AD13" s="46" t="s">
        <v>271</v>
      </c>
      <c r="AE13" s="46"/>
    </row>
    <row r="14" customFormat="false" ht="42.75" hidden="false" customHeight="true" outlineLevel="0" collapsed="false">
      <c r="A14" s="40" t="n">
        <v>46269</v>
      </c>
      <c r="B14" s="41" t="n">
        <v>5</v>
      </c>
      <c r="C14" s="41" t="n">
        <v>0</v>
      </c>
      <c r="D14" s="42" t="n">
        <f aca="false">IF(N(B14)&gt;0,1-N(C14)/(B14*Config!$B$15),"")</f>
        <v>1</v>
      </c>
      <c r="E14" s="43" t="n">
        <v>72</v>
      </c>
      <c r="F14" s="43" t="n">
        <v>115</v>
      </c>
      <c r="G14" s="43" t="n">
        <v>69</v>
      </c>
      <c r="H14" s="42" t="n">
        <f aca="false">IF(AND(ISNUMBER(E14),E14&gt;0),N(G14)/E14,"")</f>
        <v>0.958333333333333</v>
      </c>
      <c r="I14" s="43" t="n">
        <v>100</v>
      </c>
      <c r="J14" s="43" t="n">
        <v>173</v>
      </c>
      <c r="K14" s="43" t="n">
        <v>93</v>
      </c>
      <c r="L14" s="42" t="n">
        <f aca="false">IF(AND(ISNUMBER(I14),I14&gt;0),N(K14)/I14,"")</f>
        <v>0.93</v>
      </c>
      <c r="M14" s="43" t="n">
        <v>48</v>
      </c>
      <c r="N14" s="43" t="n">
        <v>96</v>
      </c>
      <c r="O14" s="43" t="n">
        <v>29</v>
      </c>
      <c r="P14" s="42" t="n">
        <f aca="false">IF(AND(ISNUMBER(M14),M14&gt;0),N(O14)/M14,"")</f>
        <v>0.604166666666667</v>
      </c>
      <c r="Q14" s="43" t="n">
        <v>150</v>
      </c>
      <c r="R14" s="43" t="n">
        <v>86</v>
      </c>
      <c r="S14" s="42" t="n">
        <f aca="false">IF(AND(ISNUMBER(Q14),Q14&gt;0),N(R14)/Q14,"")</f>
        <v>0.573333333333333</v>
      </c>
      <c r="T14" s="43" t="n">
        <v>200</v>
      </c>
      <c r="U14" s="43" t="n">
        <v>120</v>
      </c>
      <c r="V14" s="42" t="n">
        <f aca="false">IF(AND(ISNUMBER(T14),T14&gt;0),N(U14)/T14,"")</f>
        <v>0.6</v>
      </c>
      <c r="W14" s="41"/>
      <c r="X14" s="43"/>
      <c r="Y14" s="41" t="n">
        <v>6</v>
      </c>
      <c r="Z14" s="41" t="n">
        <v>6</v>
      </c>
      <c r="AA14" s="44" t="n">
        <v>560000</v>
      </c>
      <c r="AB14" s="44" t="n">
        <v>760000</v>
      </c>
      <c r="AC14" s="45" t="s">
        <v>63</v>
      </c>
      <c r="AD14" s="46" t="s">
        <v>272</v>
      </c>
      <c r="AE14" s="46"/>
    </row>
    <row r="15" customFormat="false" ht="42.75" hidden="false" customHeight="true" outlineLevel="0" collapsed="false">
      <c r="A15" s="40" t="n">
        <v>46276</v>
      </c>
      <c r="B15" s="41" t="n">
        <v>5</v>
      </c>
      <c r="C15" s="41" t="n">
        <v>1</v>
      </c>
      <c r="D15" s="42" t="n">
        <f aca="false">IF(N(B15)&gt;0,1-N(C15)/(B15*Config!$B$15),"")</f>
        <v>0.975</v>
      </c>
      <c r="E15" s="43" t="n">
        <v>72</v>
      </c>
      <c r="F15" s="43" t="n">
        <v>122</v>
      </c>
      <c r="G15" s="43" t="n">
        <v>71</v>
      </c>
      <c r="H15" s="42" t="n">
        <f aca="false">IF(AND(ISNUMBER(E15),E15&gt;0),N(G15)/E15,"")</f>
        <v>0.986111111111111</v>
      </c>
      <c r="I15" s="43" t="n">
        <v>100</v>
      </c>
      <c r="J15" s="43" t="n">
        <v>183</v>
      </c>
      <c r="K15" s="43" t="n">
        <v>95</v>
      </c>
      <c r="L15" s="42" t="n">
        <f aca="false">IF(AND(ISNUMBER(I15),I15&gt;0),N(K15)/I15,"")</f>
        <v>0.95</v>
      </c>
      <c r="M15" s="43" t="n">
        <v>48</v>
      </c>
      <c r="N15" s="43" t="n">
        <v>101</v>
      </c>
      <c r="O15" s="43" t="n">
        <v>29</v>
      </c>
      <c r="P15" s="42" t="n">
        <f aca="false">IF(AND(ISNUMBER(M15),M15&gt;0),N(O15)/M15,"")</f>
        <v>0.604166666666667</v>
      </c>
      <c r="Q15" s="43" t="n">
        <v>150</v>
      </c>
      <c r="R15" s="43" t="n">
        <v>91</v>
      </c>
      <c r="S15" s="42" t="n">
        <f aca="false">IF(AND(ISNUMBER(Q15),Q15&gt;0),N(R15)/Q15,"")</f>
        <v>0.606666666666667</v>
      </c>
      <c r="T15" s="43" t="n">
        <v>200</v>
      </c>
      <c r="U15" s="43" t="n">
        <v>128</v>
      </c>
      <c r="V15" s="42" t="n">
        <f aca="false">IF(AND(ISNUMBER(T15),T15&gt;0),N(U15)/T15,"")</f>
        <v>0.64</v>
      </c>
      <c r="W15" s="41"/>
      <c r="X15" s="43"/>
      <c r="Y15" s="41" t="n">
        <v>6</v>
      </c>
      <c r="Z15" s="41" t="n">
        <v>6</v>
      </c>
      <c r="AA15" s="44" t="n">
        <v>573000</v>
      </c>
      <c r="AB15" s="44" t="n">
        <v>760000</v>
      </c>
      <c r="AC15" s="45" t="s">
        <v>63</v>
      </c>
      <c r="AD15" s="46" t="s">
        <v>273</v>
      </c>
      <c r="AE15" s="46"/>
    </row>
    <row r="16" customFormat="false" ht="42.75" hidden="false" customHeight="true" outlineLevel="0" collapsed="false">
      <c r="A16" s="40" t="n">
        <v>46283</v>
      </c>
      <c r="B16" s="41" t="n">
        <v>5</v>
      </c>
      <c r="C16" s="41" t="n">
        <v>0</v>
      </c>
      <c r="D16" s="42" t="n">
        <f aca="false">IF(N(B16)&gt;0,1-N(C16)/(B16*Config!$B$15),"")</f>
        <v>1</v>
      </c>
      <c r="E16" s="43" t="n">
        <v>72</v>
      </c>
      <c r="F16" s="43" t="n">
        <v>125</v>
      </c>
      <c r="G16" s="43" t="n">
        <v>71</v>
      </c>
      <c r="H16" s="42" t="n">
        <f aca="false">IF(AND(ISNUMBER(E16),E16&gt;0),N(G16)/E16,"")</f>
        <v>0.986111111111111</v>
      </c>
      <c r="I16" s="43" t="n">
        <v>100</v>
      </c>
      <c r="J16" s="43" t="n">
        <v>188</v>
      </c>
      <c r="K16" s="43" t="n">
        <v>96</v>
      </c>
      <c r="L16" s="42" t="n">
        <f aca="false">IF(AND(ISNUMBER(I16),I16&gt;0),N(K16)/I16,"")</f>
        <v>0.96</v>
      </c>
      <c r="M16" s="43" t="n">
        <v>48</v>
      </c>
      <c r="N16" s="43" t="n">
        <v>104</v>
      </c>
      <c r="O16" s="43" t="n">
        <v>29</v>
      </c>
      <c r="P16" s="42" t="n">
        <f aca="false">IF(AND(ISNUMBER(M16),M16&gt;0),N(O16)/M16,"")</f>
        <v>0.604166666666667</v>
      </c>
      <c r="Q16" s="43" t="n">
        <v>150</v>
      </c>
      <c r="R16" s="43" t="n">
        <v>97</v>
      </c>
      <c r="S16" s="42" t="n">
        <f aca="false">IF(AND(ISNUMBER(Q16),Q16&gt;0),N(R16)/Q16,"")</f>
        <v>0.646666666666667</v>
      </c>
      <c r="T16" s="43" t="n">
        <v>200</v>
      </c>
      <c r="U16" s="43" t="n">
        <v>135</v>
      </c>
      <c r="V16" s="42" t="n">
        <f aca="false">IF(AND(ISNUMBER(T16),T16&gt;0),N(U16)/T16,"")</f>
        <v>0.675</v>
      </c>
      <c r="W16" s="41"/>
      <c r="X16" s="43"/>
      <c r="Y16" s="41" t="n">
        <v>6</v>
      </c>
      <c r="Z16" s="41" t="n">
        <v>6</v>
      </c>
      <c r="AA16" s="44" t="n">
        <v>585000</v>
      </c>
      <c r="AB16" s="44" t="n">
        <v>760000</v>
      </c>
      <c r="AC16" s="45" t="s">
        <v>63</v>
      </c>
      <c r="AD16" s="46" t="s">
        <v>274</v>
      </c>
      <c r="AE16" s="46" t="s">
        <v>275</v>
      </c>
    </row>
    <row r="17" customFormat="false" ht="42.75" hidden="false" customHeight="true" outlineLevel="0" collapsed="false">
      <c r="A17" s="40" t="n">
        <v>46290</v>
      </c>
      <c r="B17" s="41" t="n">
        <v>5</v>
      </c>
      <c r="C17" s="41" t="n">
        <v>1</v>
      </c>
      <c r="D17" s="42" t="n">
        <f aca="false">IF(N(B17)&gt;0,1-N(C17)/(B17*Config!$B$15),"")</f>
        <v>0.975</v>
      </c>
      <c r="E17" s="43" t="n">
        <v>72</v>
      </c>
      <c r="F17" s="43" t="n">
        <v>126</v>
      </c>
      <c r="G17" s="43" t="n">
        <v>72</v>
      </c>
      <c r="H17" s="42" t="n">
        <f aca="false">IF(AND(ISNUMBER(E17),E17&gt;0),N(G17)/E17,"")</f>
        <v>1</v>
      </c>
      <c r="I17" s="43" t="n">
        <v>100</v>
      </c>
      <c r="J17" s="43" t="n">
        <v>189</v>
      </c>
      <c r="K17" s="43" t="n">
        <v>97</v>
      </c>
      <c r="L17" s="42" t="n">
        <f aca="false">IF(AND(ISNUMBER(I17),I17&gt;0),N(K17)/I17,"")</f>
        <v>0.97</v>
      </c>
      <c r="M17" s="43" t="n">
        <v>48</v>
      </c>
      <c r="N17" s="43" t="n">
        <v>105</v>
      </c>
      <c r="O17" s="43" t="n">
        <v>30</v>
      </c>
      <c r="P17" s="42" t="n">
        <f aca="false">IF(AND(ISNUMBER(M17),M17&gt;0),N(O17)/M17,"")</f>
        <v>0.625</v>
      </c>
      <c r="Q17" s="43" t="n">
        <v>150</v>
      </c>
      <c r="R17" s="43" t="n">
        <v>102</v>
      </c>
      <c r="S17" s="42" t="n">
        <f aca="false">IF(AND(ISNUMBER(Q17),Q17&gt;0),N(R17)/Q17,"")</f>
        <v>0.68</v>
      </c>
      <c r="T17" s="43" t="n">
        <v>200</v>
      </c>
      <c r="U17" s="43" t="n">
        <v>142</v>
      </c>
      <c r="V17" s="42" t="n">
        <f aca="false">IF(AND(ISNUMBER(T17),T17&gt;0),N(U17)/T17,"")</f>
        <v>0.71</v>
      </c>
      <c r="W17" s="41"/>
      <c r="X17" s="43"/>
      <c r="Y17" s="41" t="n">
        <v>6</v>
      </c>
      <c r="Z17" s="41" t="n">
        <v>6</v>
      </c>
      <c r="AA17" s="44" t="n">
        <v>596000</v>
      </c>
      <c r="AB17" s="44" t="n">
        <v>760000</v>
      </c>
      <c r="AC17" s="45" t="s">
        <v>63</v>
      </c>
      <c r="AD17" s="46" t="s">
        <v>276</v>
      </c>
      <c r="AE17" s="46"/>
    </row>
    <row r="18" customFormat="false" ht="55.5" hidden="false" customHeight="true" outlineLevel="0" collapsed="false">
      <c r="A18" s="40" t="n">
        <v>46297</v>
      </c>
      <c r="B18" s="41" t="n">
        <v>5</v>
      </c>
      <c r="C18" s="41" t="n">
        <v>0</v>
      </c>
      <c r="D18" s="42" t="n">
        <f aca="false">IF(N(B18)&gt;0,1-N(C18)/(B18*Config!$B$15),"")</f>
        <v>1</v>
      </c>
      <c r="E18" s="43" t="n">
        <v>72</v>
      </c>
      <c r="F18" s="43" t="n">
        <v>126</v>
      </c>
      <c r="G18" s="43" t="n">
        <v>72</v>
      </c>
      <c r="H18" s="42" t="n">
        <f aca="false">IF(AND(ISNUMBER(E18),E18&gt;0),N(G18)/E18,"")</f>
        <v>1</v>
      </c>
      <c r="I18" s="43" t="n">
        <v>100</v>
      </c>
      <c r="J18" s="43" t="n">
        <v>189</v>
      </c>
      <c r="K18" s="43" t="n">
        <v>97</v>
      </c>
      <c r="L18" s="42" t="n">
        <f aca="false">IF(AND(ISNUMBER(I18),I18&gt;0),N(K18)/I18,"")</f>
        <v>0.97</v>
      </c>
      <c r="M18" s="43" t="n">
        <v>48</v>
      </c>
      <c r="N18" s="43" t="n">
        <v>105</v>
      </c>
      <c r="O18" s="43" t="n">
        <v>30</v>
      </c>
      <c r="P18" s="42" t="n">
        <f aca="false">IF(AND(ISNUMBER(M18),M18&gt;0),N(O18)/M18,"")</f>
        <v>0.625</v>
      </c>
      <c r="Q18" s="43" t="n">
        <v>150</v>
      </c>
      <c r="R18" s="43" t="n">
        <v>108</v>
      </c>
      <c r="S18" s="42" t="n">
        <f aca="false">IF(AND(ISNUMBER(Q18),Q18&gt;0),N(R18)/Q18,"")</f>
        <v>0.72</v>
      </c>
      <c r="T18" s="43" t="n">
        <v>200</v>
      </c>
      <c r="U18" s="43" t="n">
        <v>150</v>
      </c>
      <c r="V18" s="42" t="n">
        <f aca="false">IF(AND(ISNUMBER(T18),T18&gt;0),N(U18)/T18,"")</f>
        <v>0.75</v>
      </c>
      <c r="W18" s="41"/>
      <c r="X18" s="43"/>
      <c r="Y18" s="41" t="n">
        <v>6</v>
      </c>
      <c r="Z18" s="41" t="n">
        <v>6</v>
      </c>
      <c r="AA18" s="44" t="n">
        <v>608000</v>
      </c>
      <c r="AB18" s="44" t="n">
        <v>760000</v>
      </c>
      <c r="AC18" s="45" t="s">
        <v>63</v>
      </c>
      <c r="AD18" s="46" t="s">
        <v>277</v>
      </c>
      <c r="AE18" s="46"/>
    </row>
    <row r="19" customFormat="false" ht="15" hidden="false" customHeight="false" outlineLevel="0" collapsed="false">
      <c r="A19" s="40"/>
      <c r="B19" s="41"/>
      <c r="C19" s="41"/>
      <c r="D19" s="42" t="str">
        <f aca="false">IF(N(B19)&gt;0,1-N(C19)/(B19*Config!$B$15),"")</f>
        <v/>
      </c>
      <c r="E19" s="43"/>
      <c r="F19" s="43"/>
      <c r="G19" s="43"/>
      <c r="H19" s="42" t="str">
        <f aca="false">IF(AND(ISNUMBER(E19),E19&gt;0),N(G19)/E19,"")</f>
        <v/>
      </c>
      <c r="I19" s="43"/>
      <c r="J19" s="43"/>
      <c r="K19" s="43"/>
      <c r="L19" s="42" t="str">
        <f aca="false">IF(AND(ISNUMBER(I19),I19&gt;0),N(K19)/I19,"")</f>
        <v/>
      </c>
      <c r="M19" s="43"/>
      <c r="N19" s="43"/>
      <c r="O19" s="43"/>
      <c r="P19" s="42" t="str">
        <f aca="false">IF(AND(ISNUMBER(M19),M19&gt;0),N(O19)/M19,"")</f>
        <v/>
      </c>
      <c r="Q19" s="43"/>
      <c r="R19" s="43"/>
      <c r="S19" s="42" t="str">
        <f aca="false">IF(AND(ISNUMBER(Q19),Q19&gt;0),N(R19)/Q19,"")</f>
        <v/>
      </c>
      <c r="T19" s="43"/>
      <c r="U19" s="43"/>
      <c r="V19" s="42" t="str">
        <f aca="false">IF(AND(ISNUMBER(T19),T19&gt;0),N(U19)/T19,"")</f>
        <v/>
      </c>
      <c r="W19" s="41"/>
      <c r="X19" s="43"/>
      <c r="Y19" s="41"/>
      <c r="Z19" s="41"/>
      <c r="AA19" s="44"/>
      <c r="AB19" s="44"/>
      <c r="AC19" s="45"/>
      <c r="AD19" s="46"/>
      <c r="AE19" s="46"/>
    </row>
    <row r="20" customFormat="false" ht="15" hidden="false" customHeight="false" outlineLevel="0" collapsed="false">
      <c r="A20" s="40"/>
      <c r="B20" s="41"/>
      <c r="C20" s="41"/>
      <c r="D20" s="42" t="str">
        <f aca="false">IF(N(B20)&gt;0,1-N(C20)/(B20*Config!$B$15),"")</f>
        <v/>
      </c>
      <c r="E20" s="43"/>
      <c r="F20" s="43"/>
      <c r="G20" s="43"/>
      <c r="H20" s="42" t="str">
        <f aca="false">IF(AND(ISNUMBER(E20),E20&gt;0),N(G20)/E20,"")</f>
        <v/>
      </c>
      <c r="I20" s="43"/>
      <c r="J20" s="43"/>
      <c r="K20" s="43"/>
      <c r="L20" s="42" t="str">
        <f aca="false">IF(AND(ISNUMBER(I20),I20&gt;0),N(K20)/I20,"")</f>
        <v/>
      </c>
      <c r="M20" s="43"/>
      <c r="N20" s="43"/>
      <c r="O20" s="43"/>
      <c r="P20" s="42" t="str">
        <f aca="false">IF(AND(ISNUMBER(M20),M20&gt;0),N(O20)/M20,"")</f>
        <v/>
      </c>
      <c r="Q20" s="43"/>
      <c r="R20" s="43"/>
      <c r="S20" s="42" t="str">
        <f aca="false">IF(AND(ISNUMBER(Q20),Q20&gt;0),N(R20)/Q20,"")</f>
        <v/>
      </c>
      <c r="T20" s="43"/>
      <c r="U20" s="43"/>
      <c r="V20" s="42" t="str">
        <f aca="false">IF(AND(ISNUMBER(T20),T20&gt;0),N(U20)/T20,"")</f>
        <v/>
      </c>
      <c r="W20" s="41"/>
      <c r="X20" s="43"/>
      <c r="Y20" s="41"/>
      <c r="Z20" s="41"/>
      <c r="AA20" s="44"/>
      <c r="AB20" s="44"/>
      <c r="AC20" s="45"/>
      <c r="AD20" s="46"/>
      <c r="AE20" s="46"/>
    </row>
    <row r="21" customFormat="false" ht="15" hidden="false" customHeight="false" outlineLevel="0" collapsed="false">
      <c r="A21" s="40"/>
      <c r="B21" s="41"/>
      <c r="C21" s="41"/>
      <c r="D21" s="42" t="str">
        <f aca="false">IF(N(B21)&gt;0,1-N(C21)/(B21*Config!$B$15),"")</f>
        <v/>
      </c>
      <c r="E21" s="43"/>
      <c r="F21" s="43"/>
      <c r="G21" s="43"/>
      <c r="H21" s="42" t="str">
        <f aca="false">IF(AND(ISNUMBER(E21),E21&gt;0),N(G21)/E21,"")</f>
        <v/>
      </c>
      <c r="I21" s="43"/>
      <c r="J21" s="43"/>
      <c r="K21" s="43"/>
      <c r="L21" s="42" t="str">
        <f aca="false">IF(AND(ISNUMBER(I21),I21&gt;0),N(K21)/I21,"")</f>
        <v/>
      </c>
      <c r="M21" s="43"/>
      <c r="N21" s="43"/>
      <c r="O21" s="43"/>
      <c r="P21" s="42" t="str">
        <f aca="false">IF(AND(ISNUMBER(M21),M21&gt;0),N(O21)/M21,"")</f>
        <v/>
      </c>
      <c r="Q21" s="43"/>
      <c r="R21" s="43"/>
      <c r="S21" s="42" t="str">
        <f aca="false">IF(AND(ISNUMBER(Q21),Q21&gt;0),N(R21)/Q21,"")</f>
        <v/>
      </c>
      <c r="T21" s="43"/>
      <c r="U21" s="43"/>
      <c r="V21" s="42" t="str">
        <f aca="false">IF(AND(ISNUMBER(T21),T21&gt;0),N(U21)/T21,"")</f>
        <v/>
      </c>
      <c r="W21" s="41"/>
      <c r="X21" s="43"/>
      <c r="Y21" s="41"/>
      <c r="Z21" s="41"/>
      <c r="AA21" s="44"/>
      <c r="AB21" s="44"/>
      <c r="AC21" s="45"/>
      <c r="AD21" s="46"/>
      <c r="AE21" s="46"/>
    </row>
    <row r="22" customFormat="false" ht="15" hidden="false" customHeight="false" outlineLevel="0" collapsed="false">
      <c r="A22" s="40"/>
      <c r="B22" s="41"/>
      <c r="C22" s="41"/>
      <c r="D22" s="42" t="str">
        <f aca="false">IF(N(B22)&gt;0,1-N(C22)/(B22*Config!$B$15),"")</f>
        <v/>
      </c>
      <c r="E22" s="43"/>
      <c r="F22" s="43"/>
      <c r="G22" s="43"/>
      <c r="H22" s="42" t="str">
        <f aca="false">IF(AND(ISNUMBER(E22),E22&gt;0),N(G22)/E22,"")</f>
        <v/>
      </c>
      <c r="I22" s="43"/>
      <c r="J22" s="43"/>
      <c r="K22" s="43"/>
      <c r="L22" s="42" t="str">
        <f aca="false">IF(AND(ISNUMBER(I22),I22&gt;0),N(K22)/I22,"")</f>
        <v/>
      </c>
      <c r="M22" s="43"/>
      <c r="N22" s="43"/>
      <c r="O22" s="43"/>
      <c r="P22" s="42" t="str">
        <f aca="false">IF(AND(ISNUMBER(M22),M22&gt;0),N(O22)/M22,"")</f>
        <v/>
      </c>
      <c r="Q22" s="43"/>
      <c r="R22" s="43"/>
      <c r="S22" s="42" t="str">
        <f aca="false">IF(AND(ISNUMBER(Q22),Q22&gt;0),N(R22)/Q22,"")</f>
        <v/>
      </c>
      <c r="T22" s="43"/>
      <c r="U22" s="43"/>
      <c r="V22" s="42" t="str">
        <f aca="false">IF(AND(ISNUMBER(T22),T22&gt;0),N(U22)/T22,"")</f>
        <v/>
      </c>
      <c r="W22" s="41"/>
      <c r="X22" s="43"/>
      <c r="Y22" s="41"/>
      <c r="Z22" s="41"/>
      <c r="AA22" s="44"/>
      <c r="AB22" s="44"/>
      <c r="AC22" s="45"/>
      <c r="AD22" s="46"/>
      <c r="AE22" s="46"/>
    </row>
    <row r="23" customFormat="false" ht="15" hidden="false" customHeight="false" outlineLevel="0" collapsed="false">
      <c r="A23" s="40"/>
      <c r="B23" s="41"/>
      <c r="C23" s="41"/>
      <c r="D23" s="42" t="str">
        <f aca="false">IF(N(B23)&gt;0,1-N(C23)/(B23*Config!$B$15),"")</f>
        <v/>
      </c>
      <c r="E23" s="43"/>
      <c r="F23" s="43"/>
      <c r="G23" s="43"/>
      <c r="H23" s="42" t="str">
        <f aca="false">IF(AND(ISNUMBER(E23),E23&gt;0),N(G23)/E23,"")</f>
        <v/>
      </c>
      <c r="I23" s="43"/>
      <c r="J23" s="43"/>
      <c r="K23" s="43"/>
      <c r="L23" s="42" t="str">
        <f aca="false">IF(AND(ISNUMBER(I23),I23&gt;0),N(K23)/I23,"")</f>
        <v/>
      </c>
      <c r="M23" s="43"/>
      <c r="N23" s="43"/>
      <c r="O23" s="43"/>
      <c r="P23" s="42" t="str">
        <f aca="false">IF(AND(ISNUMBER(M23),M23&gt;0),N(O23)/M23,"")</f>
        <v/>
      </c>
      <c r="Q23" s="43"/>
      <c r="R23" s="43"/>
      <c r="S23" s="42" t="str">
        <f aca="false">IF(AND(ISNUMBER(Q23),Q23&gt;0),N(R23)/Q23,"")</f>
        <v/>
      </c>
      <c r="T23" s="43"/>
      <c r="U23" s="43"/>
      <c r="V23" s="42" t="str">
        <f aca="false">IF(AND(ISNUMBER(T23),T23&gt;0),N(U23)/T23,"")</f>
        <v/>
      </c>
      <c r="W23" s="41"/>
      <c r="X23" s="43"/>
      <c r="Y23" s="41"/>
      <c r="Z23" s="41"/>
      <c r="AA23" s="44"/>
      <c r="AB23" s="44"/>
      <c r="AC23" s="45"/>
      <c r="AD23" s="46"/>
      <c r="AE23" s="46"/>
    </row>
    <row r="24" customFormat="false" ht="15" hidden="false" customHeight="false" outlineLevel="0" collapsed="false">
      <c r="A24" s="40"/>
      <c r="B24" s="41"/>
      <c r="C24" s="41"/>
      <c r="D24" s="42" t="str">
        <f aca="false">IF(N(B24)&gt;0,1-N(C24)/(B24*Config!$B$15),"")</f>
        <v/>
      </c>
      <c r="E24" s="43"/>
      <c r="F24" s="43"/>
      <c r="G24" s="43"/>
      <c r="H24" s="42" t="str">
        <f aca="false">IF(AND(ISNUMBER(E24),E24&gt;0),N(G24)/E24,"")</f>
        <v/>
      </c>
      <c r="I24" s="43"/>
      <c r="J24" s="43"/>
      <c r="K24" s="43"/>
      <c r="L24" s="42" t="str">
        <f aca="false">IF(AND(ISNUMBER(I24),I24&gt;0),N(K24)/I24,"")</f>
        <v/>
      </c>
      <c r="M24" s="43"/>
      <c r="N24" s="43"/>
      <c r="O24" s="43"/>
      <c r="P24" s="42" t="str">
        <f aca="false">IF(AND(ISNUMBER(M24),M24&gt;0),N(O24)/M24,"")</f>
        <v/>
      </c>
      <c r="Q24" s="43"/>
      <c r="R24" s="43"/>
      <c r="S24" s="42" t="str">
        <f aca="false">IF(AND(ISNUMBER(Q24),Q24&gt;0),N(R24)/Q24,"")</f>
        <v/>
      </c>
      <c r="T24" s="43"/>
      <c r="U24" s="43"/>
      <c r="V24" s="42" t="str">
        <f aca="false">IF(AND(ISNUMBER(T24),T24&gt;0),N(U24)/T24,"")</f>
        <v/>
      </c>
      <c r="W24" s="41"/>
      <c r="X24" s="43"/>
      <c r="Y24" s="41"/>
      <c r="Z24" s="41"/>
      <c r="AA24" s="44"/>
      <c r="AB24" s="44"/>
      <c r="AC24" s="45"/>
      <c r="AD24" s="46"/>
      <c r="AE24" s="46"/>
    </row>
    <row r="25" customFormat="false" ht="15" hidden="false" customHeight="false" outlineLevel="0" collapsed="false">
      <c r="A25" s="40"/>
      <c r="B25" s="41"/>
      <c r="C25" s="41"/>
      <c r="D25" s="42" t="str">
        <f aca="false">IF(N(B25)&gt;0,1-N(C25)/(B25*Config!$B$15),"")</f>
        <v/>
      </c>
      <c r="E25" s="43"/>
      <c r="F25" s="43"/>
      <c r="G25" s="43"/>
      <c r="H25" s="42" t="str">
        <f aca="false">IF(AND(ISNUMBER(E25),E25&gt;0),N(G25)/E25,"")</f>
        <v/>
      </c>
      <c r="I25" s="43"/>
      <c r="J25" s="43"/>
      <c r="K25" s="43"/>
      <c r="L25" s="42" t="str">
        <f aca="false">IF(AND(ISNUMBER(I25),I25&gt;0),N(K25)/I25,"")</f>
        <v/>
      </c>
      <c r="M25" s="43"/>
      <c r="N25" s="43"/>
      <c r="O25" s="43"/>
      <c r="P25" s="42" t="str">
        <f aca="false">IF(AND(ISNUMBER(M25),M25&gt;0),N(O25)/M25,"")</f>
        <v/>
      </c>
      <c r="Q25" s="43"/>
      <c r="R25" s="43"/>
      <c r="S25" s="42" t="str">
        <f aca="false">IF(AND(ISNUMBER(Q25),Q25&gt;0),N(R25)/Q25,"")</f>
        <v/>
      </c>
      <c r="T25" s="43"/>
      <c r="U25" s="43"/>
      <c r="V25" s="42" t="str">
        <f aca="false">IF(AND(ISNUMBER(T25),T25&gt;0),N(U25)/T25,"")</f>
        <v/>
      </c>
      <c r="W25" s="41"/>
      <c r="X25" s="43"/>
      <c r="Y25" s="41"/>
      <c r="Z25" s="41"/>
      <c r="AA25" s="44"/>
      <c r="AB25" s="44"/>
      <c r="AC25" s="45"/>
      <c r="AD25" s="46"/>
      <c r="AE25" s="46"/>
    </row>
    <row r="26" customFormat="false" ht="15" hidden="false" customHeight="false" outlineLevel="0" collapsed="false">
      <c r="A26" s="40"/>
      <c r="B26" s="41"/>
      <c r="C26" s="41"/>
      <c r="D26" s="42" t="str">
        <f aca="false">IF(N(B26)&gt;0,1-N(C26)/(B26*Config!$B$15),"")</f>
        <v/>
      </c>
      <c r="E26" s="43"/>
      <c r="F26" s="43"/>
      <c r="G26" s="43"/>
      <c r="H26" s="42" t="str">
        <f aca="false">IF(AND(ISNUMBER(E26),E26&gt;0),N(G26)/E26,"")</f>
        <v/>
      </c>
      <c r="I26" s="43"/>
      <c r="J26" s="43"/>
      <c r="K26" s="43"/>
      <c r="L26" s="42" t="str">
        <f aca="false">IF(AND(ISNUMBER(I26),I26&gt;0),N(K26)/I26,"")</f>
        <v/>
      </c>
      <c r="M26" s="43"/>
      <c r="N26" s="43"/>
      <c r="O26" s="43"/>
      <c r="P26" s="42" t="str">
        <f aca="false">IF(AND(ISNUMBER(M26),M26&gt;0),N(O26)/M26,"")</f>
        <v/>
      </c>
      <c r="Q26" s="43"/>
      <c r="R26" s="43"/>
      <c r="S26" s="42" t="str">
        <f aca="false">IF(AND(ISNUMBER(Q26),Q26&gt;0),N(R26)/Q26,"")</f>
        <v/>
      </c>
      <c r="T26" s="43"/>
      <c r="U26" s="43"/>
      <c r="V26" s="42" t="str">
        <f aca="false">IF(AND(ISNUMBER(T26),T26&gt;0),N(U26)/T26,"")</f>
        <v/>
      </c>
      <c r="W26" s="41"/>
      <c r="X26" s="43"/>
      <c r="Y26" s="41"/>
      <c r="Z26" s="41"/>
      <c r="AA26" s="44"/>
      <c r="AB26" s="44"/>
      <c r="AC26" s="45"/>
      <c r="AD26" s="46"/>
      <c r="AE26" s="46"/>
    </row>
    <row r="27" customFormat="false" ht="15" hidden="false" customHeight="false" outlineLevel="0" collapsed="false">
      <c r="A27" s="40"/>
      <c r="B27" s="41"/>
      <c r="C27" s="41"/>
      <c r="D27" s="42" t="str">
        <f aca="false">IF(N(B27)&gt;0,1-N(C27)/(B27*Config!$B$15),"")</f>
        <v/>
      </c>
      <c r="E27" s="43"/>
      <c r="F27" s="43"/>
      <c r="G27" s="43"/>
      <c r="H27" s="42" t="str">
        <f aca="false">IF(AND(ISNUMBER(E27),E27&gt;0),N(G27)/E27,"")</f>
        <v/>
      </c>
      <c r="I27" s="43"/>
      <c r="J27" s="43"/>
      <c r="K27" s="43"/>
      <c r="L27" s="42" t="str">
        <f aca="false">IF(AND(ISNUMBER(I27),I27&gt;0),N(K27)/I27,"")</f>
        <v/>
      </c>
      <c r="M27" s="43"/>
      <c r="N27" s="43"/>
      <c r="O27" s="43"/>
      <c r="P27" s="42" t="str">
        <f aca="false">IF(AND(ISNUMBER(M27),M27&gt;0),N(O27)/M27,"")</f>
        <v/>
      </c>
      <c r="Q27" s="43"/>
      <c r="R27" s="43"/>
      <c r="S27" s="42" t="str">
        <f aca="false">IF(AND(ISNUMBER(Q27),Q27&gt;0),N(R27)/Q27,"")</f>
        <v/>
      </c>
      <c r="T27" s="43"/>
      <c r="U27" s="43"/>
      <c r="V27" s="42" t="str">
        <f aca="false">IF(AND(ISNUMBER(T27),T27&gt;0),N(U27)/T27,"")</f>
        <v/>
      </c>
      <c r="W27" s="41"/>
      <c r="X27" s="43"/>
      <c r="Y27" s="41"/>
      <c r="Z27" s="41"/>
      <c r="AA27" s="44"/>
      <c r="AB27" s="44"/>
      <c r="AC27" s="45"/>
      <c r="AD27" s="46"/>
      <c r="AE27" s="46"/>
    </row>
    <row r="28" customFormat="false" ht="15" hidden="false" customHeight="false" outlineLevel="0" collapsed="false">
      <c r="A28" s="40"/>
      <c r="B28" s="41"/>
      <c r="C28" s="41"/>
      <c r="D28" s="42" t="str">
        <f aca="false">IF(N(B28)&gt;0,1-N(C28)/(B28*Config!$B$15),"")</f>
        <v/>
      </c>
      <c r="E28" s="43"/>
      <c r="F28" s="43"/>
      <c r="G28" s="43"/>
      <c r="H28" s="42" t="str">
        <f aca="false">IF(AND(ISNUMBER(E28),E28&gt;0),N(G28)/E28,"")</f>
        <v/>
      </c>
      <c r="I28" s="43"/>
      <c r="J28" s="43"/>
      <c r="K28" s="43"/>
      <c r="L28" s="42" t="str">
        <f aca="false">IF(AND(ISNUMBER(I28),I28&gt;0),N(K28)/I28,"")</f>
        <v/>
      </c>
      <c r="M28" s="43"/>
      <c r="N28" s="43"/>
      <c r="O28" s="43"/>
      <c r="P28" s="42" t="str">
        <f aca="false">IF(AND(ISNUMBER(M28),M28&gt;0),N(O28)/M28,"")</f>
        <v/>
      </c>
      <c r="Q28" s="43"/>
      <c r="R28" s="43"/>
      <c r="S28" s="42" t="str">
        <f aca="false">IF(AND(ISNUMBER(Q28),Q28&gt;0),N(R28)/Q28,"")</f>
        <v/>
      </c>
      <c r="T28" s="43"/>
      <c r="U28" s="43"/>
      <c r="V28" s="42" t="str">
        <f aca="false">IF(AND(ISNUMBER(T28),T28&gt;0),N(U28)/T28,"")</f>
        <v/>
      </c>
      <c r="W28" s="41"/>
      <c r="X28" s="43"/>
      <c r="Y28" s="41"/>
      <c r="Z28" s="41"/>
      <c r="AA28" s="44"/>
      <c r="AB28" s="44"/>
      <c r="AC28" s="45"/>
      <c r="AD28" s="46"/>
      <c r="AE28" s="46"/>
    </row>
    <row r="29" customFormat="false" ht="15" hidden="false" customHeight="false" outlineLevel="0" collapsed="false">
      <c r="A29" s="40"/>
      <c r="B29" s="41"/>
      <c r="C29" s="41"/>
      <c r="D29" s="42" t="str">
        <f aca="false">IF(N(B29)&gt;0,1-N(C29)/(B29*Config!$B$15),"")</f>
        <v/>
      </c>
      <c r="E29" s="43"/>
      <c r="F29" s="43"/>
      <c r="G29" s="43"/>
      <c r="H29" s="42" t="str">
        <f aca="false">IF(AND(ISNUMBER(E29),E29&gt;0),N(G29)/E29,"")</f>
        <v/>
      </c>
      <c r="I29" s="43"/>
      <c r="J29" s="43"/>
      <c r="K29" s="43"/>
      <c r="L29" s="42" t="str">
        <f aca="false">IF(AND(ISNUMBER(I29),I29&gt;0),N(K29)/I29,"")</f>
        <v/>
      </c>
      <c r="M29" s="43"/>
      <c r="N29" s="43"/>
      <c r="O29" s="43"/>
      <c r="P29" s="42" t="str">
        <f aca="false">IF(AND(ISNUMBER(M29),M29&gt;0),N(O29)/M29,"")</f>
        <v/>
      </c>
      <c r="Q29" s="43"/>
      <c r="R29" s="43"/>
      <c r="S29" s="42" t="str">
        <f aca="false">IF(AND(ISNUMBER(Q29),Q29&gt;0),N(R29)/Q29,"")</f>
        <v/>
      </c>
      <c r="T29" s="43"/>
      <c r="U29" s="43"/>
      <c r="V29" s="42" t="str">
        <f aca="false">IF(AND(ISNUMBER(T29),T29&gt;0),N(U29)/T29,"")</f>
        <v/>
      </c>
      <c r="W29" s="41"/>
      <c r="X29" s="43"/>
      <c r="Y29" s="41"/>
      <c r="Z29" s="41"/>
      <c r="AA29" s="44"/>
      <c r="AB29" s="44"/>
      <c r="AC29" s="45"/>
      <c r="AD29" s="46"/>
      <c r="AE29" s="46"/>
    </row>
    <row r="30" customFormat="false" ht="15" hidden="false" customHeight="false" outlineLevel="0" collapsed="false">
      <c r="A30" s="40"/>
      <c r="B30" s="41"/>
      <c r="C30" s="41"/>
      <c r="D30" s="42" t="str">
        <f aca="false">IF(N(B30)&gt;0,1-N(C30)/(B30*Config!$B$15),"")</f>
        <v/>
      </c>
      <c r="E30" s="43"/>
      <c r="F30" s="43"/>
      <c r="G30" s="43"/>
      <c r="H30" s="42" t="str">
        <f aca="false">IF(AND(ISNUMBER(E30),E30&gt;0),N(G30)/E30,"")</f>
        <v/>
      </c>
      <c r="I30" s="43"/>
      <c r="J30" s="43"/>
      <c r="K30" s="43"/>
      <c r="L30" s="42" t="str">
        <f aca="false">IF(AND(ISNUMBER(I30),I30&gt;0),N(K30)/I30,"")</f>
        <v/>
      </c>
      <c r="M30" s="43"/>
      <c r="N30" s="43"/>
      <c r="O30" s="43"/>
      <c r="P30" s="42" t="str">
        <f aca="false">IF(AND(ISNUMBER(M30),M30&gt;0),N(O30)/M30,"")</f>
        <v/>
      </c>
      <c r="Q30" s="43"/>
      <c r="R30" s="43"/>
      <c r="S30" s="42" t="str">
        <f aca="false">IF(AND(ISNUMBER(Q30),Q30&gt;0),N(R30)/Q30,"")</f>
        <v/>
      </c>
      <c r="T30" s="43"/>
      <c r="U30" s="43"/>
      <c r="V30" s="42" t="str">
        <f aca="false">IF(AND(ISNUMBER(T30),T30&gt;0),N(U30)/T30,"")</f>
        <v/>
      </c>
      <c r="W30" s="41"/>
      <c r="X30" s="43"/>
      <c r="Y30" s="41"/>
      <c r="Z30" s="41"/>
      <c r="AA30" s="44"/>
      <c r="AB30" s="44"/>
      <c r="AC30" s="45"/>
      <c r="AD30" s="46"/>
      <c r="AE30" s="46"/>
    </row>
    <row r="31" customFormat="false" ht="15" hidden="false" customHeight="false" outlineLevel="0" collapsed="false">
      <c r="A31" s="40"/>
      <c r="B31" s="41"/>
      <c r="C31" s="41"/>
      <c r="D31" s="42" t="str">
        <f aca="false">IF(N(B31)&gt;0,1-N(C31)/(B31*Config!$B$15),"")</f>
        <v/>
      </c>
      <c r="E31" s="43"/>
      <c r="F31" s="43"/>
      <c r="G31" s="43"/>
      <c r="H31" s="42" t="str">
        <f aca="false">IF(AND(ISNUMBER(E31),E31&gt;0),N(G31)/E31,"")</f>
        <v/>
      </c>
      <c r="I31" s="43"/>
      <c r="J31" s="43"/>
      <c r="K31" s="43"/>
      <c r="L31" s="42" t="str">
        <f aca="false">IF(AND(ISNUMBER(I31),I31&gt;0),N(K31)/I31,"")</f>
        <v/>
      </c>
      <c r="M31" s="43"/>
      <c r="N31" s="43"/>
      <c r="O31" s="43"/>
      <c r="P31" s="42" t="str">
        <f aca="false">IF(AND(ISNUMBER(M31),M31&gt;0),N(O31)/M31,"")</f>
        <v/>
      </c>
      <c r="Q31" s="43"/>
      <c r="R31" s="43"/>
      <c r="S31" s="42" t="str">
        <f aca="false">IF(AND(ISNUMBER(Q31),Q31&gt;0),N(R31)/Q31,"")</f>
        <v/>
      </c>
      <c r="T31" s="43"/>
      <c r="U31" s="43"/>
      <c r="V31" s="42" t="str">
        <f aca="false">IF(AND(ISNUMBER(T31),T31&gt;0),N(U31)/T31,"")</f>
        <v/>
      </c>
      <c r="W31" s="41"/>
      <c r="X31" s="43"/>
      <c r="Y31" s="41"/>
      <c r="Z31" s="41"/>
      <c r="AA31" s="44"/>
      <c r="AB31" s="44"/>
      <c r="AC31" s="45"/>
      <c r="AD31" s="46"/>
      <c r="AE31" s="46"/>
    </row>
    <row r="32" customFormat="false" ht="15" hidden="false" customHeight="false" outlineLevel="0" collapsed="false">
      <c r="A32" s="40"/>
      <c r="B32" s="41"/>
      <c r="C32" s="41"/>
      <c r="D32" s="42" t="str">
        <f aca="false">IF(N(B32)&gt;0,1-N(C32)/(B32*Config!$B$15),"")</f>
        <v/>
      </c>
      <c r="E32" s="43"/>
      <c r="F32" s="43"/>
      <c r="G32" s="43"/>
      <c r="H32" s="42" t="str">
        <f aca="false">IF(AND(ISNUMBER(E32),E32&gt;0),N(G32)/E32,"")</f>
        <v/>
      </c>
      <c r="I32" s="43"/>
      <c r="J32" s="43"/>
      <c r="K32" s="43"/>
      <c r="L32" s="42" t="str">
        <f aca="false">IF(AND(ISNUMBER(I32),I32&gt;0),N(K32)/I32,"")</f>
        <v/>
      </c>
      <c r="M32" s="43"/>
      <c r="N32" s="43"/>
      <c r="O32" s="43"/>
      <c r="P32" s="42" t="str">
        <f aca="false">IF(AND(ISNUMBER(M32),M32&gt;0),N(O32)/M32,"")</f>
        <v/>
      </c>
      <c r="Q32" s="43"/>
      <c r="R32" s="43"/>
      <c r="S32" s="42" t="str">
        <f aca="false">IF(AND(ISNUMBER(Q32),Q32&gt;0),N(R32)/Q32,"")</f>
        <v/>
      </c>
      <c r="T32" s="43"/>
      <c r="U32" s="43"/>
      <c r="V32" s="42" t="str">
        <f aca="false">IF(AND(ISNUMBER(T32),T32&gt;0),N(U32)/T32,"")</f>
        <v/>
      </c>
      <c r="W32" s="41"/>
      <c r="X32" s="43"/>
      <c r="Y32" s="41"/>
      <c r="Z32" s="41"/>
      <c r="AA32" s="44"/>
      <c r="AB32" s="44"/>
      <c r="AC32" s="45"/>
      <c r="AD32" s="46"/>
      <c r="AE32" s="46"/>
    </row>
    <row r="33" customFormat="false" ht="15" hidden="false" customHeight="false" outlineLevel="0" collapsed="false">
      <c r="A33" s="40"/>
      <c r="B33" s="41"/>
      <c r="C33" s="41"/>
      <c r="D33" s="42" t="str">
        <f aca="false">IF(N(B33)&gt;0,1-N(C33)/(B33*Config!$B$15),"")</f>
        <v/>
      </c>
      <c r="E33" s="43"/>
      <c r="F33" s="43"/>
      <c r="G33" s="43"/>
      <c r="H33" s="42" t="str">
        <f aca="false">IF(AND(ISNUMBER(E33),E33&gt;0),N(G33)/E33,"")</f>
        <v/>
      </c>
      <c r="I33" s="43"/>
      <c r="J33" s="43"/>
      <c r="K33" s="43"/>
      <c r="L33" s="42" t="str">
        <f aca="false">IF(AND(ISNUMBER(I33),I33&gt;0),N(K33)/I33,"")</f>
        <v/>
      </c>
      <c r="M33" s="43"/>
      <c r="N33" s="43"/>
      <c r="O33" s="43"/>
      <c r="P33" s="42" t="str">
        <f aca="false">IF(AND(ISNUMBER(M33),M33&gt;0),N(O33)/M33,"")</f>
        <v/>
      </c>
      <c r="Q33" s="43"/>
      <c r="R33" s="43"/>
      <c r="S33" s="42" t="str">
        <f aca="false">IF(AND(ISNUMBER(Q33),Q33&gt;0),N(R33)/Q33,"")</f>
        <v/>
      </c>
      <c r="T33" s="43"/>
      <c r="U33" s="43"/>
      <c r="V33" s="42" t="str">
        <f aca="false">IF(AND(ISNUMBER(T33),T33&gt;0),N(U33)/T33,"")</f>
        <v/>
      </c>
      <c r="W33" s="41"/>
      <c r="X33" s="43"/>
      <c r="Y33" s="41"/>
      <c r="Z33" s="41"/>
      <c r="AA33" s="44"/>
      <c r="AB33" s="44"/>
      <c r="AC33" s="45"/>
      <c r="AD33" s="46"/>
      <c r="AE33" s="46"/>
    </row>
    <row r="34" customFormat="false" ht="15" hidden="false" customHeight="false" outlineLevel="0" collapsed="false">
      <c r="A34" s="40"/>
      <c r="B34" s="41"/>
      <c r="C34" s="41"/>
      <c r="D34" s="42" t="str">
        <f aca="false">IF(N(B34)&gt;0,1-N(C34)/(B34*Config!$B$15),"")</f>
        <v/>
      </c>
      <c r="E34" s="43"/>
      <c r="F34" s="43"/>
      <c r="G34" s="43"/>
      <c r="H34" s="42" t="str">
        <f aca="false">IF(AND(ISNUMBER(E34),E34&gt;0),N(G34)/E34,"")</f>
        <v/>
      </c>
      <c r="I34" s="43"/>
      <c r="J34" s="43"/>
      <c r="K34" s="43"/>
      <c r="L34" s="42" t="str">
        <f aca="false">IF(AND(ISNUMBER(I34),I34&gt;0),N(K34)/I34,"")</f>
        <v/>
      </c>
      <c r="M34" s="43"/>
      <c r="N34" s="43"/>
      <c r="O34" s="43"/>
      <c r="P34" s="42" t="str">
        <f aca="false">IF(AND(ISNUMBER(M34),M34&gt;0),N(O34)/M34,"")</f>
        <v/>
      </c>
      <c r="Q34" s="43"/>
      <c r="R34" s="43"/>
      <c r="S34" s="42" t="str">
        <f aca="false">IF(AND(ISNUMBER(Q34),Q34&gt;0),N(R34)/Q34,"")</f>
        <v/>
      </c>
      <c r="T34" s="43"/>
      <c r="U34" s="43"/>
      <c r="V34" s="42" t="str">
        <f aca="false">IF(AND(ISNUMBER(T34),T34&gt;0),N(U34)/T34,"")</f>
        <v/>
      </c>
      <c r="W34" s="41"/>
      <c r="X34" s="43"/>
      <c r="Y34" s="41"/>
      <c r="Z34" s="41"/>
      <c r="AA34" s="44"/>
      <c r="AB34" s="44"/>
      <c r="AC34" s="45"/>
      <c r="AD34" s="46"/>
      <c r="AE34" s="46"/>
    </row>
    <row r="35" customFormat="false" ht="15" hidden="false" customHeight="false" outlineLevel="0" collapsed="false">
      <c r="A35" s="40"/>
      <c r="B35" s="41"/>
      <c r="C35" s="41"/>
      <c r="D35" s="42" t="str">
        <f aca="false">IF(N(B35)&gt;0,1-N(C35)/(B35*Config!$B$15),"")</f>
        <v/>
      </c>
      <c r="E35" s="43"/>
      <c r="F35" s="43"/>
      <c r="G35" s="43"/>
      <c r="H35" s="42" t="str">
        <f aca="false">IF(AND(ISNUMBER(E35),E35&gt;0),N(G35)/E35,"")</f>
        <v/>
      </c>
      <c r="I35" s="43"/>
      <c r="J35" s="43"/>
      <c r="K35" s="43"/>
      <c r="L35" s="42" t="str">
        <f aca="false">IF(AND(ISNUMBER(I35),I35&gt;0),N(K35)/I35,"")</f>
        <v/>
      </c>
      <c r="M35" s="43"/>
      <c r="N35" s="43"/>
      <c r="O35" s="43"/>
      <c r="P35" s="42" t="str">
        <f aca="false">IF(AND(ISNUMBER(M35),M35&gt;0),N(O35)/M35,"")</f>
        <v/>
      </c>
      <c r="Q35" s="43"/>
      <c r="R35" s="43"/>
      <c r="S35" s="42" t="str">
        <f aca="false">IF(AND(ISNUMBER(Q35),Q35&gt;0),N(R35)/Q35,"")</f>
        <v/>
      </c>
      <c r="T35" s="43"/>
      <c r="U35" s="43"/>
      <c r="V35" s="42" t="str">
        <f aca="false">IF(AND(ISNUMBER(T35),T35&gt;0),N(U35)/T35,"")</f>
        <v/>
      </c>
      <c r="W35" s="41"/>
      <c r="X35" s="43"/>
      <c r="Y35" s="41"/>
      <c r="Z35" s="41"/>
      <c r="AA35" s="44"/>
      <c r="AB35" s="44"/>
      <c r="AC35" s="45"/>
      <c r="AD35" s="46"/>
      <c r="AE35" s="46"/>
    </row>
    <row r="36" customFormat="false" ht="15" hidden="false" customHeight="false" outlineLevel="0" collapsed="false">
      <c r="A36" s="40"/>
      <c r="B36" s="41"/>
      <c r="C36" s="41"/>
      <c r="D36" s="42" t="str">
        <f aca="false">IF(N(B36)&gt;0,1-N(C36)/(B36*Config!$B$15),"")</f>
        <v/>
      </c>
      <c r="E36" s="43"/>
      <c r="F36" s="43"/>
      <c r="G36" s="43"/>
      <c r="H36" s="42" t="str">
        <f aca="false">IF(AND(ISNUMBER(E36),E36&gt;0),N(G36)/E36,"")</f>
        <v/>
      </c>
      <c r="I36" s="43"/>
      <c r="J36" s="43"/>
      <c r="K36" s="43"/>
      <c r="L36" s="42" t="str">
        <f aca="false">IF(AND(ISNUMBER(I36),I36&gt;0),N(K36)/I36,"")</f>
        <v/>
      </c>
      <c r="M36" s="43"/>
      <c r="N36" s="43"/>
      <c r="O36" s="43"/>
      <c r="P36" s="42" t="str">
        <f aca="false">IF(AND(ISNUMBER(M36),M36&gt;0),N(O36)/M36,"")</f>
        <v/>
      </c>
      <c r="Q36" s="43"/>
      <c r="R36" s="43"/>
      <c r="S36" s="42" t="str">
        <f aca="false">IF(AND(ISNUMBER(Q36),Q36&gt;0),N(R36)/Q36,"")</f>
        <v/>
      </c>
      <c r="T36" s="43"/>
      <c r="U36" s="43"/>
      <c r="V36" s="42" t="str">
        <f aca="false">IF(AND(ISNUMBER(T36),T36&gt;0),N(U36)/T36,"")</f>
        <v/>
      </c>
      <c r="W36" s="41"/>
      <c r="X36" s="43"/>
      <c r="Y36" s="41"/>
      <c r="Z36" s="41"/>
      <c r="AA36" s="44"/>
      <c r="AB36" s="44"/>
      <c r="AC36" s="45"/>
      <c r="AD36" s="46"/>
      <c r="AE36" s="46"/>
    </row>
    <row r="37" customFormat="false" ht="15" hidden="false" customHeight="false" outlineLevel="0" collapsed="false">
      <c r="A37" s="40"/>
      <c r="B37" s="41"/>
      <c r="C37" s="41"/>
      <c r="D37" s="42" t="str">
        <f aca="false">IF(N(B37)&gt;0,1-N(C37)/(B37*Config!$B$15),"")</f>
        <v/>
      </c>
      <c r="E37" s="43"/>
      <c r="F37" s="43"/>
      <c r="G37" s="43"/>
      <c r="H37" s="42" t="str">
        <f aca="false">IF(AND(ISNUMBER(E37),E37&gt;0),N(G37)/E37,"")</f>
        <v/>
      </c>
      <c r="I37" s="43"/>
      <c r="J37" s="43"/>
      <c r="K37" s="43"/>
      <c r="L37" s="42" t="str">
        <f aca="false">IF(AND(ISNUMBER(I37),I37&gt;0),N(K37)/I37,"")</f>
        <v/>
      </c>
      <c r="M37" s="43"/>
      <c r="N37" s="43"/>
      <c r="O37" s="43"/>
      <c r="P37" s="42" t="str">
        <f aca="false">IF(AND(ISNUMBER(M37),M37&gt;0),N(O37)/M37,"")</f>
        <v/>
      </c>
      <c r="Q37" s="43"/>
      <c r="R37" s="43"/>
      <c r="S37" s="42" t="str">
        <f aca="false">IF(AND(ISNUMBER(Q37),Q37&gt;0),N(R37)/Q37,"")</f>
        <v/>
      </c>
      <c r="T37" s="43"/>
      <c r="U37" s="43"/>
      <c r="V37" s="42" t="str">
        <f aca="false">IF(AND(ISNUMBER(T37),T37&gt;0),N(U37)/T37,"")</f>
        <v/>
      </c>
      <c r="W37" s="41"/>
      <c r="X37" s="43"/>
      <c r="Y37" s="41"/>
      <c r="Z37" s="41"/>
      <c r="AA37" s="44"/>
      <c r="AB37" s="44"/>
      <c r="AC37" s="45"/>
      <c r="AD37" s="46"/>
      <c r="AE37" s="46"/>
    </row>
    <row r="38" customFormat="false" ht="15" hidden="false" customHeight="false" outlineLevel="0" collapsed="false">
      <c r="A38" s="40"/>
      <c r="B38" s="41"/>
      <c r="C38" s="41"/>
      <c r="D38" s="42" t="str">
        <f aca="false">IF(N(B38)&gt;0,1-N(C38)/(B38*Config!$B$15),"")</f>
        <v/>
      </c>
      <c r="E38" s="43"/>
      <c r="F38" s="43"/>
      <c r="G38" s="43"/>
      <c r="H38" s="42" t="str">
        <f aca="false">IF(AND(ISNUMBER(E38),E38&gt;0),N(G38)/E38,"")</f>
        <v/>
      </c>
      <c r="I38" s="43"/>
      <c r="J38" s="43"/>
      <c r="K38" s="43"/>
      <c r="L38" s="42" t="str">
        <f aca="false">IF(AND(ISNUMBER(I38),I38&gt;0),N(K38)/I38,"")</f>
        <v/>
      </c>
      <c r="M38" s="43"/>
      <c r="N38" s="43"/>
      <c r="O38" s="43"/>
      <c r="P38" s="42" t="str">
        <f aca="false">IF(AND(ISNUMBER(M38),M38&gt;0),N(O38)/M38,"")</f>
        <v/>
      </c>
      <c r="Q38" s="43"/>
      <c r="R38" s="43"/>
      <c r="S38" s="42" t="str">
        <f aca="false">IF(AND(ISNUMBER(Q38),Q38&gt;0),N(R38)/Q38,"")</f>
        <v/>
      </c>
      <c r="T38" s="43"/>
      <c r="U38" s="43"/>
      <c r="V38" s="42" t="str">
        <f aca="false">IF(AND(ISNUMBER(T38),T38&gt;0),N(U38)/T38,"")</f>
        <v/>
      </c>
      <c r="W38" s="41"/>
      <c r="X38" s="43"/>
      <c r="Y38" s="41"/>
      <c r="Z38" s="41"/>
      <c r="AA38" s="44"/>
      <c r="AB38" s="44"/>
      <c r="AC38" s="45"/>
      <c r="AD38" s="46"/>
      <c r="AE38" s="46"/>
    </row>
    <row r="39" customFormat="false" ht="15" hidden="false" customHeight="false" outlineLevel="0" collapsed="false">
      <c r="A39" s="40"/>
      <c r="B39" s="41"/>
      <c r="C39" s="41"/>
      <c r="D39" s="42" t="str">
        <f aca="false">IF(N(B39)&gt;0,1-N(C39)/(B39*Config!$B$15),"")</f>
        <v/>
      </c>
      <c r="E39" s="43"/>
      <c r="F39" s="43"/>
      <c r="G39" s="43"/>
      <c r="H39" s="42" t="str">
        <f aca="false">IF(AND(ISNUMBER(E39),E39&gt;0),N(G39)/E39,"")</f>
        <v/>
      </c>
      <c r="I39" s="43"/>
      <c r="J39" s="43"/>
      <c r="K39" s="43"/>
      <c r="L39" s="42" t="str">
        <f aca="false">IF(AND(ISNUMBER(I39),I39&gt;0),N(K39)/I39,"")</f>
        <v/>
      </c>
      <c r="M39" s="43"/>
      <c r="N39" s="43"/>
      <c r="O39" s="43"/>
      <c r="P39" s="42" t="str">
        <f aca="false">IF(AND(ISNUMBER(M39),M39&gt;0),N(O39)/M39,"")</f>
        <v/>
      </c>
      <c r="Q39" s="43"/>
      <c r="R39" s="43"/>
      <c r="S39" s="42" t="str">
        <f aca="false">IF(AND(ISNUMBER(Q39),Q39&gt;0),N(R39)/Q39,"")</f>
        <v/>
      </c>
      <c r="T39" s="43"/>
      <c r="U39" s="43"/>
      <c r="V39" s="42" t="str">
        <f aca="false">IF(AND(ISNUMBER(T39),T39&gt;0),N(U39)/T39,"")</f>
        <v/>
      </c>
      <c r="W39" s="41"/>
      <c r="X39" s="43"/>
      <c r="Y39" s="41"/>
      <c r="Z39" s="41"/>
      <c r="AA39" s="44"/>
      <c r="AB39" s="44"/>
      <c r="AC39" s="45"/>
      <c r="AD39" s="46"/>
      <c r="AE39" s="46"/>
    </row>
    <row r="40" customFormat="false" ht="15" hidden="false" customHeight="false" outlineLevel="0" collapsed="false">
      <c r="A40" s="40"/>
      <c r="B40" s="41"/>
      <c r="C40" s="41"/>
      <c r="D40" s="42" t="str">
        <f aca="false">IF(N(B40)&gt;0,1-N(C40)/(B40*Config!$B$15),"")</f>
        <v/>
      </c>
      <c r="E40" s="43"/>
      <c r="F40" s="43"/>
      <c r="G40" s="43"/>
      <c r="H40" s="42" t="str">
        <f aca="false">IF(AND(ISNUMBER(E40),E40&gt;0),N(G40)/E40,"")</f>
        <v/>
      </c>
      <c r="I40" s="43"/>
      <c r="J40" s="43"/>
      <c r="K40" s="43"/>
      <c r="L40" s="42" t="str">
        <f aca="false">IF(AND(ISNUMBER(I40),I40&gt;0),N(K40)/I40,"")</f>
        <v/>
      </c>
      <c r="M40" s="43"/>
      <c r="N40" s="43"/>
      <c r="O40" s="43"/>
      <c r="P40" s="42" t="str">
        <f aca="false">IF(AND(ISNUMBER(M40),M40&gt;0),N(O40)/M40,"")</f>
        <v/>
      </c>
      <c r="Q40" s="43"/>
      <c r="R40" s="43"/>
      <c r="S40" s="42" t="str">
        <f aca="false">IF(AND(ISNUMBER(Q40),Q40&gt;0),N(R40)/Q40,"")</f>
        <v/>
      </c>
      <c r="T40" s="43"/>
      <c r="U40" s="43"/>
      <c r="V40" s="42" t="str">
        <f aca="false">IF(AND(ISNUMBER(T40),T40&gt;0),N(U40)/T40,"")</f>
        <v/>
      </c>
      <c r="W40" s="41"/>
      <c r="X40" s="43"/>
      <c r="Y40" s="41"/>
      <c r="Z40" s="41"/>
      <c r="AA40" s="44"/>
      <c r="AB40" s="44"/>
      <c r="AC40" s="45"/>
      <c r="AD40" s="46"/>
      <c r="AE40" s="46"/>
    </row>
    <row r="41" customFormat="false" ht="15" hidden="false" customHeight="false" outlineLevel="0" collapsed="false">
      <c r="A41" s="40"/>
      <c r="B41" s="41"/>
      <c r="C41" s="41"/>
      <c r="D41" s="42" t="str">
        <f aca="false">IF(N(B41)&gt;0,1-N(C41)/(B41*Config!$B$15),"")</f>
        <v/>
      </c>
      <c r="E41" s="43"/>
      <c r="F41" s="43"/>
      <c r="G41" s="43"/>
      <c r="H41" s="42" t="str">
        <f aca="false">IF(AND(ISNUMBER(E41),E41&gt;0),N(G41)/E41,"")</f>
        <v/>
      </c>
      <c r="I41" s="43"/>
      <c r="J41" s="43"/>
      <c r="K41" s="43"/>
      <c r="L41" s="42" t="str">
        <f aca="false">IF(AND(ISNUMBER(I41),I41&gt;0),N(K41)/I41,"")</f>
        <v/>
      </c>
      <c r="M41" s="43"/>
      <c r="N41" s="43"/>
      <c r="O41" s="43"/>
      <c r="P41" s="42" t="str">
        <f aca="false">IF(AND(ISNUMBER(M41),M41&gt;0),N(O41)/M41,"")</f>
        <v/>
      </c>
      <c r="Q41" s="43"/>
      <c r="R41" s="43"/>
      <c r="S41" s="42" t="str">
        <f aca="false">IF(AND(ISNUMBER(Q41),Q41&gt;0),N(R41)/Q41,"")</f>
        <v/>
      </c>
      <c r="T41" s="43"/>
      <c r="U41" s="43"/>
      <c r="V41" s="42" t="str">
        <f aca="false">IF(AND(ISNUMBER(T41),T41&gt;0),N(U41)/T41,"")</f>
        <v/>
      </c>
      <c r="W41" s="41"/>
      <c r="X41" s="43"/>
      <c r="Y41" s="41"/>
      <c r="Z41" s="41"/>
      <c r="AA41" s="44"/>
      <c r="AB41" s="44"/>
      <c r="AC41" s="45"/>
      <c r="AD41" s="46"/>
      <c r="AE41" s="46"/>
    </row>
    <row r="42" customFormat="false" ht="15" hidden="false" customHeight="false" outlineLevel="0" collapsed="false">
      <c r="A42" s="40"/>
      <c r="B42" s="41"/>
      <c r="C42" s="41"/>
      <c r="D42" s="42" t="str">
        <f aca="false">IF(N(B42)&gt;0,1-N(C42)/(B42*Config!$B$15),"")</f>
        <v/>
      </c>
      <c r="E42" s="43"/>
      <c r="F42" s="43"/>
      <c r="G42" s="43"/>
      <c r="H42" s="42" t="str">
        <f aca="false">IF(AND(ISNUMBER(E42),E42&gt;0),N(G42)/E42,"")</f>
        <v/>
      </c>
      <c r="I42" s="43"/>
      <c r="J42" s="43"/>
      <c r="K42" s="43"/>
      <c r="L42" s="42" t="str">
        <f aca="false">IF(AND(ISNUMBER(I42),I42&gt;0),N(K42)/I42,"")</f>
        <v/>
      </c>
      <c r="M42" s="43"/>
      <c r="N42" s="43"/>
      <c r="O42" s="43"/>
      <c r="P42" s="42" t="str">
        <f aca="false">IF(AND(ISNUMBER(M42),M42&gt;0),N(O42)/M42,"")</f>
        <v/>
      </c>
      <c r="Q42" s="43"/>
      <c r="R42" s="43"/>
      <c r="S42" s="42" t="str">
        <f aca="false">IF(AND(ISNUMBER(Q42),Q42&gt;0),N(R42)/Q42,"")</f>
        <v/>
      </c>
      <c r="T42" s="43"/>
      <c r="U42" s="43"/>
      <c r="V42" s="42" t="str">
        <f aca="false">IF(AND(ISNUMBER(T42),T42&gt;0),N(U42)/T42,"")</f>
        <v/>
      </c>
      <c r="W42" s="41"/>
      <c r="X42" s="43"/>
      <c r="Y42" s="41"/>
      <c r="Z42" s="41"/>
      <c r="AA42" s="44"/>
      <c r="AB42" s="44"/>
      <c r="AC42" s="45"/>
      <c r="AD42" s="46"/>
      <c r="AE42" s="46"/>
    </row>
    <row r="43" customFormat="false" ht="15" hidden="false" customHeight="false" outlineLevel="0" collapsed="false">
      <c r="A43" s="40"/>
      <c r="B43" s="41"/>
      <c r="C43" s="41"/>
      <c r="D43" s="42" t="str">
        <f aca="false">IF(N(B43)&gt;0,1-N(C43)/(B43*Config!$B$15),"")</f>
        <v/>
      </c>
      <c r="E43" s="43"/>
      <c r="F43" s="43"/>
      <c r="G43" s="43"/>
      <c r="H43" s="42" t="str">
        <f aca="false">IF(AND(ISNUMBER(E43),E43&gt;0),N(G43)/E43,"")</f>
        <v/>
      </c>
      <c r="I43" s="43"/>
      <c r="J43" s="43"/>
      <c r="K43" s="43"/>
      <c r="L43" s="42" t="str">
        <f aca="false">IF(AND(ISNUMBER(I43),I43&gt;0),N(K43)/I43,"")</f>
        <v/>
      </c>
      <c r="M43" s="43"/>
      <c r="N43" s="43"/>
      <c r="O43" s="43"/>
      <c r="P43" s="42" t="str">
        <f aca="false">IF(AND(ISNUMBER(M43),M43&gt;0),N(O43)/M43,"")</f>
        <v/>
      </c>
      <c r="Q43" s="43"/>
      <c r="R43" s="43"/>
      <c r="S43" s="42" t="str">
        <f aca="false">IF(AND(ISNUMBER(Q43),Q43&gt;0),N(R43)/Q43,"")</f>
        <v/>
      </c>
      <c r="T43" s="43"/>
      <c r="U43" s="43"/>
      <c r="V43" s="42" t="str">
        <f aca="false">IF(AND(ISNUMBER(T43),T43&gt;0),N(U43)/T43,"")</f>
        <v/>
      </c>
      <c r="W43" s="41"/>
      <c r="X43" s="43"/>
      <c r="Y43" s="41"/>
      <c r="Z43" s="41"/>
      <c r="AA43" s="44"/>
      <c r="AB43" s="44"/>
      <c r="AC43" s="45"/>
      <c r="AD43" s="46"/>
      <c r="AE43" s="46"/>
    </row>
    <row r="44" customFormat="false" ht="15" hidden="false" customHeight="false" outlineLevel="0" collapsed="false">
      <c r="A44" s="40"/>
      <c r="B44" s="41"/>
      <c r="C44" s="41"/>
      <c r="D44" s="42" t="str">
        <f aca="false">IF(N(B44)&gt;0,1-N(C44)/(B44*Config!$B$15),"")</f>
        <v/>
      </c>
      <c r="E44" s="43"/>
      <c r="F44" s="43"/>
      <c r="G44" s="43"/>
      <c r="H44" s="42" t="str">
        <f aca="false">IF(AND(ISNUMBER(E44),E44&gt;0),N(G44)/E44,"")</f>
        <v/>
      </c>
      <c r="I44" s="43"/>
      <c r="J44" s="43"/>
      <c r="K44" s="43"/>
      <c r="L44" s="42" t="str">
        <f aca="false">IF(AND(ISNUMBER(I44),I44&gt;0),N(K44)/I44,"")</f>
        <v/>
      </c>
      <c r="M44" s="43"/>
      <c r="N44" s="43"/>
      <c r="O44" s="43"/>
      <c r="P44" s="42" t="str">
        <f aca="false">IF(AND(ISNUMBER(M44),M44&gt;0),N(O44)/M44,"")</f>
        <v/>
      </c>
      <c r="Q44" s="43"/>
      <c r="R44" s="43"/>
      <c r="S44" s="42" t="str">
        <f aca="false">IF(AND(ISNUMBER(Q44),Q44&gt;0),N(R44)/Q44,"")</f>
        <v/>
      </c>
      <c r="T44" s="43"/>
      <c r="U44" s="43"/>
      <c r="V44" s="42" t="str">
        <f aca="false">IF(AND(ISNUMBER(T44),T44&gt;0),N(U44)/T44,"")</f>
        <v/>
      </c>
      <c r="W44" s="41"/>
      <c r="X44" s="43"/>
      <c r="Y44" s="41"/>
      <c r="Z44" s="41"/>
      <c r="AA44" s="44"/>
      <c r="AB44" s="44"/>
      <c r="AC44" s="45"/>
      <c r="AD44" s="46"/>
      <c r="AE44" s="46"/>
    </row>
    <row r="45" customFormat="false" ht="15" hidden="false" customHeight="false" outlineLevel="0" collapsed="false">
      <c r="A45" s="40"/>
      <c r="B45" s="41"/>
      <c r="C45" s="41"/>
      <c r="D45" s="42" t="str">
        <f aca="false">IF(N(B45)&gt;0,1-N(C45)/(B45*Config!$B$15),"")</f>
        <v/>
      </c>
      <c r="E45" s="43"/>
      <c r="F45" s="43"/>
      <c r="G45" s="43"/>
      <c r="H45" s="42" t="str">
        <f aca="false">IF(AND(ISNUMBER(E45),E45&gt;0),N(G45)/E45,"")</f>
        <v/>
      </c>
      <c r="I45" s="43"/>
      <c r="J45" s="43"/>
      <c r="K45" s="43"/>
      <c r="L45" s="42" t="str">
        <f aca="false">IF(AND(ISNUMBER(I45),I45&gt;0),N(K45)/I45,"")</f>
        <v/>
      </c>
      <c r="M45" s="43"/>
      <c r="N45" s="43"/>
      <c r="O45" s="43"/>
      <c r="P45" s="42" t="str">
        <f aca="false">IF(AND(ISNUMBER(M45),M45&gt;0),N(O45)/M45,"")</f>
        <v/>
      </c>
      <c r="Q45" s="43"/>
      <c r="R45" s="43"/>
      <c r="S45" s="42" t="str">
        <f aca="false">IF(AND(ISNUMBER(Q45),Q45&gt;0),N(R45)/Q45,"")</f>
        <v/>
      </c>
      <c r="T45" s="43"/>
      <c r="U45" s="43"/>
      <c r="V45" s="42" t="str">
        <f aca="false">IF(AND(ISNUMBER(T45),T45&gt;0),N(U45)/T45,"")</f>
        <v/>
      </c>
      <c r="W45" s="41"/>
      <c r="X45" s="43"/>
      <c r="Y45" s="41"/>
      <c r="Z45" s="41"/>
      <c r="AA45" s="44"/>
      <c r="AB45" s="44"/>
      <c r="AC45" s="45"/>
      <c r="AD45" s="46"/>
      <c r="AE45" s="46"/>
    </row>
    <row r="46" customFormat="false" ht="15" hidden="false" customHeight="false" outlineLevel="0" collapsed="false">
      <c r="A46" s="40"/>
      <c r="B46" s="41"/>
      <c r="C46" s="41"/>
      <c r="D46" s="42" t="str">
        <f aca="false">IF(N(B46)&gt;0,1-N(C46)/(B46*Config!$B$15),"")</f>
        <v/>
      </c>
      <c r="E46" s="43"/>
      <c r="F46" s="43"/>
      <c r="G46" s="43"/>
      <c r="H46" s="42" t="str">
        <f aca="false">IF(AND(ISNUMBER(E46),E46&gt;0),N(G46)/E46,"")</f>
        <v/>
      </c>
      <c r="I46" s="43"/>
      <c r="J46" s="43"/>
      <c r="K46" s="43"/>
      <c r="L46" s="42" t="str">
        <f aca="false">IF(AND(ISNUMBER(I46),I46&gt;0),N(K46)/I46,"")</f>
        <v/>
      </c>
      <c r="M46" s="43"/>
      <c r="N46" s="43"/>
      <c r="O46" s="43"/>
      <c r="P46" s="42" t="str">
        <f aca="false">IF(AND(ISNUMBER(M46),M46&gt;0),N(O46)/M46,"")</f>
        <v/>
      </c>
      <c r="Q46" s="43"/>
      <c r="R46" s="43"/>
      <c r="S46" s="42" t="str">
        <f aca="false">IF(AND(ISNUMBER(Q46),Q46&gt;0),N(R46)/Q46,"")</f>
        <v/>
      </c>
      <c r="T46" s="43"/>
      <c r="U46" s="43"/>
      <c r="V46" s="42" t="str">
        <f aca="false">IF(AND(ISNUMBER(T46),T46&gt;0),N(U46)/T46,"")</f>
        <v/>
      </c>
      <c r="W46" s="41"/>
      <c r="X46" s="43"/>
      <c r="Y46" s="41"/>
      <c r="Z46" s="41"/>
      <c r="AA46" s="44"/>
      <c r="AB46" s="44"/>
      <c r="AC46" s="45"/>
      <c r="AD46" s="46"/>
      <c r="AE46" s="46"/>
    </row>
    <row r="47" customFormat="false" ht="15" hidden="false" customHeight="false" outlineLevel="0" collapsed="false">
      <c r="A47" s="40"/>
      <c r="B47" s="41"/>
      <c r="C47" s="41"/>
      <c r="D47" s="42" t="str">
        <f aca="false">IF(N(B47)&gt;0,1-N(C47)/(B47*Config!$B$15),"")</f>
        <v/>
      </c>
      <c r="E47" s="43"/>
      <c r="F47" s="43"/>
      <c r="G47" s="43"/>
      <c r="H47" s="42" t="str">
        <f aca="false">IF(AND(ISNUMBER(E47),E47&gt;0),N(G47)/E47,"")</f>
        <v/>
      </c>
      <c r="I47" s="43"/>
      <c r="J47" s="43"/>
      <c r="K47" s="43"/>
      <c r="L47" s="42" t="str">
        <f aca="false">IF(AND(ISNUMBER(I47),I47&gt;0),N(K47)/I47,"")</f>
        <v/>
      </c>
      <c r="M47" s="43"/>
      <c r="N47" s="43"/>
      <c r="O47" s="43"/>
      <c r="P47" s="42" t="str">
        <f aca="false">IF(AND(ISNUMBER(M47),M47&gt;0),N(O47)/M47,"")</f>
        <v/>
      </c>
      <c r="Q47" s="43"/>
      <c r="R47" s="43"/>
      <c r="S47" s="42" t="str">
        <f aca="false">IF(AND(ISNUMBER(Q47),Q47&gt;0),N(R47)/Q47,"")</f>
        <v/>
      </c>
      <c r="T47" s="43"/>
      <c r="U47" s="43"/>
      <c r="V47" s="42" t="str">
        <f aca="false">IF(AND(ISNUMBER(T47),T47&gt;0),N(U47)/T47,"")</f>
        <v/>
      </c>
      <c r="W47" s="41"/>
      <c r="X47" s="43"/>
      <c r="Y47" s="41"/>
      <c r="Z47" s="41"/>
      <c r="AA47" s="44"/>
      <c r="AB47" s="44"/>
      <c r="AC47" s="45"/>
      <c r="AD47" s="46"/>
      <c r="AE47" s="46"/>
    </row>
    <row r="48" customFormat="false" ht="15" hidden="false" customHeight="false" outlineLevel="0" collapsed="false">
      <c r="A48" s="40"/>
      <c r="B48" s="41"/>
      <c r="C48" s="41"/>
      <c r="D48" s="42" t="str">
        <f aca="false">IF(N(B48)&gt;0,1-N(C48)/(B48*Config!$B$15),"")</f>
        <v/>
      </c>
      <c r="E48" s="43"/>
      <c r="F48" s="43"/>
      <c r="G48" s="43"/>
      <c r="H48" s="42" t="str">
        <f aca="false">IF(AND(ISNUMBER(E48),E48&gt;0),N(G48)/E48,"")</f>
        <v/>
      </c>
      <c r="I48" s="43"/>
      <c r="J48" s="43"/>
      <c r="K48" s="43"/>
      <c r="L48" s="42" t="str">
        <f aca="false">IF(AND(ISNUMBER(I48),I48&gt;0),N(K48)/I48,"")</f>
        <v/>
      </c>
      <c r="M48" s="43"/>
      <c r="N48" s="43"/>
      <c r="O48" s="43"/>
      <c r="P48" s="42" t="str">
        <f aca="false">IF(AND(ISNUMBER(M48),M48&gt;0),N(O48)/M48,"")</f>
        <v/>
      </c>
      <c r="Q48" s="43"/>
      <c r="R48" s="43"/>
      <c r="S48" s="42" t="str">
        <f aca="false">IF(AND(ISNUMBER(Q48),Q48&gt;0),N(R48)/Q48,"")</f>
        <v/>
      </c>
      <c r="T48" s="43"/>
      <c r="U48" s="43"/>
      <c r="V48" s="42" t="str">
        <f aca="false">IF(AND(ISNUMBER(T48),T48&gt;0),N(U48)/T48,"")</f>
        <v/>
      </c>
      <c r="W48" s="41"/>
      <c r="X48" s="43"/>
      <c r="Y48" s="41"/>
      <c r="Z48" s="41"/>
      <c r="AA48" s="44"/>
      <c r="AB48" s="44"/>
      <c r="AC48" s="45"/>
      <c r="AD48" s="46"/>
      <c r="AE48" s="46"/>
    </row>
    <row r="49" customFormat="false" ht="15" hidden="false" customHeight="false" outlineLevel="0" collapsed="false">
      <c r="A49" s="40"/>
      <c r="B49" s="41"/>
      <c r="C49" s="41"/>
      <c r="D49" s="42" t="str">
        <f aca="false">IF(N(B49)&gt;0,1-N(C49)/(B49*Config!$B$15),"")</f>
        <v/>
      </c>
      <c r="E49" s="43"/>
      <c r="F49" s="43"/>
      <c r="G49" s="43"/>
      <c r="H49" s="42" t="str">
        <f aca="false">IF(AND(ISNUMBER(E49),E49&gt;0),N(G49)/E49,"")</f>
        <v/>
      </c>
      <c r="I49" s="43"/>
      <c r="J49" s="43"/>
      <c r="K49" s="43"/>
      <c r="L49" s="42" t="str">
        <f aca="false">IF(AND(ISNUMBER(I49),I49&gt;0),N(K49)/I49,"")</f>
        <v/>
      </c>
      <c r="M49" s="43"/>
      <c r="N49" s="43"/>
      <c r="O49" s="43"/>
      <c r="P49" s="42" t="str">
        <f aca="false">IF(AND(ISNUMBER(M49),M49&gt;0),N(O49)/M49,"")</f>
        <v/>
      </c>
      <c r="Q49" s="43"/>
      <c r="R49" s="43"/>
      <c r="S49" s="42" t="str">
        <f aca="false">IF(AND(ISNUMBER(Q49),Q49&gt;0),N(R49)/Q49,"")</f>
        <v/>
      </c>
      <c r="T49" s="43"/>
      <c r="U49" s="43"/>
      <c r="V49" s="42" t="str">
        <f aca="false">IF(AND(ISNUMBER(T49),T49&gt;0),N(U49)/T49,"")</f>
        <v/>
      </c>
      <c r="W49" s="41"/>
      <c r="X49" s="43"/>
      <c r="Y49" s="41"/>
      <c r="Z49" s="41"/>
      <c r="AA49" s="44"/>
      <c r="AB49" s="44"/>
      <c r="AC49" s="45"/>
      <c r="AD49" s="46"/>
      <c r="AE49" s="46"/>
    </row>
    <row r="50" customFormat="false" ht="15" hidden="false" customHeight="false" outlineLevel="0" collapsed="false">
      <c r="A50" s="40"/>
      <c r="B50" s="41"/>
      <c r="C50" s="41"/>
      <c r="D50" s="42" t="str">
        <f aca="false">IF(N(B50)&gt;0,1-N(C50)/(B50*Config!$B$15),"")</f>
        <v/>
      </c>
      <c r="E50" s="43"/>
      <c r="F50" s="43"/>
      <c r="G50" s="43"/>
      <c r="H50" s="42" t="str">
        <f aca="false">IF(AND(ISNUMBER(E50),E50&gt;0),N(G50)/E50,"")</f>
        <v/>
      </c>
      <c r="I50" s="43"/>
      <c r="J50" s="43"/>
      <c r="K50" s="43"/>
      <c r="L50" s="42" t="str">
        <f aca="false">IF(AND(ISNUMBER(I50),I50&gt;0),N(K50)/I50,"")</f>
        <v/>
      </c>
      <c r="M50" s="43"/>
      <c r="N50" s="43"/>
      <c r="O50" s="43"/>
      <c r="P50" s="42" t="str">
        <f aca="false">IF(AND(ISNUMBER(M50),M50&gt;0),N(O50)/M50,"")</f>
        <v/>
      </c>
      <c r="Q50" s="43"/>
      <c r="R50" s="43"/>
      <c r="S50" s="42" t="str">
        <f aca="false">IF(AND(ISNUMBER(Q50),Q50&gt;0),N(R50)/Q50,"")</f>
        <v/>
      </c>
      <c r="T50" s="43"/>
      <c r="U50" s="43"/>
      <c r="V50" s="42" t="str">
        <f aca="false">IF(AND(ISNUMBER(T50),T50&gt;0),N(U50)/T50,"")</f>
        <v/>
      </c>
      <c r="W50" s="41"/>
      <c r="X50" s="43"/>
      <c r="Y50" s="41"/>
      <c r="Z50" s="41"/>
      <c r="AA50" s="44"/>
      <c r="AB50" s="44"/>
      <c r="AC50" s="45"/>
      <c r="AD50" s="46"/>
      <c r="AE50" s="46"/>
    </row>
    <row r="51" customFormat="false" ht="15" hidden="false" customHeight="false" outlineLevel="0" collapsed="false">
      <c r="A51" s="40"/>
      <c r="B51" s="41"/>
      <c r="C51" s="41"/>
      <c r="D51" s="42" t="str">
        <f aca="false">IF(N(B51)&gt;0,1-N(C51)/(B51*Config!$B$15),"")</f>
        <v/>
      </c>
      <c r="E51" s="43"/>
      <c r="F51" s="43"/>
      <c r="G51" s="43"/>
      <c r="H51" s="42" t="str">
        <f aca="false">IF(AND(ISNUMBER(E51),E51&gt;0),N(G51)/E51,"")</f>
        <v/>
      </c>
      <c r="I51" s="43"/>
      <c r="J51" s="43"/>
      <c r="K51" s="43"/>
      <c r="L51" s="42" t="str">
        <f aca="false">IF(AND(ISNUMBER(I51),I51&gt;0),N(K51)/I51,"")</f>
        <v/>
      </c>
      <c r="M51" s="43"/>
      <c r="N51" s="43"/>
      <c r="O51" s="43"/>
      <c r="P51" s="42" t="str">
        <f aca="false">IF(AND(ISNUMBER(M51),M51&gt;0),N(O51)/M51,"")</f>
        <v/>
      </c>
      <c r="Q51" s="43"/>
      <c r="R51" s="43"/>
      <c r="S51" s="42" t="str">
        <f aca="false">IF(AND(ISNUMBER(Q51),Q51&gt;0),N(R51)/Q51,"")</f>
        <v/>
      </c>
      <c r="T51" s="43"/>
      <c r="U51" s="43"/>
      <c r="V51" s="42" t="str">
        <f aca="false">IF(AND(ISNUMBER(T51),T51&gt;0),N(U51)/T51,"")</f>
        <v/>
      </c>
      <c r="W51" s="41"/>
      <c r="X51" s="43"/>
      <c r="Y51" s="41"/>
      <c r="Z51" s="41"/>
      <c r="AA51" s="44"/>
      <c r="AB51" s="44"/>
      <c r="AC51" s="45"/>
      <c r="AD51" s="46"/>
      <c r="AE51" s="46"/>
    </row>
    <row r="52" customFormat="false" ht="15" hidden="false" customHeight="false" outlineLevel="0" collapsed="false">
      <c r="A52" s="40"/>
      <c r="B52" s="41"/>
      <c r="C52" s="41"/>
      <c r="D52" s="42" t="str">
        <f aca="false">IF(N(B52)&gt;0,1-N(C52)/(B52*Config!$B$15),"")</f>
        <v/>
      </c>
      <c r="E52" s="43"/>
      <c r="F52" s="43"/>
      <c r="G52" s="43"/>
      <c r="H52" s="42" t="str">
        <f aca="false">IF(AND(ISNUMBER(E52),E52&gt;0),N(G52)/E52,"")</f>
        <v/>
      </c>
      <c r="I52" s="43"/>
      <c r="J52" s="43"/>
      <c r="K52" s="43"/>
      <c r="L52" s="42" t="str">
        <f aca="false">IF(AND(ISNUMBER(I52),I52&gt;0),N(K52)/I52,"")</f>
        <v/>
      </c>
      <c r="M52" s="43"/>
      <c r="N52" s="43"/>
      <c r="O52" s="43"/>
      <c r="P52" s="42" t="str">
        <f aca="false">IF(AND(ISNUMBER(M52),M52&gt;0),N(O52)/M52,"")</f>
        <v/>
      </c>
      <c r="Q52" s="43"/>
      <c r="R52" s="43"/>
      <c r="S52" s="42" t="str">
        <f aca="false">IF(AND(ISNUMBER(Q52),Q52&gt;0),N(R52)/Q52,"")</f>
        <v/>
      </c>
      <c r="T52" s="43"/>
      <c r="U52" s="43"/>
      <c r="V52" s="42" t="str">
        <f aca="false">IF(AND(ISNUMBER(T52),T52&gt;0),N(U52)/T52,"")</f>
        <v/>
      </c>
      <c r="W52" s="41"/>
      <c r="X52" s="43"/>
      <c r="Y52" s="41"/>
      <c r="Z52" s="41"/>
      <c r="AA52" s="44"/>
      <c r="AB52" s="44"/>
      <c r="AC52" s="45"/>
      <c r="AD52" s="46"/>
      <c r="AE52" s="46"/>
    </row>
    <row r="53" customFormat="false" ht="15" hidden="false" customHeight="false" outlineLevel="0" collapsed="false">
      <c r="A53" s="40"/>
      <c r="B53" s="41"/>
      <c r="C53" s="41"/>
      <c r="D53" s="42" t="str">
        <f aca="false">IF(N(B53)&gt;0,1-N(C53)/(B53*Config!$B$15),"")</f>
        <v/>
      </c>
      <c r="E53" s="43"/>
      <c r="F53" s="43"/>
      <c r="G53" s="43"/>
      <c r="H53" s="42" t="str">
        <f aca="false">IF(AND(ISNUMBER(E53),E53&gt;0),N(G53)/E53,"")</f>
        <v/>
      </c>
      <c r="I53" s="43"/>
      <c r="J53" s="43"/>
      <c r="K53" s="43"/>
      <c r="L53" s="42" t="str">
        <f aca="false">IF(AND(ISNUMBER(I53),I53&gt;0),N(K53)/I53,"")</f>
        <v/>
      </c>
      <c r="M53" s="43"/>
      <c r="N53" s="43"/>
      <c r="O53" s="43"/>
      <c r="P53" s="42" t="str">
        <f aca="false">IF(AND(ISNUMBER(M53),M53&gt;0),N(O53)/M53,"")</f>
        <v/>
      </c>
      <c r="Q53" s="43"/>
      <c r="R53" s="43"/>
      <c r="S53" s="42" t="str">
        <f aca="false">IF(AND(ISNUMBER(Q53),Q53&gt;0),N(R53)/Q53,"")</f>
        <v/>
      </c>
      <c r="T53" s="43"/>
      <c r="U53" s="43"/>
      <c r="V53" s="42" t="str">
        <f aca="false">IF(AND(ISNUMBER(T53),T53&gt;0),N(U53)/T53,"")</f>
        <v/>
      </c>
      <c r="W53" s="41"/>
      <c r="X53" s="43"/>
      <c r="Y53" s="41"/>
      <c r="Z53" s="41"/>
      <c r="AA53" s="44"/>
      <c r="AB53" s="44"/>
      <c r="AC53" s="45"/>
      <c r="AD53" s="46"/>
      <c r="AE53" s="46"/>
    </row>
    <row r="54" customFormat="false" ht="15" hidden="false" customHeight="false" outlineLevel="0" collapsed="false">
      <c r="A54" s="40"/>
      <c r="B54" s="41"/>
      <c r="C54" s="41"/>
      <c r="D54" s="42" t="str">
        <f aca="false">IF(N(B54)&gt;0,1-N(C54)/(B54*Config!$B$15),"")</f>
        <v/>
      </c>
      <c r="E54" s="43"/>
      <c r="F54" s="43"/>
      <c r="G54" s="43"/>
      <c r="H54" s="42" t="str">
        <f aca="false">IF(AND(ISNUMBER(E54),E54&gt;0),N(G54)/E54,"")</f>
        <v/>
      </c>
      <c r="I54" s="43"/>
      <c r="J54" s="43"/>
      <c r="K54" s="43"/>
      <c r="L54" s="42" t="str">
        <f aca="false">IF(AND(ISNUMBER(I54),I54&gt;0),N(K54)/I54,"")</f>
        <v/>
      </c>
      <c r="M54" s="43"/>
      <c r="N54" s="43"/>
      <c r="O54" s="43"/>
      <c r="P54" s="42" t="str">
        <f aca="false">IF(AND(ISNUMBER(M54),M54&gt;0),N(O54)/M54,"")</f>
        <v/>
      </c>
      <c r="Q54" s="43"/>
      <c r="R54" s="43"/>
      <c r="S54" s="42" t="str">
        <f aca="false">IF(AND(ISNUMBER(Q54),Q54&gt;0),N(R54)/Q54,"")</f>
        <v/>
      </c>
      <c r="T54" s="43"/>
      <c r="U54" s="43"/>
      <c r="V54" s="42" t="str">
        <f aca="false">IF(AND(ISNUMBER(T54),T54&gt;0),N(U54)/T54,"")</f>
        <v/>
      </c>
      <c r="W54" s="41"/>
      <c r="X54" s="43"/>
      <c r="Y54" s="41"/>
      <c r="Z54" s="41"/>
      <c r="AA54" s="44"/>
      <c r="AB54" s="44"/>
      <c r="AC54" s="45"/>
      <c r="AD54" s="46"/>
      <c r="AE54" s="46"/>
    </row>
    <row r="55" customFormat="false" ht="15" hidden="false" customHeight="false" outlineLevel="0" collapsed="false">
      <c r="A55" s="40"/>
      <c r="B55" s="41"/>
      <c r="C55" s="41"/>
      <c r="D55" s="42" t="str">
        <f aca="false">IF(N(B55)&gt;0,1-N(C55)/(B55*Config!$B$15),"")</f>
        <v/>
      </c>
      <c r="E55" s="43"/>
      <c r="F55" s="43"/>
      <c r="G55" s="43"/>
      <c r="H55" s="42" t="str">
        <f aca="false">IF(AND(ISNUMBER(E55),E55&gt;0),N(G55)/E55,"")</f>
        <v/>
      </c>
      <c r="I55" s="43"/>
      <c r="J55" s="43"/>
      <c r="K55" s="43"/>
      <c r="L55" s="42" t="str">
        <f aca="false">IF(AND(ISNUMBER(I55),I55&gt;0),N(K55)/I55,"")</f>
        <v/>
      </c>
      <c r="M55" s="43"/>
      <c r="N55" s="43"/>
      <c r="O55" s="43"/>
      <c r="P55" s="42" t="str">
        <f aca="false">IF(AND(ISNUMBER(M55),M55&gt;0),N(O55)/M55,"")</f>
        <v/>
      </c>
      <c r="Q55" s="43"/>
      <c r="R55" s="43"/>
      <c r="S55" s="42" t="str">
        <f aca="false">IF(AND(ISNUMBER(Q55),Q55&gt;0),N(R55)/Q55,"")</f>
        <v/>
      </c>
      <c r="T55" s="43"/>
      <c r="U55" s="43"/>
      <c r="V55" s="42" t="str">
        <f aca="false">IF(AND(ISNUMBER(T55),T55&gt;0),N(U55)/T55,"")</f>
        <v/>
      </c>
      <c r="W55" s="41"/>
      <c r="X55" s="43"/>
      <c r="Y55" s="41"/>
      <c r="Z55" s="41"/>
      <c r="AA55" s="44"/>
      <c r="AB55" s="44"/>
      <c r="AC55" s="45"/>
      <c r="AD55" s="46"/>
      <c r="AE55" s="46"/>
    </row>
    <row r="56" customFormat="false" ht="15" hidden="false" customHeight="false" outlineLevel="0" collapsed="false">
      <c r="A56" s="40"/>
      <c r="B56" s="41"/>
      <c r="C56" s="41"/>
      <c r="D56" s="42" t="str">
        <f aca="false">IF(N(B56)&gt;0,1-N(C56)/(B56*Config!$B$15),"")</f>
        <v/>
      </c>
      <c r="E56" s="43"/>
      <c r="F56" s="43"/>
      <c r="G56" s="43"/>
      <c r="H56" s="42" t="str">
        <f aca="false">IF(AND(ISNUMBER(E56),E56&gt;0),N(G56)/E56,"")</f>
        <v/>
      </c>
      <c r="I56" s="43"/>
      <c r="J56" s="43"/>
      <c r="K56" s="43"/>
      <c r="L56" s="42" t="str">
        <f aca="false">IF(AND(ISNUMBER(I56),I56&gt;0),N(K56)/I56,"")</f>
        <v/>
      </c>
      <c r="M56" s="43"/>
      <c r="N56" s="43"/>
      <c r="O56" s="43"/>
      <c r="P56" s="42" t="str">
        <f aca="false">IF(AND(ISNUMBER(M56),M56&gt;0),N(O56)/M56,"")</f>
        <v/>
      </c>
      <c r="Q56" s="43"/>
      <c r="R56" s="43"/>
      <c r="S56" s="42" t="str">
        <f aca="false">IF(AND(ISNUMBER(Q56),Q56&gt;0),N(R56)/Q56,"")</f>
        <v/>
      </c>
      <c r="T56" s="43"/>
      <c r="U56" s="43"/>
      <c r="V56" s="42" t="str">
        <f aca="false">IF(AND(ISNUMBER(T56),T56&gt;0),N(U56)/T56,"")</f>
        <v/>
      </c>
      <c r="W56" s="41"/>
      <c r="X56" s="43"/>
      <c r="Y56" s="41"/>
      <c r="Z56" s="41"/>
      <c r="AA56" s="44"/>
      <c r="AB56" s="44"/>
      <c r="AC56" s="45"/>
      <c r="AD56" s="46"/>
      <c r="AE56" s="46"/>
    </row>
    <row r="57" customFormat="false" ht="15" hidden="false" customHeight="false" outlineLevel="0" collapsed="false">
      <c r="A57" s="40"/>
      <c r="B57" s="41"/>
      <c r="C57" s="41"/>
      <c r="D57" s="42" t="str">
        <f aca="false">IF(N(B57)&gt;0,1-N(C57)/(B57*Config!$B$15),"")</f>
        <v/>
      </c>
      <c r="E57" s="43"/>
      <c r="F57" s="43"/>
      <c r="G57" s="43"/>
      <c r="H57" s="42" t="str">
        <f aca="false">IF(AND(ISNUMBER(E57),E57&gt;0),N(G57)/E57,"")</f>
        <v/>
      </c>
      <c r="I57" s="43"/>
      <c r="J57" s="43"/>
      <c r="K57" s="43"/>
      <c r="L57" s="42" t="str">
        <f aca="false">IF(AND(ISNUMBER(I57),I57&gt;0),N(K57)/I57,"")</f>
        <v/>
      </c>
      <c r="M57" s="43"/>
      <c r="N57" s="43"/>
      <c r="O57" s="43"/>
      <c r="P57" s="42" t="str">
        <f aca="false">IF(AND(ISNUMBER(M57),M57&gt;0),N(O57)/M57,"")</f>
        <v/>
      </c>
      <c r="Q57" s="43"/>
      <c r="R57" s="43"/>
      <c r="S57" s="42" t="str">
        <f aca="false">IF(AND(ISNUMBER(Q57),Q57&gt;0),N(R57)/Q57,"")</f>
        <v/>
      </c>
      <c r="T57" s="43"/>
      <c r="U57" s="43"/>
      <c r="V57" s="42" t="str">
        <f aca="false">IF(AND(ISNUMBER(T57),T57&gt;0),N(U57)/T57,"")</f>
        <v/>
      </c>
      <c r="W57" s="41"/>
      <c r="X57" s="43"/>
      <c r="Y57" s="41"/>
      <c r="Z57" s="41"/>
      <c r="AA57" s="44"/>
      <c r="AB57" s="44"/>
      <c r="AC57" s="45"/>
      <c r="AD57" s="46"/>
      <c r="AE57" s="46"/>
    </row>
    <row r="58" customFormat="false" ht="15" hidden="false" customHeight="false" outlineLevel="0" collapsed="false">
      <c r="A58" s="40"/>
      <c r="B58" s="41"/>
      <c r="C58" s="41"/>
      <c r="D58" s="42" t="str">
        <f aca="false">IF(N(B58)&gt;0,1-N(C58)/(B58*Config!$B$15),"")</f>
        <v/>
      </c>
      <c r="E58" s="43"/>
      <c r="F58" s="43"/>
      <c r="G58" s="43"/>
      <c r="H58" s="42" t="str">
        <f aca="false">IF(AND(ISNUMBER(E58),E58&gt;0),N(G58)/E58,"")</f>
        <v/>
      </c>
      <c r="I58" s="43"/>
      <c r="J58" s="43"/>
      <c r="K58" s="43"/>
      <c r="L58" s="42" t="str">
        <f aca="false">IF(AND(ISNUMBER(I58),I58&gt;0),N(K58)/I58,"")</f>
        <v/>
      </c>
      <c r="M58" s="43"/>
      <c r="N58" s="43"/>
      <c r="O58" s="43"/>
      <c r="P58" s="42" t="str">
        <f aca="false">IF(AND(ISNUMBER(M58),M58&gt;0),N(O58)/M58,"")</f>
        <v/>
      </c>
      <c r="Q58" s="43"/>
      <c r="R58" s="43"/>
      <c r="S58" s="42" t="str">
        <f aca="false">IF(AND(ISNUMBER(Q58),Q58&gt;0),N(R58)/Q58,"")</f>
        <v/>
      </c>
      <c r="T58" s="43"/>
      <c r="U58" s="43"/>
      <c r="V58" s="42" t="str">
        <f aca="false">IF(AND(ISNUMBER(T58),T58&gt;0),N(U58)/T58,"")</f>
        <v/>
      </c>
      <c r="W58" s="41"/>
      <c r="X58" s="43"/>
      <c r="Y58" s="41"/>
      <c r="Z58" s="41"/>
      <c r="AA58" s="44"/>
      <c r="AB58" s="44"/>
      <c r="AC58" s="45"/>
      <c r="AD58" s="46"/>
      <c r="AE58" s="46"/>
    </row>
    <row r="59" customFormat="false" ht="15" hidden="false" customHeight="false" outlineLevel="0" collapsed="false">
      <c r="A59" s="40"/>
      <c r="B59" s="41"/>
      <c r="C59" s="41"/>
      <c r="D59" s="42" t="str">
        <f aca="false">IF(N(B59)&gt;0,1-N(C59)/(B59*Config!$B$15),"")</f>
        <v/>
      </c>
      <c r="E59" s="43"/>
      <c r="F59" s="43"/>
      <c r="G59" s="43"/>
      <c r="H59" s="42" t="str">
        <f aca="false">IF(AND(ISNUMBER(E59),E59&gt;0),N(G59)/E59,"")</f>
        <v/>
      </c>
      <c r="I59" s="43"/>
      <c r="J59" s="43"/>
      <c r="K59" s="43"/>
      <c r="L59" s="42" t="str">
        <f aca="false">IF(AND(ISNUMBER(I59),I59&gt;0),N(K59)/I59,"")</f>
        <v/>
      </c>
      <c r="M59" s="43"/>
      <c r="N59" s="43"/>
      <c r="O59" s="43"/>
      <c r="P59" s="42" t="str">
        <f aca="false">IF(AND(ISNUMBER(M59),M59&gt;0),N(O59)/M59,"")</f>
        <v/>
      </c>
      <c r="Q59" s="43"/>
      <c r="R59" s="43"/>
      <c r="S59" s="42" t="str">
        <f aca="false">IF(AND(ISNUMBER(Q59),Q59&gt;0),N(R59)/Q59,"")</f>
        <v/>
      </c>
      <c r="T59" s="43"/>
      <c r="U59" s="43"/>
      <c r="V59" s="42" t="str">
        <f aca="false">IF(AND(ISNUMBER(T59),T59&gt;0),N(U59)/T59,"")</f>
        <v/>
      </c>
      <c r="W59" s="41"/>
      <c r="X59" s="43"/>
      <c r="Y59" s="41"/>
      <c r="Z59" s="41"/>
      <c r="AA59" s="44"/>
      <c r="AB59" s="44"/>
      <c r="AC59" s="45"/>
      <c r="AD59" s="46"/>
      <c r="AE59" s="46"/>
    </row>
    <row r="60" customFormat="false" ht="15" hidden="false" customHeight="false" outlineLevel="0" collapsed="false">
      <c r="A60" s="40"/>
      <c r="B60" s="41"/>
      <c r="C60" s="41"/>
      <c r="D60" s="42" t="str">
        <f aca="false">IF(N(B60)&gt;0,1-N(C60)/(B60*Config!$B$15),"")</f>
        <v/>
      </c>
      <c r="E60" s="43"/>
      <c r="F60" s="43"/>
      <c r="G60" s="43"/>
      <c r="H60" s="42" t="str">
        <f aca="false">IF(AND(ISNUMBER(E60),E60&gt;0),N(G60)/E60,"")</f>
        <v/>
      </c>
      <c r="I60" s="43"/>
      <c r="J60" s="43"/>
      <c r="K60" s="43"/>
      <c r="L60" s="42" t="str">
        <f aca="false">IF(AND(ISNUMBER(I60),I60&gt;0),N(K60)/I60,"")</f>
        <v/>
      </c>
      <c r="M60" s="43"/>
      <c r="N60" s="43"/>
      <c r="O60" s="43"/>
      <c r="P60" s="42" t="str">
        <f aca="false">IF(AND(ISNUMBER(M60),M60&gt;0),N(O60)/M60,"")</f>
        <v/>
      </c>
      <c r="Q60" s="43"/>
      <c r="R60" s="43"/>
      <c r="S60" s="42" t="str">
        <f aca="false">IF(AND(ISNUMBER(Q60),Q60&gt;0),N(R60)/Q60,"")</f>
        <v/>
      </c>
      <c r="T60" s="43"/>
      <c r="U60" s="43"/>
      <c r="V60" s="42" t="str">
        <f aca="false">IF(AND(ISNUMBER(T60),T60&gt;0),N(U60)/T60,"")</f>
        <v/>
      </c>
      <c r="W60" s="41"/>
      <c r="X60" s="43"/>
      <c r="Y60" s="41"/>
      <c r="Z60" s="41"/>
      <c r="AA60" s="44"/>
      <c r="AB60" s="44"/>
      <c r="AC60" s="45"/>
      <c r="AD60" s="46"/>
      <c r="AE60" s="46"/>
    </row>
    <row r="61" customFormat="false" ht="15" hidden="false" customHeight="false" outlineLevel="0" collapsed="false">
      <c r="A61" s="40"/>
      <c r="B61" s="41"/>
      <c r="C61" s="41"/>
      <c r="D61" s="42" t="str">
        <f aca="false">IF(N(B61)&gt;0,1-N(C61)/(B61*Config!$B$15),"")</f>
        <v/>
      </c>
      <c r="E61" s="43"/>
      <c r="F61" s="43"/>
      <c r="G61" s="43"/>
      <c r="H61" s="42" t="str">
        <f aca="false">IF(AND(ISNUMBER(E61),E61&gt;0),N(G61)/E61,"")</f>
        <v/>
      </c>
      <c r="I61" s="43"/>
      <c r="J61" s="43"/>
      <c r="K61" s="43"/>
      <c r="L61" s="42" t="str">
        <f aca="false">IF(AND(ISNUMBER(I61),I61&gt;0),N(K61)/I61,"")</f>
        <v/>
      </c>
      <c r="M61" s="43"/>
      <c r="N61" s="43"/>
      <c r="O61" s="43"/>
      <c r="P61" s="42" t="str">
        <f aca="false">IF(AND(ISNUMBER(M61),M61&gt;0),N(O61)/M61,"")</f>
        <v/>
      </c>
      <c r="Q61" s="43"/>
      <c r="R61" s="43"/>
      <c r="S61" s="42" t="str">
        <f aca="false">IF(AND(ISNUMBER(Q61),Q61&gt;0),N(R61)/Q61,"")</f>
        <v/>
      </c>
      <c r="T61" s="43"/>
      <c r="U61" s="43"/>
      <c r="V61" s="42" t="str">
        <f aca="false">IF(AND(ISNUMBER(T61),T61&gt;0),N(U61)/T61,"")</f>
        <v/>
      </c>
      <c r="W61" s="41"/>
      <c r="X61" s="43"/>
      <c r="Y61" s="41"/>
      <c r="Z61" s="41"/>
      <c r="AA61" s="44"/>
      <c r="AB61" s="44"/>
      <c r="AC61" s="45"/>
      <c r="AD61" s="46"/>
      <c r="AE61" s="46"/>
    </row>
    <row r="62" customFormat="false" ht="15" hidden="false" customHeight="false" outlineLevel="0" collapsed="false">
      <c r="A62" s="40"/>
      <c r="B62" s="41"/>
      <c r="C62" s="41"/>
      <c r="D62" s="42" t="str">
        <f aca="false">IF(N(B62)&gt;0,1-N(C62)/(B62*Config!$B$15),"")</f>
        <v/>
      </c>
      <c r="E62" s="43"/>
      <c r="F62" s="43"/>
      <c r="G62" s="43"/>
      <c r="H62" s="42" t="str">
        <f aca="false">IF(AND(ISNUMBER(E62),E62&gt;0),N(G62)/E62,"")</f>
        <v/>
      </c>
      <c r="I62" s="43"/>
      <c r="J62" s="43"/>
      <c r="K62" s="43"/>
      <c r="L62" s="42" t="str">
        <f aca="false">IF(AND(ISNUMBER(I62),I62&gt;0),N(K62)/I62,"")</f>
        <v/>
      </c>
      <c r="M62" s="43"/>
      <c r="N62" s="43"/>
      <c r="O62" s="43"/>
      <c r="P62" s="42" t="str">
        <f aca="false">IF(AND(ISNUMBER(M62),M62&gt;0),N(O62)/M62,"")</f>
        <v/>
      </c>
      <c r="Q62" s="43"/>
      <c r="R62" s="43"/>
      <c r="S62" s="42" t="str">
        <f aca="false">IF(AND(ISNUMBER(Q62),Q62&gt;0),N(R62)/Q62,"")</f>
        <v/>
      </c>
      <c r="T62" s="43"/>
      <c r="U62" s="43"/>
      <c r="V62" s="42" t="str">
        <f aca="false">IF(AND(ISNUMBER(T62),T62&gt;0),N(U62)/T62,"")</f>
        <v/>
      </c>
      <c r="W62" s="41"/>
      <c r="X62" s="43"/>
      <c r="Y62" s="41"/>
      <c r="Z62" s="41"/>
      <c r="AA62" s="44"/>
      <c r="AB62" s="44"/>
      <c r="AC62" s="45"/>
      <c r="AD62" s="46"/>
      <c r="AE62" s="46"/>
    </row>
    <row r="63" customFormat="false" ht="15" hidden="false" customHeight="false" outlineLevel="0" collapsed="false">
      <c r="A63" s="40"/>
      <c r="B63" s="41"/>
      <c r="C63" s="41"/>
      <c r="D63" s="42" t="str">
        <f aca="false">IF(N(B63)&gt;0,1-N(C63)/(B63*Config!$B$15),"")</f>
        <v/>
      </c>
      <c r="E63" s="43"/>
      <c r="F63" s="43"/>
      <c r="G63" s="43"/>
      <c r="H63" s="42" t="str">
        <f aca="false">IF(AND(ISNUMBER(E63),E63&gt;0),N(G63)/E63,"")</f>
        <v/>
      </c>
      <c r="I63" s="43"/>
      <c r="J63" s="43"/>
      <c r="K63" s="43"/>
      <c r="L63" s="42" t="str">
        <f aca="false">IF(AND(ISNUMBER(I63),I63&gt;0),N(K63)/I63,"")</f>
        <v/>
      </c>
      <c r="M63" s="43"/>
      <c r="N63" s="43"/>
      <c r="O63" s="43"/>
      <c r="P63" s="42" t="str">
        <f aca="false">IF(AND(ISNUMBER(M63),M63&gt;0),N(O63)/M63,"")</f>
        <v/>
      </c>
      <c r="Q63" s="43"/>
      <c r="R63" s="43"/>
      <c r="S63" s="42" t="str">
        <f aca="false">IF(AND(ISNUMBER(Q63),Q63&gt;0),N(R63)/Q63,"")</f>
        <v/>
      </c>
      <c r="T63" s="43"/>
      <c r="U63" s="43"/>
      <c r="V63" s="42" t="str">
        <f aca="false">IF(AND(ISNUMBER(T63),T63&gt;0),N(U63)/T63,"")</f>
        <v/>
      </c>
      <c r="W63" s="41"/>
      <c r="X63" s="43"/>
      <c r="Y63" s="41"/>
      <c r="Z63" s="41"/>
      <c r="AA63" s="44"/>
      <c r="AB63" s="44"/>
      <c r="AC63" s="45"/>
      <c r="AD63" s="46"/>
      <c r="AE63" s="46"/>
    </row>
    <row r="64" customFormat="false" ht="15" hidden="false" customHeight="false" outlineLevel="0" collapsed="false">
      <c r="A64" s="40"/>
      <c r="B64" s="41"/>
      <c r="C64" s="41"/>
      <c r="D64" s="42" t="str">
        <f aca="false">IF(N(B64)&gt;0,1-N(C64)/(B64*Config!$B$15),"")</f>
        <v/>
      </c>
      <c r="E64" s="43"/>
      <c r="F64" s="43"/>
      <c r="G64" s="43"/>
      <c r="H64" s="42" t="str">
        <f aca="false">IF(AND(ISNUMBER(E64),E64&gt;0),N(G64)/E64,"")</f>
        <v/>
      </c>
      <c r="I64" s="43"/>
      <c r="J64" s="43"/>
      <c r="K64" s="43"/>
      <c r="L64" s="42" t="str">
        <f aca="false">IF(AND(ISNUMBER(I64),I64&gt;0),N(K64)/I64,"")</f>
        <v/>
      </c>
      <c r="M64" s="43"/>
      <c r="N64" s="43"/>
      <c r="O64" s="43"/>
      <c r="P64" s="42" t="str">
        <f aca="false">IF(AND(ISNUMBER(M64),M64&gt;0),N(O64)/M64,"")</f>
        <v/>
      </c>
      <c r="Q64" s="43"/>
      <c r="R64" s="43"/>
      <c r="S64" s="42" t="str">
        <f aca="false">IF(AND(ISNUMBER(Q64),Q64&gt;0),N(R64)/Q64,"")</f>
        <v/>
      </c>
      <c r="T64" s="43"/>
      <c r="U64" s="43"/>
      <c r="V64" s="42" t="str">
        <f aca="false">IF(AND(ISNUMBER(T64),T64&gt;0),N(U64)/T64,"")</f>
        <v/>
      </c>
      <c r="W64" s="41"/>
      <c r="X64" s="43"/>
      <c r="Y64" s="41"/>
      <c r="Z64" s="41"/>
      <c r="AA64" s="44"/>
      <c r="AB64" s="44"/>
      <c r="AC64" s="45"/>
      <c r="AD64" s="46"/>
      <c r="AE64" s="46"/>
    </row>
    <row r="65" customFormat="false" ht="15" hidden="false" customHeight="false" outlineLevel="0" collapsed="false">
      <c r="A65" s="40"/>
      <c r="B65" s="41"/>
      <c r="C65" s="41"/>
      <c r="D65" s="42" t="str">
        <f aca="false">IF(N(B65)&gt;0,1-N(C65)/(B65*Config!$B$15),"")</f>
        <v/>
      </c>
      <c r="E65" s="43"/>
      <c r="F65" s="43"/>
      <c r="G65" s="43"/>
      <c r="H65" s="42" t="str">
        <f aca="false">IF(AND(ISNUMBER(E65),E65&gt;0),N(G65)/E65,"")</f>
        <v/>
      </c>
      <c r="I65" s="43"/>
      <c r="J65" s="43"/>
      <c r="K65" s="43"/>
      <c r="L65" s="42" t="str">
        <f aca="false">IF(AND(ISNUMBER(I65),I65&gt;0),N(K65)/I65,"")</f>
        <v/>
      </c>
      <c r="M65" s="43"/>
      <c r="N65" s="43"/>
      <c r="O65" s="43"/>
      <c r="P65" s="42" t="str">
        <f aca="false">IF(AND(ISNUMBER(M65),M65&gt;0),N(O65)/M65,"")</f>
        <v/>
      </c>
      <c r="Q65" s="43"/>
      <c r="R65" s="43"/>
      <c r="S65" s="42" t="str">
        <f aca="false">IF(AND(ISNUMBER(Q65),Q65&gt;0),N(R65)/Q65,"")</f>
        <v/>
      </c>
      <c r="T65" s="43"/>
      <c r="U65" s="43"/>
      <c r="V65" s="42" t="str">
        <f aca="false">IF(AND(ISNUMBER(T65),T65&gt;0),N(U65)/T65,"")</f>
        <v/>
      </c>
      <c r="W65" s="41"/>
      <c r="X65" s="43"/>
      <c r="Y65" s="41"/>
      <c r="Z65" s="41"/>
      <c r="AA65" s="44"/>
      <c r="AB65" s="44"/>
      <c r="AC65" s="45"/>
      <c r="AD65" s="46"/>
      <c r="AE65" s="46"/>
    </row>
    <row r="66" customFormat="false" ht="15" hidden="false" customHeight="false" outlineLevel="0" collapsed="false">
      <c r="A66" s="40"/>
      <c r="B66" s="41"/>
      <c r="C66" s="41"/>
      <c r="D66" s="42" t="str">
        <f aca="false">IF(N(B66)&gt;0,1-N(C66)/(B66*Config!$B$15),"")</f>
        <v/>
      </c>
      <c r="E66" s="43"/>
      <c r="F66" s="43"/>
      <c r="G66" s="43"/>
      <c r="H66" s="42" t="str">
        <f aca="false">IF(AND(ISNUMBER(E66),E66&gt;0),N(G66)/E66,"")</f>
        <v/>
      </c>
      <c r="I66" s="43"/>
      <c r="J66" s="43"/>
      <c r="K66" s="43"/>
      <c r="L66" s="42" t="str">
        <f aca="false">IF(AND(ISNUMBER(I66),I66&gt;0),N(K66)/I66,"")</f>
        <v/>
      </c>
      <c r="M66" s="43"/>
      <c r="N66" s="43"/>
      <c r="O66" s="43"/>
      <c r="P66" s="42" t="str">
        <f aca="false">IF(AND(ISNUMBER(M66),M66&gt;0),N(O66)/M66,"")</f>
        <v/>
      </c>
      <c r="Q66" s="43"/>
      <c r="R66" s="43"/>
      <c r="S66" s="42" t="str">
        <f aca="false">IF(AND(ISNUMBER(Q66),Q66&gt;0),N(R66)/Q66,"")</f>
        <v/>
      </c>
      <c r="T66" s="43"/>
      <c r="U66" s="43"/>
      <c r="V66" s="42" t="str">
        <f aca="false">IF(AND(ISNUMBER(T66),T66&gt;0),N(U66)/T66,"")</f>
        <v/>
      </c>
      <c r="W66" s="41"/>
      <c r="X66" s="43"/>
      <c r="Y66" s="41"/>
      <c r="Z66" s="41"/>
      <c r="AA66" s="44"/>
      <c r="AB66" s="44"/>
      <c r="AC66" s="45"/>
      <c r="AD66" s="46"/>
      <c r="AE66" s="46"/>
    </row>
    <row r="67" customFormat="false" ht="15" hidden="false" customHeight="false" outlineLevel="0" collapsed="false">
      <c r="A67" s="40"/>
      <c r="B67" s="41"/>
      <c r="C67" s="41"/>
      <c r="D67" s="42" t="str">
        <f aca="false">IF(N(B67)&gt;0,1-N(C67)/(B67*Config!$B$15),"")</f>
        <v/>
      </c>
      <c r="E67" s="43"/>
      <c r="F67" s="43"/>
      <c r="G67" s="43"/>
      <c r="H67" s="42" t="str">
        <f aca="false">IF(AND(ISNUMBER(E67),E67&gt;0),N(G67)/E67,"")</f>
        <v/>
      </c>
      <c r="I67" s="43"/>
      <c r="J67" s="43"/>
      <c r="K67" s="43"/>
      <c r="L67" s="42" t="str">
        <f aca="false">IF(AND(ISNUMBER(I67),I67&gt;0),N(K67)/I67,"")</f>
        <v/>
      </c>
      <c r="M67" s="43"/>
      <c r="N67" s="43"/>
      <c r="O67" s="43"/>
      <c r="P67" s="42" t="str">
        <f aca="false">IF(AND(ISNUMBER(M67),M67&gt;0),N(O67)/M67,"")</f>
        <v/>
      </c>
      <c r="Q67" s="43"/>
      <c r="R67" s="43"/>
      <c r="S67" s="42" t="str">
        <f aca="false">IF(AND(ISNUMBER(Q67),Q67&gt;0),N(R67)/Q67,"")</f>
        <v/>
      </c>
      <c r="T67" s="43"/>
      <c r="U67" s="43"/>
      <c r="V67" s="42" t="str">
        <f aca="false">IF(AND(ISNUMBER(T67),T67&gt;0),N(U67)/T67,"")</f>
        <v/>
      </c>
      <c r="W67" s="41"/>
      <c r="X67" s="43"/>
      <c r="Y67" s="41"/>
      <c r="Z67" s="41"/>
      <c r="AA67" s="44"/>
      <c r="AB67" s="44"/>
      <c r="AC67" s="45"/>
      <c r="AD67" s="46"/>
      <c r="AE67" s="46"/>
    </row>
    <row r="68" customFormat="false" ht="15" hidden="false" customHeight="false" outlineLevel="0" collapsed="false">
      <c r="A68" s="40"/>
      <c r="B68" s="41"/>
      <c r="C68" s="41"/>
      <c r="D68" s="42" t="str">
        <f aca="false">IF(N(B68)&gt;0,1-N(C68)/(B68*Config!$B$15),"")</f>
        <v/>
      </c>
      <c r="E68" s="43"/>
      <c r="F68" s="43"/>
      <c r="G68" s="43"/>
      <c r="H68" s="42" t="str">
        <f aca="false">IF(AND(ISNUMBER(E68),E68&gt;0),N(G68)/E68,"")</f>
        <v/>
      </c>
      <c r="I68" s="43"/>
      <c r="J68" s="43"/>
      <c r="K68" s="43"/>
      <c r="L68" s="42" t="str">
        <f aca="false">IF(AND(ISNUMBER(I68),I68&gt;0),N(K68)/I68,"")</f>
        <v/>
      </c>
      <c r="M68" s="43"/>
      <c r="N68" s="43"/>
      <c r="O68" s="43"/>
      <c r="P68" s="42" t="str">
        <f aca="false">IF(AND(ISNUMBER(M68),M68&gt;0),N(O68)/M68,"")</f>
        <v/>
      </c>
      <c r="Q68" s="43"/>
      <c r="R68" s="43"/>
      <c r="S68" s="42" t="str">
        <f aca="false">IF(AND(ISNUMBER(Q68),Q68&gt;0),N(R68)/Q68,"")</f>
        <v/>
      </c>
      <c r="T68" s="43"/>
      <c r="U68" s="43"/>
      <c r="V68" s="42" t="str">
        <f aca="false">IF(AND(ISNUMBER(T68),T68&gt;0),N(U68)/T68,"")</f>
        <v/>
      </c>
      <c r="W68" s="41"/>
      <c r="X68" s="43"/>
      <c r="Y68" s="41"/>
      <c r="Z68" s="41"/>
      <c r="AA68" s="44"/>
      <c r="AB68" s="44"/>
      <c r="AC68" s="45"/>
      <c r="AD68" s="46"/>
      <c r="AE68" s="46"/>
    </row>
    <row r="69" customFormat="false" ht="15" hidden="false" customHeight="false" outlineLevel="0" collapsed="false">
      <c r="A69" s="40"/>
      <c r="B69" s="41"/>
      <c r="C69" s="41"/>
      <c r="D69" s="42" t="str">
        <f aca="false">IF(N(B69)&gt;0,1-N(C69)/(B69*Config!$B$15),"")</f>
        <v/>
      </c>
      <c r="E69" s="43"/>
      <c r="F69" s="43"/>
      <c r="G69" s="43"/>
      <c r="H69" s="42" t="str">
        <f aca="false">IF(AND(ISNUMBER(E69),E69&gt;0),N(G69)/E69,"")</f>
        <v/>
      </c>
      <c r="I69" s="43"/>
      <c r="J69" s="43"/>
      <c r="K69" s="43"/>
      <c r="L69" s="42" t="str">
        <f aca="false">IF(AND(ISNUMBER(I69),I69&gt;0),N(K69)/I69,"")</f>
        <v/>
      </c>
      <c r="M69" s="43"/>
      <c r="N69" s="43"/>
      <c r="O69" s="43"/>
      <c r="P69" s="42" t="str">
        <f aca="false">IF(AND(ISNUMBER(M69),M69&gt;0),N(O69)/M69,"")</f>
        <v/>
      </c>
      <c r="Q69" s="43"/>
      <c r="R69" s="43"/>
      <c r="S69" s="42" t="str">
        <f aca="false">IF(AND(ISNUMBER(Q69),Q69&gt;0),N(R69)/Q69,"")</f>
        <v/>
      </c>
      <c r="T69" s="43"/>
      <c r="U69" s="43"/>
      <c r="V69" s="42" t="str">
        <f aca="false">IF(AND(ISNUMBER(T69),T69&gt;0),N(U69)/T69,"")</f>
        <v/>
      </c>
      <c r="W69" s="41"/>
      <c r="X69" s="43"/>
      <c r="Y69" s="41"/>
      <c r="Z69" s="41"/>
      <c r="AA69" s="44"/>
      <c r="AB69" s="44"/>
      <c r="AC69" s="45"/>
      <c r="AD69" s="46"/>
      <c r="AE69" s="46"/>
    </row>
    <row r="70" customFormat="false" ht="15" hidden="false" customHeight="false" outlineLevel="0" collapsed="false">
      <c r="A70" s="40"/>
      <c r="B70" s="41"/>
      <c r="C70" s="41"/>
      <c r="D70" s="42" t="str">
        <f aca="false">IF(N(B70)&gt;0,1-N(C70)/(B70*Config!$B$15),"")</f>
        <v/>
      </c>
      <c r="E70" s="43"/>
      <c r="F70" s="43"/>
      <c r="G70" s="43"/>
      <c r="H70" s="42" t="str">
        <f aca="false">IF(AND(ISNUMBER(E70),E70&gt;0),N(G70)/E70,"")</f>
        <v/>
      </c>
      <c r="I70" s="43"/>
      <c r="J70" s="43"/>
      <c r="K70" s="43"/>
      <c r="L70" s="42" t="str">
        <f aca="false">IF(AND(ISNUMBER(I70),I70&gt;0),N(K70)/I70,"")</f>
        <v/>
      </c>
      <c r="M70" s="43"/>
      <c r="N70" s="43"/>
      <c r="O70" s="43"/>
      <c r="P70" s="42" t="str">
        <f aca="false">IF(AND(ISNUMBER(M70),M70&gt;0),N(O70)/M70,"")</f>
        <v/>
      </c>
      <c r="Q70" s="43"/>
      <c r="R70" s="43"/>
      <c r="S70" s="42" t="str">
        <f aca="false">IF(AND(ISNUMBER(Q70),Q70&gt;0),N(R70)/Q70,"")</f>
        <v/>
      </c>
      <c r="T70" s="43"/>
      <c r="U70" s="43"/>
      <c r="V70" s="42" t="str">
        <f aca="false">IF(AND(ISNUMBER(T70),T70&gt;0),N(U70)/T70,"")</f>
        <v/>
      </c>
      <c r="W70" s="41"/>
      <c r="X70" s="43"/>
      <c r="Y70" s="41"/>
      <c r="Z70" s="41"/>
      <c r="AA70" s="44"/>
      <c r="AB70" s="44"/>
      <c r="AC70" s="45"/>
      <c r="AD70" s="46"/>
      <c r="AE70" s="46"/>
    </row>
    <row r="71" customFormat="false" ht="15" hidden="false" customHeight="false" outlineLevel="0" collapsed="false">
      <c r="A71" s="40"/>
      <c r="B71" s="41"/>
      <c r="C71" s="41"/>
      <c r="D71" s="42" t="str">
        <f aca="false">IF(N(B71)&gt;0,1-N(C71)/(B71*Config!$B$15),"")</f>
        <v/>
      </c>
      <c r="E71" s="43"/>
      <c r="F71" s="43"/>
      <c r="G71" s="43"/>
      <c r="H71" s="42" t="str">
        <f aca="false">IF(AND(ISNUMBER(E71),E71&gt;0),N(G71)/E71,"")</f>
        <v/>
      </c>
      <c r="I71" s="43"/>
      <c r="J71" s="43"/>
      <c r="K71" s="43"/>
      <c r="L71" s="42" t="str">
        <f aca="false">IF(AND(ISNUMBER(I71),I71&gt;0),N(K71)/I71,"")</f>
        <v/>
      </c>
      <c r="M71" s="43"/>
      <c r="N71" s="43"/>
      <c r="O71" s="43"/>
      <c r="P71" s="42" t="str">
        <f aca="false">IF(AND(ISNUMBER(M71),M71&gt;0),N(O71)/M71,"")</f>
        <v/>
      </c>
      <c r="Q71" s="43"/>
      <c r="R71" s="43"/>
      <c r="S71" s="42" t="str">
        <f aca="false">IF(AND(ISNUMBER(Q71),Q71&gt;0),N(R71)/Q71,"")</f>
        <v/>
      </c>
      <c r="T71" s="43"/>
      <c r="U71" s="43"/>
      <c r="V71" s="42" t="str">
        <f aca="false">IF(AND(ISNUMBER(T71),T71&gt;0),N(U71)/T71,"")</f>
        <v/>
      </c>
      <c r="W71" s="41"/>
      <c r="X71" s="43"/>
      <c r="Y71" s="41"/>
      <c r="Z71" s="41"/>
      <c r="AA71" s="44"/>
      <c r="AB71" s="44"/>
      <c r="AC71" s="45"/>
      <c r="AD71" s="46"/>
      <c r="AE71" s="46"/>
    </row>
    <row r="72" customFormat="false" ht="15" hidden="false" customHeight="false" outlineLevel="0" collapsed="false">
      <c r="A72" s="40"/>
      <c r="B72" s="41"/>
      <c r="C72" s="41"/>
      <c r="D72" s="42" t="str">
        <f aca="false">IF(N(B72)&gt;0,1-N(C72)/(B72*Config!$B$15),"")</f>
        <v/>
      </c>
      <c r="E72" s="43"/>
      <c r="F72" s="43"/>
      <c r="G72" s="43"/>
      <c r="H72" s="42" t="str">
        <f aca="false">IF(AND(ISNUMBER(E72),E72&gt;0),N(G72)/E72,"")</f>
        <v/>
      </c>
      <c r="I72" s="43"/>
      <c r="J72" s="43"/>
      <c r="K72" s="43"/>
      <c r="L72" s="42" t="str">
        <f aca="false">IF(AND(ISNUMBER(I72),I72&gt;0),N(K72)/I72,"")</f>
        <v/>
      </c>
      <c r="M72" s="43"/>
      <c r="N72" s="43"/>
      <c r="O72" s="43"/>
      <c r="P72" s="42" t="str">
        <f aca="false">IF(AND(ISNUMBER(M72),M72&gt;0),N(O72)/M72,"")</f>
        <v/>
      </c>
      <c r="Q72" s="43"/>
      <c r="R72" s="43"/>
      <c r="S72" s="42" t="str">
        <f aca="false">IF(AND(ISNUMBER(Q72),Q72&gt;0),N(R72)/Q72,"")</f>
        <v/>
      </c>
      <c r="T72" s="43"/>
      <c r="U72" s="43"/>
      <c r="V72" s="42" t="str">
        <f aca="false">IF(AND(ISNUMBER(T72),T72&gt;0),N(U72)/T72,"")</f>
        <v/>
      </c>
      <c r="W72" s="41"/>
      <c r="X72" s="43"/>
      <c r="Y72" s="41"/>
      <c r="Z72" s="41"/>
      <c r="AA72" s="44"/>
      <c r="AB72" s="44"/>
      <c r="AC72" s="45"/>
      <c r="AD72" s="46"/>
      <c r="AE72" s="46"/>
    </row>
    <row r="73" customFormat="false" ht="15" hidden="false" customHeight="false" outlineLevel="0" collapsed="false">
      <c r="A73" s="40"/>
      <c r="B73" s="41"/>
      <c r="C73" s="41"/>
      <c r="D73" s="42" t="str">
        <f aca="false">IF(N(B73)&gt;0,1-N(C73)/(B73*Config!$B$15),"")</f>
        <v/>
      </c>
      <c r="E73" s="43"/>
      <c r="F73" s="43"/>
      <c r="G73" s="43"/>
      <c r="H73" s="42" t="str">
        <f aca="false">IF(AND(ISNUMBER(E73),E73&gt;0),N(G73)/E73,"")</f>
        <v/>
      </c>
      <c r="I73" s="43"/>
      <c r="J73" s="43"/>
      <c r="K73" s="43"/>
      <c r="L73" s="42" t="str">
        <f aca="false">IF(AND(ISNUMBER(I73),I73&gt;0),N(K73)/I73,"")</f>
        <v/>
      </c>
      <c r="M73" s="43"/>
      <c r="N73" s="43"/>
      <c r="O73" s="43"/>
      <c r="P73" s="42" t="str">
        <f aca="false">IF(AND(ISNUMBER(M73),M73&gt;0),N(O73)/M73,"")</f>
        <v/>
      </c>
      <c r="Q73" s="43"/>
      <c r="R73" s="43"/>
      <c r="S73" s="42" t="str">
        <f aca="false">IF(AND(ISNUMBER(Q73),Q73&gt;0),N(R73)/Q73,"")</f>
        <v/>
      </c>
      <c r="T73" s="43"/>
      <c r="U73" s="43"/>
      <c r="V73" s="42" t="str">
        <f aca="false">IF(AND(ISNUMBER(T73),T73&gt;0),N(U73)/T73,"")</f>
        <v/>
      </c>
      <c r="W73" s="41"/>
      <c r="X73" s="43"/>
      <c r="Y73" s="41"/>
      <c r="Z73" s="41"/>
      <c r="AA73" s="44"/>
      <c r="AB73" s="44"/>
      <c r="AC73" s="45"/>
      <c r="AD73" s="46"/>
      <c r="AE73" s="46"/>
    </row>
    <row r="74" customFormat="false" ht="15" hidden="false" customHeight="false" outlineLevel="0" collapsed="false">
      <c r="A74" s="40"/>
      <c r="B74" s="41"/>
      <c r="C74" s="41"/>
      <c r="D74" s="42" t="str">
        <f aca="false">IF(N(B74)&gt;0,1-N(C74)/(B74*Config!$B$15),"")</f>
        <v/>
      </c>
      <c r="E74" s="43"/>
      <c r="F74" s="43"/>
      <c r="G74" s="43"/>
      <c r="H74" s="42" t="str">
        <f aca="false">IF(AND(ISNUMBER(E74),E74&gt;0),N(G74)/E74,"")</f>
        <v/>
      </c>
      <c r="I74" s="43"/>
      <c r="J74" s="43"/>
      <c r="K74" s="43"/>
      <c r="L74" s="42" t="str">
        <f aca="false">IF(AND(ISNUMBER(I74),I74&gt;0),N(K74)/I74,"")</f>
        <v/>
      </c>
      <c r="M74" s="43"/>
      <c r="N74" s="43"/>
      <c r="O74" s="43"/>
      <c r="P74" s="42" t="str">
        <f aca="false">IF(AND(ISNUMBER(M74),M74&gt;0),N(O74)/M74,"")</f>
        <v/>
      </c>
      <c r="Q74" s="43"/>
      <c r="R74" s="43"/>
      <c r="S74" s="42" t="str">
        <f aca="false">IF(AND(ISNUMBER(Q74),Q74&gt;0),N(R74)/Q74,"")</f>
        <v/>
      </c>
      <c r="T74" s="43"/>
      <c r="U74" s="43"/>
      <c r="V74" s="42" t="str">
        <f aca="false">IF(AND(ISNUMBER(T74),T74&gt;0),N(U74)/T74,"")</f>
        <v/>
      </c>
      <c r="W74" s="41"/>
      <c r="X74" s="43"/>
      <c r="Y74" s="41"/>
      <c r="Z74" s="41"/>
      <c r="AA74" s="44"/>
      <c r="AB74" s="44"/>
      <c r="AC74" s="45"/>
      <c r="AD74" s="46"/>
      <c r="AE74" s="46"/>
    </row>
    <row r="75" customFormat="false" ht="15" hidden="false" customHeight="false" outlineLevel="0" collapsed="false">
      <c r="A75" s="40"/>
      <c r="B75" s="41"/>
      <c r="C75" s="41"/>
      <c r="D75" s="42" t="str">
        <f aca="false">IF(N(B75)&gt;0,1-N(C75)/(B75*Config!$B$15),"")</f>
        <v/>
      </c>
      <c r="E75" s="43"/>
      <c r="F75" s="43"/>
      <c r="G75" s="43"/>
      <c r="H75" s="42" t="str">
        <f aca="false">IF(AND(ISNUMBER(E75),E75&gt;0),N(G75)/E75,"")</f>
        <v/>
      </c>
      <c r="I75" s="43"/>
      <c r="J75" s="43"/>
      <c r="K75" s="43"/>
      <c r="L75" s="42" t="str">
        <f aca="false">IF(AND(ISNUMBER(I75),I75&gt;0),N(K75)/I75,"")</f>
        <v/>
      </c>
      <c r="M75" s="43"/>
      <c r="N75" s="43"/>
      <c r="O75" s="43"/>
      <c r="P75" s="42" t="str">
        <f aca="false">IF(AND(ISNUMBER(M75),M75&gt;0),N(O75)/M75,"")</f>
        <v/>
      </c>
      <c r="Q75" s="43"/>
      <c r="R75" s="43"/>
      <c r="S75" s="42" t="str">
        <f aca="false">IF(AND(ISNUMBER(Q75),Q75&gt;0),N(R75)/Q75,"")</f>
        <v/>
      </c>
      <c r="T75" s="43"/>
      <c r="U75" s="43"/>
      <c r="V75" s="42" t="str">
        <f aca="false">IF(AND(ISNUMBER(T75),T75&gt;0),N(U75)/T75,"")</f>
        <v/>
      </c>
      <c r="W75" s="41"/>
      <c r="X75" s="43"/>
      <c r="Y75" s="41"/>
      <c r="Z75" s="41"/>
      <c r="AA75" s="44"/>
      <c r="AB75" s="44"/>
      <c r="AC75" s="45"/>
      <c r="AD75" s="46"/>
      <c r="AE75" s="46"/>
    </row>
    <row r="76" customFormat="false" ht="15" hidden="false" customHeight="false" outlineLevel="0" collapsed="false">
      <c r="A76" s="40"/>
      <c r="B76" s="41"/>
      <c r="C76" s="41"/>
      <c r="D76" s="42" t="str">
        <f aca="false">IF(N(B76)&gt;0,1-N(C76)/(B76*Config!$B$15),"")</f>
        <v/>
      </c>
      <c r="E76" s="43"/>
      <c r="F76" s="43"/>
      <c r="G76" s="43"/>
      <c r="H76" s="42" t="str">
        <f aca="false">IF(AND(ISNUMBER(E76),E76&gt;0),N(G76)/E76,"")</f>
        <v/>
      </c>
      <c r="I76" s="43"/>
      <c r="J76" s="43"/>
      <c r="K76" s="43"/>
      <c r="L76" s="42" t="str">
        <f aca="false">IF(AND(ISNUMBER(I76),I76&gt;0),N(K76)/I76,"")</f>
        <v/>
      </c>
      <c r="M76" s="43"/>
      <c r="N76" s="43"/>
      <c r="O76" s="43"/>
      <c r="P76" s="42" t="str">
        <f aca="false">IF(AND(ISNUMBER(M76),M76&gt;0),N(O76)/M76,"")</f>
        <v/>
      </c>
      <c r="Q76" s="43"/>
      <c r="R76" s="43"/>
      <c r="S76" s="42" t="str">
        <f aca="false">IF(AND(ISNUMBER(Q76),Q76&gt;0),N(R76)/Q76,"")</f>
        <v/>
      </c>
      <c r="T76" s="43"/>
      <c r="U76" s="43"/>
      <c r="V76" s="42" t="str">
        <f aca="false">IF(AND(ISNUMBER(T76),T76&gt;0),N(U76)/T76,"")</f>
        <v/>
      </c>
      <c r="W76" s="41"/>
      <c r="X76" s="43"/>
      <c r="Y76" s="41"/>
      <c r="Z76" s="41"/>
      <c r="AA76" s="44"/>
      <c r="AB76" s="44"/>
      <c r="AC76" s="45"/>
      <c r="AD76" s="46"/>
      <c r="AE76" s="46"/>
    </row>
    <row r="77" customFormat="false" ht="15" hidden="false" customHeight="false" outlineLevel="0" collapsed="false">
      <c r="A77" s="40"/>
      <c r="B77" s="41"/>
      <c r="C77" s="41"/>
      <c r="D77" s="42" t="str">
        <f aca="false">IF(N(B77)&gt;0,1-N(C77)/(B77*Config!$B$15),"")</f>
        <v/>
      </c>
      <c r="E77" s="43"/>
      <c r="F77" s="43"/>
      <c r="G77" s="43"/>
      <c r="H77" s="42" t="str">
        <f aca="false">IF(AND(ISNUMBER(E77),E77&gt;0),N(G77)/E77,"")</f>
        <v/>
      </c>
      <c r="I77" s="43"/>
      <c r="J77" s="43"/>
      <c r="K77" s="43"/>
      <c r="L77" s="42" t="str">
        <f aca="false">IF(AND(ISNUMBER(I77),I77&gt;0),N(K77)/I77,"")</f>
        <v/>
      </c>
      <c r="M77" s="43"/>
      <c r="N77" s="43"/>
      <c r="O77" s="43"/>
      <c r="P77" s="42" t="str">
        <f aca="false">IF(AND(ISNUMBER(M77),M77&gt;0),N(O77)/M77,"")</f>
        <v/>
      </c>
      <c r="Q77" s="43"/>
      <c r="R77" s="43"/>
      <c r="S77" s="42" t="str">
        <f aca="false">IF(AND(ISNUMBER(Q77),Q77&gt;0),N(R77)/Q77,"")</f>
        <v/>
      </c>
      <c r="T77" s="43"/>
      <c r="U77" s="43"/>
      <c r="V77" s="42" t="str">
        <f aca="false">IF(AND(ISNUMBER(T77),T77&gt;0),N(U77)/T77,"")</f>
        <v/>
      </c>
      <c r="W77" s="41"/>
      <c r="X77" s="43"/>
      <c r="Y77" s="41"/>
      <c r="Z77" s="41"/>
      <c r="AA77" s="44"/>
      <c r="AB77" s="44"/>
      <c r="AC77" s="45"/>
      <c r="AD77" s="46"/>
      <c r="AE77" s="46"/>
    </row>
    <row r="78" customFormat="false" ht="15" hidden="false" customHeight="false" outlineLevel="0" collapsed="false">
      <c r="A78" s="40"/>
      <c r="B78" s="41"/>
      <c r="C78" s="41"/>
      <c r="D78" s="42" t="str">
        <f aca="false">IF(N(B78)&gt;0,1-N(C78)/(B78*Config!$B$15),"")</f>
        <v/>
      </c>
      <c r="E78" s="43"/>
      <c r="F78" s="43"/>
      <c r="G78" s="43"/>
      <c r="H78" s="42" t="str">
        <f aca="false">IF(AND(ISNUMBER(E78),E78&gt;0),N(G78)/E78,"")</f>
        <v/>
      </c>
      <c r="I78" s="43"/>
      <c r="J78" s="43"/>
      <c r="K78" s="43"/>
      <c r="L78" s="42" t="str">
        <f aca="false">IF(AND(ISNUMBER(I78),I78&gt;0),N(K78)/I78,"")</f>
        <v/>
      </c>
      <c r="M78" s="43"/>
      <c r="N78" s="43"/>
      <c r="O78" s="43"/>
      <c r="P78" s="42" t="str">
        <f aca="false">IF(AND(ISNUMBER(M78),M78&gt;0),N(O78)/M78,"")</f>
        <v/>
      </c>
      <c r="Q78" s="43"/>
      <c r="R78" s="43"/>
      <c r="S78" s="42" t="str">
        <f aca="false">IF(AND(ISNUMBER(Q78),Q78&gt;0),N(R78)/Q78,"")</f>
        <v/>
      </c>
      <c r="T78" s="43"/>
      <c r="U78" s="43"/>
      <c r="V78" s="42" t="str">
        <f aca="false">IF(AND(ISNUMBER(T78),T78&gt;0),N(U78)/T78,"")</f>
        <v/>
      </c>
      <c r="W78" s="41"/>
      <c r="X78" s="43"/>
      <c r="Y78" s="41"/>
      <c r="Z78" s="41"/>
      <c r="AA78" s="44"/>
      <c r="AB78" s="44"/>
      <c r="AC78" s="45"/>
      <c r="AD78" s="46"/>
      <c r="AE78" s="46"/>
    </row>
    <row r="79" customFormat="false" ht="15" hidden="false" customHeight="false" outlineLevel="0" collapsed="false">
      <c r="A79" s="40"/>
      <c r="B79" s="41"/>
      <c r="C79" s="41"/>
      <c r="D79" s="42" t="str">
        <f aca="false">IF(N(B79)&gt;0,1-N(C79)/(B79*Config!$B$15),"")</f>
        <v/>
      </c>
      <c r="E79" s="43"/>
      <c r="F79" s="43"/>
      <c r="G79" s="43"/>
      <c r="H79" s="42" t="str">
        <f aca="false">IF(AND(ISNUMBER(E79),E79&gt;0),N(G79)/E79,"")</f>
        <v/>
      </c>
      <c r="I79" s="43"/>
      <c r="J79" s="43"/>
      <c r="K79" s="43"/>
      <c r="L79" s="42" t="str">
        <f aca="false">IF(AND(ISNUMBER(I79),I79&gt;0),N(K79)/I79,"")</f>
        <v/>
      </c>
      <c r="M79" s="43"/>
      <c r="N79" s="43"/>
      <c r="O79" s="43"/>
      <c r="P79" s="42" t="str">
        <f aca="false">IF(AND(ISNUMBER(M79),M79&gt;0),N(O79)/M79,"")</f>
        <v/>
      </c>
      <c r="Q79" s="43"/>
      <c r="R79" s="43"/>
      <c r="S79" s="42" t="str">
        <f aca="false">IF(AND(ISNUMBER(Q79),Q79&gt;0),N(R79)/Q79,"")</f>
        <v/>
      </c>
      <c r="T79" s="43"/>
      <c r="U79" s="43"/>
      <c r="V79" s="42" t="str">
        <f aca="false">IF(AND(ISNUMBER(T79),T79&gt;0),N(U79)/T79,"")</f>
        <v/>
      </c>
      <c r="W79" s="41"/>
      <c r="X79" s="43"/>
      <c r="Y79" s="41"/>
      <c r="Z79" s="41"/>
      <c r="AA79" s="44"/>
      <c r="AB79" s="44"/>
      <c r="AC79" s="45"/>
      <c r="AD79" s="46"/>
      <c r="AE79" s="46"/>
    </row>
    <row r="80" customFormat="false" ht="15" hidden="false" customHeight="false" outlineLevel="0" collapsed="false">
      <c r="A80" s="40"/>
      <c r="B80" s="41"/>
      <c r="C80" s="41"/>
      <c r="D80" s="42" t="str">
        <f aca="false">IF(N(B80)&gt;0,1-N(C80)/(B80*Config!$B$15),"")</f>
        <v/>
      </c>
      <c r="E80" s="43"/>
      <c r="F80" s="43"/>
      <c r="G80" s="43"/>
      <c r="H80" s="42" t="str">
        <f aca="false">IF(AND(ISNUMBER(E80),E80&gt;0),N(G80)/E80,"")</f>
        <v/>
      </c>
      <c r="I80" s="43"/>
      <c r="J80" s="43"/>
      <c r="K80" s="43"/>
      <c r="L80" s="42" t="str">
        <f aca="false">IF(AND(ISNUMBER(I80),I80&gt;0),N(K80)/I80,"")</f>
        <v/>
      </c>
      <c r="M80" s="43"/>
      <c r="N80" s="43"/>
      <c r="O80" s="43"/>
      <c r="P80" s="42" t="str">
        <f aca="false">IF(AND(ISNUMBER(M80),M80&gt;0),N(O80)/M80,"")</f>
        <v/>
      </c>
      <c r="Q80" s="43"/>
      <c r="R80" s="43"/>
      <c r="S80" s="42" t="str">
        <f aca="false">IF(AND(ISNUMBER(Q80),Q80&gt;0),N(R80)/Q80,"")</f>
        <v/>
      </c>
      <c r="T80" s="43"/>
      <c r="U80" s="43"/>
      <c r="V80" s="42" t="str">
        <f aca="false">IF(AND(ISNUMBER(T80),T80&gt;0),N(U80)/T80,"")</f>
        <v/>
      </c>
      <c r="W80" s="41"/>
      <c r="X80" s="43"/>
      <c r="Y80" s="41"/>
      <c r="Z80" s="41"/>
      <c r="AA80" s="44"/>
      <c r="AB80" s="44"/>
      <c r="AC80" s="45"/>
      <c r="AD80" s="46"/>
      <c r="AE80" s="46"/>
    </row>
    <row r="81" customFormat="false" ht="15" hidden="false" customHeight="false" outlineLevel="0" collapsed="false">
      <c r="A81" s="40"/>
      <c r="B81" s="41"/>
      <c r="C81" s="41"/>
      <c r="D81" s="42" t="str">
        <f aca="false">IF(N(B81)&gt;0,1-N(C81)/(B81*Config!$B$15),"")</f>
        <v/>
      </c>
      <c r="E81" s="43"/>
      <c r="F81" s="43"/>
      <c r="G81" s="43"/>
      <c r="H81" s="42" t="str">
        <f aca="false">IF(AND(ISNUMBER(E81),E81&gt;0),N(G81)/E81,"")</f>
        <v/>
      </c>
      <c r="I81" s="43"/>
      <c r="J81" s="43"/>
      <c r="K81" s="43"/>
      <c r="L81" s="42" t="str">
        <f aca="false">IF(AND(ISNUMBER(I81),I81&gt;0),N(K81)/I81,"")</f>
        <v/>
      </c>
      <c r="M81" s="43"/>
      <c r="N81" s="43"/>
      <c r="O81" s="43"/>
      <c r="P81" s="42" t="str">
        <f aca="false">IF(AND(ISNUMBER(M81),M81&gt;0),N(O81)/M81,"")</f>
        <v/>
      </c>
      <c r="Q81" s="43"/>
      <c r="R81" s="43"/>
      <c r="S81" s="42" t="str">
        <f aca="false">IF(AND(ISNUMBER(Q81),Q81&gt;0),N(R81)/Q81,"")</f>
        <v/>
      </c>
      <c r="T81" s="43"/>
      <c r="U81" s="43"/>
      <c r="V81" s="42" t="str">
        <f aca="false">IF(AND(ISNUMBER(T81),T81&gt;0),N(U81)/T81,"")</f>
        <v/>
      </c>
      <c r="W81" s="41"/>
      <c r="X81" s="43"/>
      <c r="Y81" s="41"/>
      <c r="Z81" s="41"/>
      <c r="AA81" s="44"/>
      <c r="AB81" s="44"/>
      <c r="AC81" s="45"/>
      <c r="AD81" s="46"/>
      <c r="AE81" s="46"/>
    </row>
    <row r="82" customFormat="false" ht="15" hidden="false" customHeight="false" outlineLevel="0" collapsed="false">
      <c r="A82" s="40"/>
      <c r="B82" s="41"/>
      <c r="C82" s="41"/>
      <c r="D82" s="42" t="str">
        <f aca="false">IF(N(B82)&gt;0,1-N(C82)/(B82*Config!$B$15),"")</f>
        <v/>
      </c>
      <c r="E82" s="43"/>
      <c r="F82" s="43"/>
      <c r="G82" s="43"/>
      <c r="H82" s="42" t="str">
        <f aca="false">IF(AND(ISNUMBER(E82),E82&gt;0),N(G82)/E82,"")</f>
        <v/>
      </c>
      <c r="I82" s="43"/>
      <c r="J82" s="43"/>
      <c r="K82" s="43"/>
      <c r="L82" s="42" t="str">
        <f aca="false">IF(AND(ISNUMBER(I82),I82&gt;0),N(K82)/I82,"")</f>
        <v/>
      </c>
      <c r="M82" s="43"/>
      <c r="N82" s="43"/>
      <c r="O82" s="43"/>
      <c r="P82" s="42" t="str">
        <f aca="false">IF(AND(ISNUMBER(M82),M82&gt;0),N(O82)/M82,"")</f>
        <v/>
      </c>
      <c r="Q82" s="43"/>
      <c r="R82" s="43"/>
      <c r="S82" s="42" t="str">
        <f aca="false">IF(AND(ISNUMBER(Q82),Q82&gt;0),N(R82)/Q82,"")</f>
        <v/>
      </c>
      <c r="T82" s="43"/>
      <c r="U82" s="43"/>
      <c r="V82" s="42" t="str">
        <f aca="false">IF(AND(ISNUMBER(T82),T82&gt;0),N(U82)/T82,"")</f>
        <v/>
      </c>
      <c r="W82" s="41"/>
      <c r="X82" s="43"/>
      <c r="Y82" s="41"/>
      <c r="Z82" s="41"/>
      <c r="AA82" s="44"/>
      <c r="AB82" s="44"/>
      <c r="AC82" s="45"/>
      <c r="AD82" s="46"/>
      <c r="AE82" s="46"/>
    </row>
    <row r="83" customFormat="false" ht="15" hidden="false" customHeight="false" outlineLevel="0" collapsed="false">
      <c r="A83" s="40"/>
      <c r="B83" s="41"/>
      <c r="C83" s="41"/>
      <c r="D83" s="42" t="str">
        <f aca="false">IF(N(B83)&gt;0,1-N(C83)/(B83*Config!$B$15),"")</f>
        <v/>
      </c>
      <c r="E83" s="43"/>
      <c r="F83" s="43"/>
      <c r="G83" s="43"/>
      <c r="H83" s="42" t="str">
        <f aca="false">IF(AND(ISNUMBER(E83),E83&gt;0),N(G83)/E83,"")</f>
        <v/>
      </c>
      <c r="I83" s="43"/>
      <c r="J83" s="43"/>
      <c r="K83" s="43"/>
      <c r="L83" s="42" t="str">
        <f aca="false">IF(AND(ISNUMBER(I83),I83&gt;0),N(K83)/I83,"")</f>
        <v/>
      </c>
      <c r="M83" s="43"/>
      <c r="N83" s="43"/>
      <c r="O83" s="43"/>
      <c r="P83" s="42" t="str">
        <f aca="false">IF(AND(ISNUMBER(M83),M83&gt;0),N(O83)/M83,"")</f>
        <v/>
      </c>
      <c r="Q83" s="43"/>
      <c r="R83" s="43"/>
      <c r="S83" s="42" t="str">
        <f aca="false">IF(AND(ISNUMBER(Q83),Q83&gt;0),N(R83)/Q83,"")</f>
        <v/>
      </c>
      <c r="T83" s="43"/>
      <c r="U83" s="43"/>
      <c r="V83" s="42" t="str">
        <f aca="false">IF(AND(ISNUMBER(T83),T83&gt;0),N(U83)/T83,"")</f>
        <v/>
      </c>
      <c r="W83" s="41"/>
      <c r="X83" s="43"/>
      <c r="Y83" s="41"/>
      <c r="Z83" s="41"/>
      <c r="AA83" s="44"/>
      <c r="AB83" s="44"/>
      <c r="AC83" s="45"/>
      <c r="AD83" s="46"/>
      <c r="AE83" s="46"/>
    </row>
    <row r="84" customFormat="false" ht="15" hidden="false" customHeight="false" outlineLevel="0" collapsed="false">
      <c r="A84" s="40"/>
      <c r="B84" s="41"/>
      <c r="C84" s="41"/>
      <c r="D84" s="42" t="str">
        <f aca="false">IF(N(B84)&gt;0,1-N(C84)/(B84*Config!$B$15),"")</f>
        <v/>
      </c>
      <c r="E84" s="43"/>
      <c r="F84" s="43"/>
      <c r="G84" s="43"/>
      <c r="H84" s="42" t="str">
        <f aca="false">IF(AND(ISNUMBER(E84),E84&gt;0),N(G84)/E84,"")</f>
        <v/>
      </c>
      <c r="I84" s="43"/>
      <c r="J84" s="43"/>
      <c r="K84" s="43"/>
      <c r="L84" s="42" t="str">
        <f aca="false">IF(AND(ISNUMBER(I84),I84&gt;0),N(K84)/I84,"")</f>
        <v/>
      </c>
      <c r="M84" s="43"/>
      <c r="N84" s="43"/>
      <c r="O84" s="43"/>
      <c r="P84" s="42" t="str">
        <f aca="false">IF(AND(ISNUMBER(M84),M84&gt;0),N(O84)/M84,"")</f>
        <v/>
      </c>
      <c r="Q84" s="43"/>
      <c r="R84" s="43"/>
      <c r="S84" s="42" t="str">
        <f aca="false">IF(AND(ISNUMBER(Q84),Q84&gt;0),N(R84)/Q84,"")</f>
        <v/>
      </c>
      <c r="T84" s="43"/>
      <c r="U84" s="43"/>
      <c r="V84" s="42" t="str">
        <f aca="false">IF(AND(ISNUMBER(T84),T84&gt;0),N(U84)/T84,"")</f>
        <v/>
      </c>
      <c r="W84" s="41"/>
      <c r="X84" s="43"/>
      <c r="Y84" s="41"/>
      <c r="Z84" s="41"/>
      <c r="AA84" s="44"/>
      <c r="AB84" s="44"/>
      <c r="AC84" s="45"/>
      <c r="AD84" s="46"/>
      <c r="AE84" s="46"/>
    </row>
    <row r="85" customFormat="false" ht="15" hidden="false" customHeight="false" outlineLevel="0" collapsed="false">
      <c r="A85" s="40"/>
      <c r="B85" s="41"/>
      <c r="C85" s="41"/>
      <c r="D85" s="42" t="str">
        <f aca="false">IF(N(B85)&gt;0,1-N(C85)/(B85*Config!$B$15),"")</f>
        <v/>
      </c>
      <c r="E85" s="43"/>
      <c r="F85" s="43"/>
      <c r="G85" s="43"/>
      <c r="H85" s="42" t="str">
        <f aca="false">IF(AND(ISNUMBER(E85),E85&gt;0),N(G85)/E85,"")</f>
        <v/>
      </c>
      <c r="I85" s="43"/>
      <c r="J85" s="43"/>
      <c r="K85" s="43"/>
      <c r="L85" s="42" t="str">
        <f aca="false">IF(AND(ISNUMBER(I85),I85&gt;0),N(K85)/I85,"")</f>
        <v/>
      </c>
      <c r="M85" s="43"/>
      <c r="N85" s="43"/>
      <c r="O85" s="43"/>
      <c r="P85" s="42" t="str">
        <f aca="false">IF(AND(ISNUMBER(M85),M85&gt;0),N(O85)/M85,"")</f>
        <v/>
      </c>
      <c r="Q85" s="43"/>
      <c r="R85" s="43"/>
      <c r="S85" s="42" t="str">
        <f aca="false">IF(AND(ISNUMBER(Q85),Q85&gt;0),N(R85)/Q85,"")</f>
        <v/>
      </c>
      <c r="T85" s="43"/>
      <c r="U85" s="43"/>
      <c r="V85" s="42" t="str">
        <f aca="false">IF(AND(ISNUMBER(T85),T85&gt;0),N(U85)/T85,"")</f>
        <v/>
      </c>
      <c r="W85" s="41"/>
      <c r="X85" s="43"/>
      <c r="Y85" s="41"/>
      <c r="Z85" s="41"/>
      <c r="AA85" s="44"/>
      <c r="AB85" s="44"/>
      <c r="AC85" s="45"/>
      <c r="AD85" s="46"/>
      <c r="AE85" s="46"/>
    </row>
    <row r="86" customFormat="false" ht="15" hidden="false" customHeight="false" outlineLevel="0" collapsed="false">
      <c r="A86" s="40"/>
      <c r="B86" s="41"/>
      <c r="C86" s="41"/>
      <c r="D86" s="42" t="str">
        <f aca="false">IF(N(B86)&gt;0,1-N(C86)/(B86*Config!$B$15),"")</f>
        <v/>
      </c>
      <c r="E86" s="43"/>
      <c r="F86" s="43"/>
      <c r="G86" s="43"/>
      <c r="H86" s="42" t="str">
        <f aca="false">IF(AND(ISNUMBER(E86),E86&gt;0),N(G86)/E86,"")</f>
        <v/>
      </c>
      <c r="I86" s="43"/>
      <c r="J86" s="43"/>
      <c r="K86" s="43"/>
      <c r="L86" s="42" t="str">
        <f aca="false">IF(AND(ISNUMBER(I86),I86&gt;0),N(K86)/I86,"")</f>
        <v/>
      </c>
      <c r="M86" s="43"/>
      <c r="N86" s="43"/>
      <c r="O86" s="43"/>
      <c r="P86" s="42" t="str">
        <f aca="false">IF(AND(ISNUMBER(M86),M86&gt;0),N(O86)/M86,"")</f>
        <v/>
      </c>
      <c r="Q86" s="43"/>
      <c r="R86" s="43"/>
      <c r="S86" s="42" t="str">
        <f aca="false">IF(AND(ISNUMBER(Q86),Q86&gt;0),N(R86)/Q86,"")</f>
        <v/>
      </c>
      <c r="T86" s="43"/>
      <c r="U86" s="43"/>
      <c r="V86" s="42" t="str">
        <f aca="false">IF(AND(ISNUMBER(T86),T86&gt;0),N(U86)/T86,"")</f>
        <v/>
      </c>
      <c r="W86" s="41"/>
      <c r="X86" s="43"/>
      <c r="Y86" s="41"/>
      <c r="Z86" s="41"/>
      <c r="AA86" s="44"/>
      <c r="AB86" s="44"/>
      <c r="AC86" s="45"/>
      <c r="AD86" s="46"/>
      <c r="AE86" s="46"/>
    </row>
    <row r="87" customFormat="false" ht="15" hidden="false" customHeight="false" outlineLevel="0" collapsed="false">
      <c r="A87" s="40"/>
      <c r="B87" s="41"/>
      <c r="C87" s="41"/>
      <c r="D87" s="42" t="str">
        <f aca="false">IF(N(B87)&gt;0,1-N(C87)/(B87*Config!$B$15),"")</f>
        <v/>
      </c>
      <c r="E87" s="43"/>
      <c r="F87" s="43"/>
      <c r="G87" s="43"/>
      <c r="H87" s="42" t="str">
        <f aca="false">IF(AND(ISNUMBER(E87),E87&gt;0),N(G87)/E87,"")</f>
        <v/>
      </c>
      <c r="I87" s="43"/>
      <c r="J87" s="43"/>
      <c r="K87" s="43"/>
      <c r="L87" s="42" t="str">
        <f aca="false">IF(AND(ISNUMBER(I87),I87&gt;0),N(K87)/I87,"")</f>
        <v/>
      </c>
      <c r="M87" s="43"/>
      <c r="N87" s="43"/>
      <c r="O87" s="43"/>
      <c r="P87" s="42" t="str">
        <f aca="false">IF(AND(ISNUMBER(M87),M87&gt;0),N(O87)/M87,"")</f>
        <v/>
      </c>
      <c r="Q87" s="43"/>
      <c r="R87" s="43"/>
      <c r="S87" s="42" t="str">
        <f aca="false">IF(AND(ISNUMBER(Q87),Q87&gt;0),N(R87)/Q87,"")</f>
        <v/>
      </c>
      <c r="T87" s="43"/>
      <c r="U87" s="43"/>
      <c r="V87" s="42" t="str">
        <f aca="false">IF(AND(ISNUMBER(T87),T87&gt;0),N(U87)/T87,"")</f>
        <v/>
      </c>
      <c r="W87" s="41"/>
      <c r="X87" s="43"/>
      <c r="Y87" s="41"/>
      <c r="Z87" s="41"/>
      <c r="AA87" s="44"/>
      <c r="AB87" s="44"/>
      <c r="AC87" s="45"/>
      <c r="AD87" s="46"/>
      <c r="AE87" s="46"/>
    </row>
    <row r="88" customFormat="false" ht="15" hidden="false" customHeight="false" outlineLevel="0" collapsed="false">
      <c r="A88" s="40"/>
      <c r="B88" s="41"/>
      <c r="C88" s="41"/>
      <c r="D88" s="42" t="str">
        <f aca="false">IF(N(B88)&gt;0,1-N(C88)/(B88*Config!$B$15),"")</f>
        <v/>
      </c>
      <c r="E88" s="43"/>
      <c r="F88" s="43"/>
      <c r="G88" s="43"/>
      <c r="H88" s="42" t="str">
        <f aca="false">IF(AND(ISNUMBER(E88),E88&gt;0),N(G88)/E88,"")</f>
        <v/>
      </c>
      <c r="I88" s="43"/>
      <c r="J88" s="43"/>
      <c r="K88" s="43"/>
      <c r="L88" s="42" t="str">
        <f aca="false">IF(AND(ISNUMBER(I88),I88&gt;0),N(K88)/I88,"")</f>
        <v/>
      </c>
      <c r="M88" s="43"/>
      <c r="N88" s="43"/>
      <c r="O88" s="43"/>
      <c r="P88" s="42" t="str">
        <f aca="false">IF(AND(ISNUMBER(M88),M88&gt;0),N(O88)/M88,"")</f>
        <v/>
      </c>
      <c r="Q88" s="43"/>
      <c r="R88" s="43"/>
      <c r="S88" s="42" t="str">
        <f aca="false">IF(AND(ISNUMBER(Q88),Q88&gt;0),N(R88)/Q88,"")</f>
        <v/>
      </c>
      <c r="T88" s="43"/>
      <c r="U88" s="43"/>
      <c r="V88" s="42" t="str">
        <f aca="false">IF(AND(ISNUMBER(T88),T88&gt;0),N(U88)/T88,"")</f>
        <v/>
      </c>
      <c r="W88" s="41"/>
      <c r="X88" s="43"/>
      <c r="Y88" s="41"/>
      <c r="Z88" s="41"/>
      <c r="AA88" s="44"/>
      <c r="AB88" s="44"/>
      <c r="AC88" s="45"/>
      <c r="AD88" s="46"/>
      <c r="AE88" s="46"/>
    </row>
    <row r="89" customFormat="false" ht="15" hidden="false" customHeight="false" outlineLevel="0" collapsed="false">
      <c r="A89" s="40"/>
      <c r="B89" s="41"/>
      <c r="C89" s="41"/>
      <c r="D89" s="42" t="str">
        <f aca="false">IF(N(B89)&gt;0,1-N(C89)/(B89*Config!$B$15),"")</f>
        <v/>
      </c>
      <c r="E89" s="43"/>
      <c r="F89" s="43"/>
      <c r="G89" s="43"/>
      <c r="H89" s="42" t="str">
        <f aca="false">IF(AND(ISNUMBER(E89),E89&gt;0),N(G89)/E89,"")</f>
        <v/>
      </c>
      <c r="I89" s="43"/>
      <c r="J89" s="43"/>
      <c r="K89" s="43"/>
      <c r="L89" s="42" t="str">
        <f aca="false">IF(AND(ISNUMBER(I89),I89&gt;0),N(K89)/I89,"")</f>
        <v/>
      </c>
      <c r="M89" s="43"/>
      <c r="N89" s="43"/>
      <c r="O89" s="43"/>
      <c r="P89" s="42" t="str">
        <f aca="false">IF(AND(ISNUMBER(M89),M89&gt;0),N(O89)/M89,"")</f>
        <v/>
      </c>
      <c r="Q89" s="43"/>
      <c r="R89" s="43"/>
      <c r="S89" s="42" t="str">
        <f aca="false">IF(AND(ISNUMBER(Q89),Q89&gt;0),N(R89)/Q89,"")</f>
        <v/>
      </c>
      <c r="T89" s="43"/>
      <c r="U89" s="43"/>
      <c r="V89" s="42" t="str">
        <f aca="false">IF(AND(ISNUMBER(T89),T89&gt;0),N(U89)/T89,"")</f>
        <v/>
      </c>
      <c r="W89" s="41"/>
      <c r="X89" s="43"/>
      <c r="Y89" s="41"/>
      <c r="Z89" s="41"/>
      <c r="AA89" s="44"/>
      <c r="AB89" s="44"/>
      <c r="AC89" s="45"/>
      <c r="AD89" s="46"/>
      <c r="AE89" s="46"/>
    </row>
    <row r="90" customFormat="false" ht="15" hidden="false" customHeight="false" outlineLevel="0" collapsed="false">
      <c r="A90" s="40"/>
      <c r="B90" s="41"/>
      <c r="C90" s="41"/>
      <c r="D90" s="42" t="str">
        <f aca="false">IF(N(B90)&gt;0,1-N(C90)/(B90*Config!$B$15),"")</f>
        <v/>
      </c>
      <c r="E90" s="43"/>
      <c r="F90" s="43"/>
      <c r="G90" s="43"/>
      <c r="H90" s="42" t="str">
        <f aca="false">IF(AND(ISNUMBER(E90),E90&gt;0),N(G90)/E90,"")</f>
        <v/>
      </c>
      <c r="I90" s="43"/>
      <c r="J90" s="43"/>
      <c r="K90" s="43"/>
      <c r="L90" s="42" t="str">
        <f aca="false">IF(AND(ISNUMBER(I90),I90&gt;0),N(K90)/I90,"")</f>
        <v/>
      </c>
      <c r="M90" s="43"/>
      <c r="N90" s="43"/>
      <c r="O90" s="43"/>
      <c r="P90" s="42" t="str">
        <f aca="false">IF(AND(ISNUMBER(M90),M90&gt;0),N(O90)/M90,"")</f>
        <v/>
      </c>
      <c r="Q90" s="43"/>
      <c r="R90" s="43"/>
      <c r="S90" s="42" t="str">
        <f aca="false">IF(AND(ISNUMBER(Q90),Q90&gt;0),N(R90)/Q90,"")</f>
        <v/>
      </c>
      <c r="T90" s="43"/>
      <c r="U90" s="43"/>
      <c r="V90" s="42" t="str">
        <f aca="false">IF(AND(ISNUMBER(T90),T90&gt;0),N(U90)/T90,"")</f>
        <v/>
      </c>
      <c r="W90" s="41"/>
      <c r="X90" s="43"/>
      <c r="Y90" s="41"/>
      <c r="Z90" s="41"/>
      <c r="AA90" s="44"/>
      <c r="AB90" s="44"/>
      <c r="AC90" s="45"/>
      <c r="AD90" s="46"/>
      <c r="AE90" s="46"/>
    </row>
    <row r="91" customFormat="false" ht="15" hidden="false" customHeight="false" outlineLevel="0" collapsed="false">
      <c r="A91" s="40"/>
      <c r="B91" s="41"/>
      <c r="C91" s="41"/>
      <c r="D91" s="42" t="str">
        <f aca="false">IF(N(B91)&gt;0,1-N(C91)/(B91*Config!$B$15),"")</f>
        <v/>
      </c>
      <c r="E91" s="43"/>
      <c r="F91" s="43"/>
      <c r="G91" s="43"/>
      <c r="H91" s="42" t="str">
        <f aca="false">IF(AND(ISNUMBER(E91),E91&gt;0),N(G91)/E91,"")</f>
        <v/>
      </c>
      <c r="I91" s="43"/>
      <c r="J91" s="43"/>
      <c r="K91" s="43"/>
      <c r="L91" s="42" t="str">
        <f aca="false">IF(AND(ISNUMBER(I91),I91&gt;0),N(K91)/I91,"")</f>
        <v/>
      </c>
      <c r="M91" s="43"/>
      <c r="N91" s="43"/>
      <c r="O91" s="43"/>
      <c r="P91" s="42" t="str">
        <f aca="false">IF(AND(ISNUMBER(M91),M91&gt;0),N(O91)/M91,"")</f>
        <v/>
      </c>
      <c r="Q91" s="43"/>
      <c r="R91" s="43"/>
      <c r="S91" s="42" t="str">
        <f aca="false">IF(AND(ISNUMBER(Q91),Q91&gt;0),N(R91)/Q91,"")</f>
        <v/>
      </c>
      <c r="T91" s="43"/>
      <c r="U91" s="43"/>
      <c r="V91" s="42" t="str">
        <f aca="false">IF(AND(ISNUMBER(T91),T91&gt;0),N(U91)/T91,"")</f>
        <v/>
      </c>
      <c r="W91" s="41"/>
      <c r="X91" s="43"/>
      <c r="Y91" s="41"/>
      <c r="Z91" s="41"/>
      <c r="AA91" s="44"/>
      <c r="AB91" s="44"/>
      <c r="AC91" s="45"/>
      <c r="AD91" s="46"/>
      <c r="AE91" s="46"/>
    </row>
    <row r="92" customFormat="false" ht="15" hidden="false" customHeight="false" outlineLevel="0" collapsed="false">
      <c r="A92" s="40"/>
      <c r="B92" s="41"/>
      <c r="C92" s="41"/>
      <c r="D92" s="42" t="str">
        <f aca="false">IF(N(B92)&gt;0,1-N(C92)/(B92*Config!$B$15),"")</f>
        <v/>
      </c>
      <c r="E92" s="43"/>
      <c r="F92" s="43"/>
      <c r="G92" s="43"/>
      <c r="H92" s="42" t="str">
        <f aca="false">IF(AND(ISNUMBER(E92),E92&gt;0),N(G92)/E92,"")</f>
        <v/>
      </c>
      <c r="I92" s="43"/>
      <c r="J92" s="43"/>
      <c r="K92" s="43"/>
      <c r="L92" s="42" t="str">
        <f aca="false">IF(AND(ISNUMBER(I92),I92&gt;0),N(K92)/I92,"")</f>
        <v/>
      </c>
      <c r="M92" s="43"/>
      <c r="N92" s="43"/>
      <c r="O92" s="43"/>
      <c r="P92" s="42" t="str">
        <f aca="false">IF(AND(ISNUMBER(M92),M92&gt;0),N(O92)/M92,"")</f>
        <v/>
      </c>
      <c r="Q92" s="43"/>
      <c r="R92" s="43"/>
      <c r="S92" s="42" t="str">
        <f aca="false">IF(AND(ISNUMBER(Q92),Q92&gt;0),N(R92)/Q92,"")</f>
        <v/>
      </c>
      <c r="T92" s="43"/>
      <c r="U92" s="43"/>
      <c r="V92" s="42" t="str">
        <f aca="false">IF(AND(ISNUMBER(T92),T92&gt;0),N(U92)/T92,"")</f>
        <v/>
      </c>
      <c r="W92" s="41"/>
      <c r="X92" s="43"/>
      <c r="Y92" s="41"/>
      <c r="Z92" s="41"/>
      <c r="AA92" s="44"/>
      <c r="AB92" s="44"/>
      <c r="AC92" s="45"/>
      <c r="AD92" s="46"/>
      <c r="AE92" s="46"/>
    </row>
    <row r="93" customFormat="false" ht="15" hidden="false" customHeight="false" outlineLevel="0" collapsed="false">
      <c r="A93" s="40"/>
      <c r="B93" s="41"/>
      <c r="C93" s="41"/>
      <c r="D93" s="42" t="str">
        <f aca="false">IF(N(B93)&gt;0,1-N(C93)/(B93*Config!$B$15),"")</f>
        <v/>
      </c>
      <c r="E93" s="43"/>
      <c r="F93" s="43"/>
      <c r="G93" s="43"/>
      <c r="H93" s="42" t="str">
        <f aca="false">IF(AND(ISNUMBER(E93),E93&gt;0),N(G93)/E93,"")</f>
        <v/>
      </c>
      <c r="I93" s="43"/>
      <c r="J93" s="43"/>
      <c r="K93" s="43"/>
      <c r="L93" s="42" t="str">
        <f aca="false">IF(AND(ISNUMBER(I93),I93&gt;0),N(K93)/I93,"")</f>
        <v/>
      </c>
      <c r="M93" s="43"/>
      <c r="N93" s="43"/>
      <c r="O93" s="43"/>
      <c r="P93" s="42" t="str">
        <f aca="false">IF(AND(ISNUMBER(M93),M93&gt;0),N(O93)/M93,"")</f>
        <v/>
      </c>
      <c r="Q93" s="43"/>
      <c r="R93" s="43"/>
      <c r="S93" s="42" t="str">
        <f aca="false">IF(AND(ISNUMBER(Q93),Q93&gt;0),N(R93)/Q93,"")</f>
        <v/>
      </c>
      <c r="T93" s="43"/>
      <c r="U93" s="43"/>
      <c r="V93" s="42" t="str">
        <f aca="false">IF(AND(ISNUMBER(T93),T93&gt;0),N(U93)/T93,"")</f>
        <v/>
      </c>
      <c r="W93" s="41"/>
      <c r="X93" s="43"/>
      <c r="Y93" s="41"/>
      <c r="Z93" s="41"/>
      <c r="AA93" s="44"/>
      <c r="AB93" s="44"/>
      <c r="AC93" s="45"/>
      <c r="AD93" s="46"/>
      <c r="AE93" s="46"/>
    </row>
    <row r="94" customFormat="false" ht="15" hidden="false" customHeight="false" outlineLevel="0" collapsed="false">
      <c r="A94" s="40"/>
      <c r="B94" s="41"/>
      <c r="C94" s="41"/>
      <c r="D94" s="42" t="str">
        <f aca="false">IF(N(B94)&gt;0,1-N(C94)/(B94*Config!$B$15),"")</f>
        <v/>
      </c>
      <c r="E94" s="43"/>
      <c r="F94" s="43"/>
      <c r="G94" s="43"/>
      <c r="H94" s="42" t="str">
        <f aca="false">IF(AND(ISNUMBER(E94),E94&gt;0),N(G94)/E94,"")</f>
        <v/>
      </c>
      <c r="I94" s="43"/>
      <c r="J94" s="43"/>
      <c r="K94" s="43"/>
      <c r="L94" s="42" t="str">
        <f aca="false">IF(AND(ISNUMBER(I94),I94&gt;0),N(K94)/I94,"")</f>
        <v/>
      </c>
      <c r="M94" s="43"/>
      <c r="N94" s="43"/>
      <c r="O94" s="43"/>
      <c r="P94" s="42" t="str">
        <f aca="false">IF(AND(ISNUMBER(M94),M94&gt;0),N(O94)/M94,"")</f>
        <v/>
      </c>
      <c r="Q94" s="43"/>
      <c r="R94" s="43"/>
      <c r="S94" s="42" t="str">
        <f aca="false">IF(AND(ISNUMBER(Q94),Q94&gt;0),N(R94)/Q94,"")</f>
        <v/>
      </c>
      <c r="T94" s="43"/>
      <c r="U94" s="43"/>
      <c r="V94" s="42" t="str">
        <f aca="false">IF(AND(ISNUMBER(T94),T94&gt;0),N(U94)/T94,"")</f>
        <v/>
      </c>
      <c r="W94" s="41"/>
      <c r="X94" s="43"/>
      <c r="Y94" s="41"/>
      <c r="Z94" s="41"/>
      <c r="AA94" s="44"/>
      <c r="AB94" s="44"/>
      <c r="AC94" s="45"/>
      <c r="AD94" s="46"/>
      <c r="AE94" s="46"/>
    </row>
    <row r="95" customFormat="false" ht="15" hidden="false" customHeight="false" outlineLevel="0" collapsed="false">
      <c r="A95" s="40"/>
      <c r="B95" s="41"/>
      <c r="C95" s="41"/>
      <c r="D95" s="42" t="str">
        <f aca="false">IF(N(B95)&gt;0,1-N(C95)/(B95*Config!$B$15),"")</f>
        <v/>
      </c>
      <c r="E95" s="43"/>
      <c r="F95" s="43"/>
      <c r="G95" s="43"/>
      <c r="H95" s="42" t="str">
        <f aca="false">IF(AND(ISNUMBER(E95),E95&gt;0),N(G95)/E95,"")</f>
        <v/>
      </c>
      <c r="I95" s="43"/>
      <c r="J95" s="43"/>
      <c r="K95" s="43"/>
      <c r="L95" s="42" t="str">
        <f aca="false">IF(AND(ISNUMBER(I95),I95&gt;0),N(K95)/I95,"")</f>
        <v/>
      </c>
      <c r="M95" s="43"/>
      <c r="N95" s="43"/>
      <c r="O95" s="43"/>
      <c r="P95" s="42" t="str">
        <f aca="false">IF(AND(ISNUMBER(M95),M95&gt;0),N(O95)/M95,"")</f>
        <v/>
      </c>
      <c r="Q95" s="43"/>
      <c r="R95" s="43"/>
      <c r="S95" s="42" t="str">
        <f aca="false">IF(AND(ISNUMBER(Q95),Q95&gt;0),N(R95)/Q95,"")</f>
        <v/>
      </c>
      <c r="T95" s="43"/>
      <c r="U95" s="43"/>
      <c r="V95" s="42" t="str">
        <f aca="false">IF(AND(ISNUMBER(T95),T95&gt;0),N(U95)/T95,"")</f>
        <v/>
      </c>
      <c r="W95" s="41"/>
      <c r="X95" s="43"/>
      <c r="Y95" s="41"/>
      <c r="Z95" s="41"/>
      <c r="AA95" s="44"/>
      <c r="AB95" s="44"/>
      <c r="AC95" s="45"/>
      <c r="AD95" s="46"/>
      <c r="AE95" s="46"/>
    </row>
    <row r="96" customFormat="false" ht="15" hidden="false" customHeight="false" outlineLevel="0" collapsed="false">
      <c r="A96" s="40"/>
      <c r="B96" s="41"/>
      <c r="C96" s="41"/>
      <c r="D96" s="42" t="str">
        <f aca="false">IF(N(B96)&gt;0,1-N(C96)/(B96*Config!$B$15),"")</f>
        <v/>
      </c>
      <c r="E96" s="43"/>
      <c r="F96" s="43"/>
      <c r="G96" s="43"/>
      <c r="H96" s="42" t="str">
        <f aca="false">IF(AND(ISNUMBER(E96),E96&gt;0),N(G96)/E96,"")</f>
        <v/>
      </c>
      <c r="I96" s="43"/>
      <c r="J96" s="43"/>
      <c r="K96" s="43"/>
      <c r="L96" s="42" t="str">
        <f aca="false">IF(AND(ISNUMBER(I96),I96&gt;0),N(K96)/I96,"")</f>
        <v/>
      </c>
      <c r="M96" s="43"/>
      <c r="N96" s="43"/>
      <c r="O96" s="43"/>
      <c r="P96" s="42" t="str">
        <f aca="false">IF(AND(ISNUMBER(M96),M96&gt;0),N(O96)/M96,"")</f>
        <v/>
      </c>
      <c r="Q96" s="43"/>
      <c r="R96" s="43"/>
      <c r="S96" s="42" t="str">
        <f aca="false">IF(AND(ISNUMBER(Q96),Q96&gt;0),N(R96)/Q96,"")</f>
        <v/>
      </c>
      <c r="T96" s="43"/>
      <c r="U96" s="43"/>
      <c r="V96" s="42" t="str">
        <f aca="false">IF(AND(ISNUMBER(T96),T96&gt;0),N(U96)/T96,"")</f>
        <v/>
      </c>
      <c r="W96" s="41"/>
      <c r="X96" s="43"/>
      <c r="Y96" s="41"/>
      <c r="Z96" s="41"/>
      <c r="AA96" s="44"/>
      <c r="AB96" s="44"/>
      <c r="AC96" s="45"/>
      <c r="AD96" s="46"/>
      <c r="AE96" s="46"/>
    </row>
    <row r="97" customFormat="false" ht="15" hidden="false" customHeight="false" outlineLevel="0" collapsed="false">
      <c r="A97" s="40"/>
      <c r="B97" s="41"/>
      <c r="C97" s="41"/>
      <c r="D97" s="42" t="str">
        <f aca="false">IF(N(B97)&gt;0,1-N(C97)/(B97*Config!$B$15),"")</f>
        <v/>
      </c>
      <c r="E97" s="43"/>
      <c r="F97" s="43"/>
      <c r="G97" s="43"/>
      <c r="H97" s="42" t="str">
        <f aca="false">IF(AND(ISNUMBER(E97),E97&gt;0),N(G97)/E97,"")</f>
        <v/>
      </c>
      <c r="I97" s="43"/>
      <c r="J97" s="43"/>
      <c r="K97" s="43"/>
      <c r="L97" s="42" t="str">
        <f aca="false">IF(AND(ISNUMBER(I97),I97&gt;0),N(K97)/I97,"")</f>
        <v/>
      </c>
      <c r="M97" s="43"/>
      <c r="N97" s="43"/>
      <c r="O97" s="43"/>
      <c r="P97" s="42" t="str">
        <f aca="false">IF(AND(ISNUMBER(M97),M97&gt;0),N(O97)/M97,"")</f>
        <v/>
      </c>
      <c r="Q97" s="43"/>
      <c r="R97" s="43"/>
      <c r="S97" s="42" t="str">
        <f aca="false">IF(AND(ISNUMBER(Q97),Q97&gt;0),N(R97)/Q97,"")</f>
        <v/>
      </c>
      <c r="T97" s="43"/>
      <c r="U97" s="43"/>
      <c r="V97" s="42" t="str">
        <f aca="false">IF(AND(ISNUMBER(T97),T97&gt;0),N(U97)/T97,"")</f>
        <v/>
      </c>
      <c r="W97" s="41"/>
      <c r="X97" s="43"/>
      <c r="Y97" s="41"/>
      <c r="Z97" s="41"/>
      <c r="AA97" s="44"/>
      <c r="AB97" s="44"/>
      <c r="AC97" s="45"/>
      <c r="AD97" s="46"/>
      <c r="AE97" s="46"/>
    </row>
    <row r="98" customFormat="false" ht="15" hidden="false" customHeight="false" outlineLevel="0" collapsed="false">
      <c r="A98" s="40"/>
      <c r="B98" s="41"/>
      <c r="C98" s="41"/>
      <c r="D98" s="42" t="str">
        <f aca="false">IF(N(B98)&gt;0,1-N(C98)/(B98*Config!$B$15),"")</f>
        <v/>
      </c>
      <c r="E98" s="43"/>
      <c r="F98" s="43"/>
      <c r="G98" s="43"/>
      <c r="H98" s="42" t="str">
        <f aca="false">IF(AND(ISNUMBER(E98),E98&gt;0),N(G98)/E98,"")</f>
        <v/>
      </c>
      <c r="I98" s="43"/>
      <c r="J98" s="43"/>
      <c r="K98" s="43"/>
      <c r="L98" s="42" t="str">
        <f aca="false">IF(AND(ISNUMBER(I98),I98&gt;0),N(K98)/I98,"")</f>
        <v/>
      </c>
      <c r="M98" s="43"/>
      <c r="N98" s="43"/>
      <c r="O98" s="43"/>
      <c r="P98" s="42" t="str">
        <f aca="false">IF(AND(ISNUMBER(M98),M98&gt;0),N(O98)/M98,"")</f>
        <v/>
      </c>
      <c r="Q98" s="43"/>
      <c r="R98" s="43"/>
      <c r="S98" s="42" t="str">
        <f aca="false">IF(AND(ISNUMBER(Q98),Q98&gt;0),N(R98)/Q98,"")</f>
        <v/>
      </c>
      <c r="T98" s="43"/>
      <c r="U98" s="43"/>
      <c r="V98" s="42" t="str">
        <f aca="false">IF(AND(ISNUMBER(T98),T98&gt;0),N(U98)/T98,"")</f>
        <v/>
      </c>
      <c r="W98" s="41"/>
      <c r="X98" s="43"/>
      <c r="Y98" s="41"/>
      <c r="Z98" s="41"/>
      <c r="AA98" s="44"/>
      <c r="AB98" s="44"/>
      <c r="AC98" s="45"/>
      <c r="AD98" s="46"/>
      <c r="AE98" s="46"/>
    </row>
    <row r="99" customFormat="false" ht="15" hidden="false" customHeight="false" outlineLevel="0" collapsed="false">
      <c r="A99" s="40"/>
      <c r="B99" s="41"/>
      <c r="C99" s="41"/>
      <c r="D99" s="42" t="str">
        <f aca="false">IF(N(B99)&gt;0,1-N(C99)/(B99*Config!$B$15),"")</f>
        <v/>
      </c>
      <c r="E99" s="43"/>
      <c r="F99" s="43"/>
      <c r="G99" s="43"/>
      <c r="H99" s="42" t="str">
        <f aca="false">IF(AND(ISNUMBER(E99),E99&gt;0),N(G99)/E99,"")</f>
        <v/>
      </c>
      <c r="I99" s="43"/>
      <c r="J99" s="43"/>
      <c r="K99" s="43"/>
      <c r="L99" s="42" t="str">
        <f aca="false">IF(AND(ISNUMBER(I99),I99&gt;0),N(K99)/I99,"")</f>
        <v/>
      </c>
      <c r="M99" s="43"/>
      <c r="N99" s="43"/>
      <c r="O99" s="43"/>
      <c r="P99" s="42" t="str">
        <f aca="false">IF(AND(ISNUMBER(M99),M99&gt;0),N(O99)/M99,"")</f>
        <v/>
      </c>
      <c r="Q99" s="43"/>
      <c r="R99" s="43"/>
      <c r="S99" s="42" t="str">
        <f aca="false">IF(AND(ISNUMBER(Q99),Q99&gt;0),N(R99)/Q99,"")</f>
        <v/>
      </c>
      <c r="T99" s="43"/>
      <c r="U99" s="43"/>
      <c r="V99" s="42" t="str">
        <f aca="false">IF(AND(ISNUMBER(T99),T99&gt;0),N(U99)/T99,"")</f>
        <v/>
      </c>
      <c r="W99" s="41"/>
      <c r="X99" s="43"/>
      <c r="Y99" s="41"/>
      <c r="Z99" s="41"/>
      <c r="AA99" s="44"/>
      <c r="AB99" s="44"/>
      <c r="AC99" s="45"/>
      <c r="AD99" s="46"/>
      <c r="AE99" s="46"/>
    </row>
    <row r="100" customFormat="false" ht="15" hidden="false" customHeight="false" outlineLevel="0" collapsed="false">
      <c r="A100" s="40"/>
      <c r="B100" s="41"/>
      <c r="C100" s="41"/>
      <c r="D100" s="42" t="str">
        <f aca="false">IF(N(B100)&gt;0,1-N(C100)/(B100*Config!$B$15),"")</f>
        <v/>
      </c>
      <c r="E100" s="43"/>
      <c r="F100" s="43"/>
      <c r="G100" s="43"/>
      <c r="H100" s="42" t="str">
        <f aca="false">IF(AND(ISNUMBER(E100),E100&gt;0),N(G100)/E100,"")</f>
        <v/>
      </c>
      <c r="I100" s="43"/>
      <c r="J100" s="43"/>
      <c r="K100" s="43"/>
      <c r="L100" s="42" t="str">
        <f aca="false">IF(AND(ISNUMBER(I100),I100&gt;0),N(K100)/I100,"")</f>
        <v/>
      </c>
      <c r="M100" s="43"/>
      <c r="N100" s="43"/>
      <c r="O100" s="43"/>
      <c r="P100" s="42" t="str">
        <f aca="false">IF(AND(ISNUMBER(M100),M100&gt;0),N(O100)/M100,"")</f>
        <v/>
      </c>
      <c r="Q100" s="43"/>
      <c r="R100" s="43"/>
      <c r="S100" s="42" t="str">
        <f aca="false">IF(AND(ISNUMBER(Q100),Q100&gt;0),N(R100)/Q100,"")</f>
        <v/>
      </c>
      <c r="T100" s="43"/>
      <c r="U100" s="43"/>
      <c r="V100" s="42" t="str">
        <f aca="false">IF(AND(ISNUMBER(T100),T100&gt;0),N(U100)/T100,"")</f>
        <v/>
      </c>
      <c r="W100" s="41"/>
      <c r="X100" s="43"/>
      <c r="Y100" s="41"/>
      <c r="Z100" s="41"/>
      <c r="AA100" s="44"/>
      <c r="AB100" s="44"/>
      <c r="AC100" s="45"/>
      <c r="AD100" s="46"/>
      <c r="AE100" s="46"/>
    </row>
    <row r="101" customFormat="false" ht="15" hidden="false" customHeight="false" outlineLevel="0" collapsed="false">
      <c r="A101" s="40"/>
      <c r="B101" s="41"/>
      <c r="C101" s="41"/>
      <c r="D101" s="42" t="str">
        <f aca="false">IF(N(B101)&gt;0,1-N(C101)/(B101*Config!$B$15),"")</f>
        <v/>
      </c>
      <c r="E101" s="43"/>
      <c r="F101" s="43"/>
      <c r="G101" s="43"/>
      <c r="H101" s="42" t="str">
        <f aca="false">IF(AND(ISNUMBER(E101),E101&gt;0),N(G101)/E101,"")</f>
        <v/>
      </c>
      <c r="I101" s="43"/>
      <c r="J101" s="43"/>
      <c r="K101" s="43"/>
      <c r="L101" s="42" t="str">
        <f aca="false">IF(AND(ISNUMBER(I101),I101&gt;0),N(K101)/I101,"")</f>
        <v/>
      </c>
      <c r="M101" s="43"/>
      <c r="N101" s="43"/>
      <c r="O101" s="43"/>
      <c r="P101" s="42" t="str">
        <f aca="false">IF(AND(ISNUMBER(M101),M101&gt;0),N(O101)/M101,"")</f>
        <v/>
      </c>
      <c r="Q101" s="43"/>
      <c r="R101" s="43"/>
      <c r="S101" s="42" t="str">
        <f aca="false">IF(AND(ISNUMBER(Q101),Q101&gt;0),N(R101)/Q101,"")</f>
        <v/>
      </c>
      <c r="T101" s="43"/>
      <c r="U101" s="43"/>
      <c r="V101" s="42" t="str">
        <f aca="false">IF(AND(ISNUMBER(T101),T101&gt;0),N(U101)/T101,"")</f>
        <v/>
      </c>
      <c r="W101" s="41"/>
      <c r="X101" s="43"/>
      <c r="Y101" s="41"/>
      <c r="Z101" s="41"/>
      <c r="AA101" s="44"/>
      <c r="AB101" s="44"/>
      <c r="AC101" s="45"/>
      <c r="AD101" s="46"/>
      <c r="AE101" s="46"/>
    </row>
    <row r="102" customFormat="false" ht="15" hidden="false" customHeight="false" outlineLevel="0" collapsed="false">
      <c r="A102" s="40"/>
      <c r="B102" s="41"/>
      <c r="C102" s="41"/>
      <c r="D102" s="42" t="str">
        <f aca="false">IF(N(B102)&gt;0,1-N(C102)/(B102*Config!$B$15),"")</f>
        <v/>
      </c>
      <c r="E102" s="43"/>
      <c r="F102" s="43"/>
      <c r="G102" s="43"/>
      <c r="H102" s="42" t="str">
        <f aca="false">IF(AND(ISNUMBER(E102),E102&gt;0),N(G102)/E102,"")</f>
        <v/>
      </c>
      <c r="I102" s="43"/>
      <c r="J102" s="43"/>
      <c r="K102" s="43"/>
      <c r="L102" s="42" t="str">
        <f aca="false">IF(AND(ISNUMBER(I102),I102&gt;0),N(K102)/I102,"")</f>
        <v/>
      </c>
      <c r="M102" s="43"/>
      <c r="N102" s="43"/>
      <c r="O102" s="43"/>
      <c r="P102" s="42" t="str">
        <f aca="false">IF(AND(ISNUMBER(M102),M102&gt;0),N(O102)/M102,"")</f>
        <v/>
      </c>
      <c r="Q102" s="43"/>
      <c r="R102" s="43"/>
      <c r="S102" s="42" t="str">
        <f aca="false">IF(AND(ISNUMBER(Q102),Q102&gt;0),N(R102)/Q102,"")</f>
        <v/>
      </c>
      <c r="T102" s="43"/>
      <c r="U102" s="43"/>
      <c r="V102" s="42" t="str">
        <f aca="false">IF(AND(ISNUMBER(T102),T102&gt;0),N(U102)/T102,"")</f>
        <v/>
      </c>
      <c r="W102" s="41"/>
      <c r="X102" s="43"/>
      <c r="Y102" s="41"/>
      <c r="Z102" s="41"/>
      <c r="AA102" s="44"/>
      <c r="AB102" s="44"/>
      <c r="AC102" s="45"/>
      <c r="AD102" s="46"/>
      <c r="AE102" s="46"/>
    </row>
    <row r="103" customFormat="false" ht="15" hidden="false" customHeight="false" outlineLevel="0" collapsed="false">
      <c r="A103" s="40"/>
      <c r="B103" s="41"/>
      <c r="C103" s="41"/>
      <c r="D103" s="42" t="str">
        <f aca="false">IF(N(B103)&gt;0,1-N(C103)/(B103*Config!$B$15),"")</f>
        <v/>
      </c>
      <c r="E103" s="43"/>
      <c r="F103" s="43"/>
      <c r="G103" s="43"/>
      <c r="H103" s="42" t="str">
        <f aca="false">IF(AND(ISNUMBER(E103),E103&gt;0),N(G103)/E103,"")</f>
        <v/>
      </c>
      <c r="I103" s="43"/>
      <c r="J103" s="43"/>
      <c r="K103" s="43"/>
      <c r="L103" s="42" t="str">
        <f aca="false">IF(AND(ISNUMBER(I103),I103&gt;0),N(K103)/I103,"")</f>
        <v/>
      </c>
      <c r="M103" s="43"/>
      <c r="N103" s="43"/>
      <c r="O103" s="43"/>
      <c r="P103" s="42" t="str">
        <f aca="false">IF(AND(ISNUMBER(M103),M103&gt;0),N(O103)/M103,"")</f>
        <v/>
      </c>
      <c r="Q103" s="43"/>
      <c r="R103" s="43"/>
      <c r="S103" s="42" t="str">
        <f aca="false">IF(AND(ISNUMBER(Q103),Q103&gt;0),N(R103)/Q103,"")</f>
        <v/>
      </c>
      <c r="T103" s="43"/>
      <c r="U103" s="43"/>
      <c r="V103" s="42" t="str">
        <f aca="false">IF(AND(ISNUMBER(T103),T103&gt;0),N(U103)/T103,"")</f>
        <v/>
      </c>
      <c r="W103" s="41"/>
      <c r="X103" s="43"/>
      <c r="Y103" s="41"/>
      <c r="Z103" s="41"/>
      <c r="AA103" s="44"/>
      <c r="AB103" s="44"/>
      <c r="AC103" s="45"/>
      <c r="AD103" s="46"/>
      <c r="AE103" s="46"/>
    </row>
    <row r="104" customFormat="false" ht="15" hidden="false" customHeight="false" outlineLevel="0" collapsed="false">
      <c r="A104" s="40"/>
      <c r="B104" s="41"/>
      <c r="C104" s="41"/>
      <c r="D104" s="42" t="str">
        <f aca="false">IF(N(B104)&gt;0,1-N(C104)/(B104*Config!$B$15),"")</f>
        <v/>
      </c>
      <c r="E104" s="43"/>
      <c r="F104" s="43"/>
      <c r="G104" s="43"/>
      <c r="H104" s="42" t="str">
        <f aca="false">IF(AND(ISNUMBER(E104),E104&gt;0),N(G104)/E104,"")</f>
        <v/>
      </c>
      <c r="I104" s="43"/>
      <c r="J104" s="43"/>
      <c r="K104" s="43"/>
      <c r="L104" s="42" t="str">
        <f aca="false">IF(AND(ISNUMBER(I104),I104&gt;0),N(K104)/I104,"")</f>
        <v/>
      </c>
      <c r="M104" s="43"/>
      <c r="N104" s="43"/>
      <c r="O104" s="43"/>
      <c r="P104" s="42" t="str">
        <f aca="false">IF(AND(ISNUMBER(M104),M104&gt;0),N(O104)/M104,"")</f>
        <v/>
      </c>
      <c r="Q104" s="43"/>
      <c r="R104" s="43"/>
      <c r="S104" s="42" t="str">
        <f aca="false">IF(AND(ISNUMBER(Q104),Q104&gt;0),N(R104)/Q104,"")</f>
        <v/>
      </c>
      <c r="T104" s="43"/>
      <c r="U104" s="43"/>
      <c r="V104" s="42" t="str">
        <f aca="false">IF(AND(ISNUMBER(T104),T104&gt;0),N(U104)/T104,"")</f>
        <v/>
      </c>
      <c r="W104" s="41"/>
      <c r="X104" s="43"/>
      <c r="Y104" s="41"/>
      <c r="Z104" s="41"/>
      <c r="AA104" s="44"/>
      <c r="AB104" s="44"/>
      <c r="AC104" s="45"/>
      <c r="AD104" s="46"/>
      <c r="AE104" s="46"/>
    </row>
    <row r="105" customFormat="false" ht="15" hidden="false" customHeight="false" outlineLevel="0" collapsed="false">
      <c r="A105" s="40"/>
      <c r="B105" s="41"/>
      <c r="C105" s="41"/>
      <c r="D105" s="42" t="str">
        <f aca="false">IF(N(B105)&gt;0,1-N(C105)/(B105*Config!$B$15),"")</f>
        <v/>
      </c>
      <c r="E105" s="43"/>
      <c r="F105" s="43"/>
      <c r="G105" s="43"/>
      <c r="H105" s="42" t="str">
        <f aca="false">IF(AND(ISNUMBER(E105),E105&gt;0),N(G105)/E105,"")</f>
        <v/>
      </c>
      <c r="I105" s="43"/>
      <c r="J105" s="43"/>
      <c r="K105" s="43"/>
      <c r="L105" s="42" t="str">
        <f aca="false">IF(AND(ISNUMBER(I105),I105&gt;0),N(K105)/I105,"")</f>
        <v/>
      </c>
      <c r="M105" s="43"/>
      <c r="N105" s="43"/>
      <c r="O105" s="43"/>
      <c r="P105" s="42" t="str">
        <f aca="false">IF(AND(ISNUMBER(M105),M105&gt;0),N(O105)/M105,"")</f>
        <v/>
      </c>
      <c r="Q105" s="43"/>
      <c r="R105" s="43"/>
      <c r="S105" s="42" t="str">
        <f aca="false">IF(AND(ISNUMBER(Q105),Q105&gt;0),N(R105)/Q105,"")</f>
        <v/>
      </c>
      <c r="T105" s="43"/>
      <c r="U105" s="43"/>
      <c r="V105" s="42" t="str">
        <f aca="false">IF(AND(ISNUMBER(T105),T105&gt;0),N(U105)/T105,"")</f>
        <v/>
      </c>
      <c r="W105" s="41"/>
      <c r="X105" s="43"/>
      <c r="Y105" s="41"/>
      <c r="Z105" s="41"/>
      <c r="AA105" s="44"/>
      <c r="AB105" s="44"/>
      <c r="AC105" s="45"/>
      <c r="AD105" s="46"/>
      <c r="AE105" s="46"/>
    </row>
    <row r="106" customFormat="false" ht="15" hidden="false" customHeight="false" outlineLevel="0" collapsed="false">
      <c r="A106" s="40"/>
      <c r="B106" s="41"/>
      <c r="C106" s="41"/>
      <c r="D106" s="42" t="str">
        <f aca="false">IF(N(B106)&gt;0,1-N(C106)/(B106*Config!$B$15),"")</f>
        <v/>
      </c>
      <c r="E106" s="43"/>
      <c r="F106" s="43"/>
      <c r="G106" s="43"/>
      <c r="H106" s="42" t="str">
        <f aca="false">IF(AND(ISNUMBER(E106),E106&gt;0),N(G106)/E106,"")</f>
        <v/>
      </c>
      <c r="I106" s="43"/>
      <c r="J106" s="43"/>
      <c r="K106" s="43"/>
      <c r="L106" s="42" t="str">
        <f aca="false">IF(AND(ISNUMBER(I106),I106&gt;0),N(K106)/I106,"")</f>
        <v/>
      </c>
      <c r="M106" s="43"/>
      <c r="N106" s="43"/>
      <c r="O106" s="43"/>
      <c r="P106" s="42" t="str">
        <f aca="false">IF(AND(ISNUMBER(M106),M106&gt;0),N(O106)/M106,"")</f>
        <v/>
      </c>
      <c r="Q106" s="43"/>
      <c r="R106" s="43"/>
      <c r="S106" s="42" t="str">
        <f aca="false">IF(AND(ISNUMBER(Q106),Q106&gt;0),N(R106)/Q106,"")</f>
        <v/>
      </c>
      <c r="T106" s="43"/>
      <c r="U106" s="43"/>
      <c r="V106" s="42" t="str">
        <f aca="false">IF(AND(ISNUMBER(T106),T106&gt;0),N(U106)/T106,"")</f>
        <v/>
      </c>
      <c r="W106" s="41"/>
      <c r="X106" s="43"/>
      <c r="Y106" s="41"/>
      <c r="Z106" s="41"/>
      <c r="AA106" s="44"/>
      <c r="AB106" s="44"/>
      <c r="AC106" s="45"/>
      <c r="AD106" s="46"/>
      <c r="AE106" s="46"/>
    </row>
    <row r="107" customFormat="false" ht="15" hidden="false" customHeight="false" outlineLevel="0" collapsed="false">
      <c r="A107" s="40"/>
      <c r="B107" s="41"/>
      <c r="C107" s="41"/>
      <c r="D107" s="42" t="str">
        <f aca="false">IF(N(B107)&gt;0,1-N(C107)/(B107*Config!$B$15),"")</f>
        <v/>
      </c>
      <c r="E107" s="43"/>
      <c r="F107" s="43"/>
      <c r="G107" s="43"/>
      <c r="H107" s="42" t="str">
        <f aca="false">IF(AND(ISNUMBER(E107),E107&gt;0),N(G107)/E107,"")</f>
        <v/>
      </c>
      <c r="I107" s="43"/>
      <c r="J107" s="43"/>
      <c r="K107" s="43"/>
      <c r="L107" s="42" t="str">
        <f aca="false">IF(AND(ISNUMBER(I107),I107&gt;0),N(K107)/I107,"")</f>
        <v/>
      </c>
      <c r="M107" s="43"/>
      <c r="N107" s="43"/>
      <c r="O107" s="43"/>
      <c r="P107" s="42" t="str">
        <f aca="false">IF(AND(ISNUMBER(M107),M107&gt;0),N(O107)/M107,"")</f>
        <v/>
      </c>
      <c r="Q107" s="43"/>
      <c r="R107" s="43"/>
      <c r="S107" s="42" t="str">
        <f aca="false">IF(AND(ISNUMBER(Q107),Q107&gt;0),N(R107)/Q107,"")</f>
        <v/>
      </c>
      <c r="T107" s="43"/>
      <c r="U107" s="43"/>
      <c r="V107" s="42" t="str">
        <f aca="false">IF(AND(ISNUMBER(T107),T107&gt;0),N(U107)/T107,"")</f>
        <v/>
      </c>
      <c r="W107" s="41"/>
      <c r="X107" s="43"/>
      <c r="Y107" s="41"/>
      <c r="Z107" s="41"/>
      <c r="AA107" s="44"/>
      <c r="AB107" s="44"/>
      <c r="AC107" s="45"/>
      <c r="AD107" s="46"/>
      <c r="AE107" s="46"/>
    </row>
    <row r="108" customFormat="false" ht="15" hidden="false" customHeight="false" outlineLevel="0" collapsed="false">
      <c r="A108" s="40"/>
      <c r="B108" s="41"/>
      <c r="C108" s="41"/>
      <c r="D108" s="42" t="str">
        <f aca="false">IF(N(B108)&gt;0,1-N(C108)/(B108*Config!$B$15),"")</f>
        <v/>
      </c>
      <c r="E108" s="43"/>
      <c r="F108" s="43"/>
      <c r="G108" s="43"/>
      <c r="H108" s="42" t="str">
        <f aca="false">IF(AND(ISNUMBER(E108),E108&gt;0),N(G108)/E108,"")</f>
        <v/>
      </c>
      <c r="I108" s="43"/>
      <c r="J108" s="43"/>
      <c r="K108" s="43"/>
      <c r="L108" s="42" t="str">
        <f aca="false">IF(AND(ISNUMBER(I108),I108&gt;0),N(K108)/I108,"")</f>
        <v/>
      </c>
      <c r="M108" s="43"/>
      <c r="N108" s="43"/>
      <c r="O108" s="43"/>
      <c r="P108" s="42" t="str">
        <f aca="false">IF(AND(ISNUMBER(M108),M108&gt;0),N(O108)/M108,"")</f>
        <v/>
      </c>
      <c r="Q108" s="43"/>
      <c r="R108" s="43"/>
      <c r="S108" s="42" t="str">
        <f aca="false">IF(AND(ISNUMBER(Q108),Q108&gt;0),N(R108)/Q108,"")</f>
        <v/>
      </c>
      <c r="T108" s="43"/>
      <c r="U108" s="43"/>
      <c r="V108" s="42" t="str">
        <f aca="false">IF(AND(ISNUMBER(T108),T108&gt;0),N(U108)/T108,"")</f>
        <v/>
      </c>
      <c r="W108" s="41"/>
      <c r="X108" s="43"/>
      <c r="Y108" s="41"/>
      <c r="Z108" s="41"/>
      <c r="AA108" s="44"/>
      <c r="AB108" s="44"/>
      <c r="AC108" s="45"/>
      <c r="AD108" s="46"/>
      <c r="AE108" s="46"/>
    </row>
    <row r="109" customFormat="false" ht="15" hidden="false" customHeight="false" outlineLevel="0" collapsed="false">
      <c r="A109" s="40"/>
      <c r="B109" s="41"/>
      <c r="C109" s="41"/>
      <c r="D109" s="42" t="str">
        <f aca="false">IF(N(B109)&gt;0,1-N(C109)/(B109*Config!$B$15),"")</f>
        <v/>
      </c>
      <c r="E109" s="43"/>
      <c r="F109" s="43"/>
      <c r="G109" s="43"/>
      <c r="H109" s="42" t="str">
        <f aca="false">IF(AND(ISNUMBER(E109),E109&gt;0),N(G109)/E109,"")</f>
        <v/>
      </c>
      <c r="I109" s="43"/>
      <c r="J109" s="43"/>
      <c r="K109" s="43"/>
      <c r="L109" s="42" t="str">
        <f aca="false">IF(AND(ISNUMBER(I109),I109&gt;0),N(K109)/I109,"")</f>
        <v/>
      </c>
      <c r="M109" s="43"/>
      <c r="N109" s="43"/>
      <c r="O109" s="43"/>
      <c r="P109" s="42" t="str">
        <f aca="false">IF(AND(ISNUMBER(M109),M109&gt;0),N(O109)/M109,"")</f>
        <v/>
      </c>
      <c r="Q109" s="43"/>
      <c r="R109" s="43"/>
      <c r="S109" s="42" t="str">
        <f aca="false">IF(AND(ISNUMBER(Q109),Q109&gt;0),N(R109)/Q109,"")</f>
        <v/>
      </c>
      <c r="T109" s="43"/>
      <c r="U109" s="43"/>
      <c r="V109" s="42" t="str">
        <f aca="false">IF(AND(ISNUMBER(T109),T109&gt;0),N(U109)/T109,"")</f>
        <v/>
      </c>
      <c r="W109" s="41"/>
      <c r="X109" s="43"/>
      <c r="Y109" s="41"/>
      <c r="Z109" s="41"/>
      <c r="AA109" s="44"/>
      <c r="AB109" s="44"/>
      <c r="AC109" s="45"/>
      <c r="AD109" s="46"/>
      <c r="AE109" s="46"/>
    </row>
    <row r="110" customFormat="false" ht="15" hidden="false" customHeight="false" outlineLevel="0" collapsed="false">
      <c r="A110" s="40"/>
      <c r="B110" s="41"/>
      <c r="C110" s="41"/>
      <c r="D110" s="42" t="str">
        <f aca="false">IF(N(B110)&gt;0,1-N(C110)/(B110*Config!$B$15),"")</f>
        <v/>
      </c>
      <c r="E110" s="43"/>
      <c r="F110" s="43"/>
      <c r="G110" s="43"/>
      <c r="H110" s="42" t="str">
        <f aca="false">IF(AND(ISNUMBER(E110),E110&gt;0),N(G110)/E110,"")</f>
        <v/>
      </c>
      <c r="I110" s="43"/>
      <c r="J110" s="43"/>
      <c r="K110" s="43"/>
      <c r="L110" s="42" t="str">
        <f aca="false">IF(AND(ISNUMBER(I110),I110&gt;0),N(K110)/I110,"")</f>
        <v/>
      </c>
      <c r="M110" s="43"/>
      <c r="N110" s="43"/>
      <c r="O110" s="43"/>
      <c r="P110" s="42" t="str">
        <f aca="false">IF(AND(ISNUMBER(M110),M110&gt;0),N(O110)/M110,"")</f>
        <v/>
      </c>
      <c r="Q110" s="43"/>
      <c r="R110" s="43"/>
      <c r="S110" s="42" t="str">
        <f aca="false">IF(AND(ISNUMBER(Q110),Q110&gt;0),N(R110)/Q110,"")</f>
        <v/>
      </c>
      <c r="T110" s="43"/>
      <c r="U110" s="43"/>
      <c r="V110" s="42" t="str">
        <f aca="false">IF(AND(ISNUMBER(T110),T110&gt;0),N(U110)/T110,"")</f>
        <v/>
      </c>
      <c r="W110" s="41"/>
      <c r="X110" s="43"/>
      <c r="Y110" s="41"/>
      <c r="Z110" s="41"/>
      <c r="AA110" s="44"/>
      <c r="AB110" s="44"/>
      <c r="AC110" s="45"/>
      <c r="AD110" s="46"/>
      <c r="AE110" s="46"/>
    </row>
    <row r="111" customFormat="false" ht="15" hidden="false" customHeight="false" outlineLevel="0" collapsed="false">
      <c r="A111" s="40"/>
      <c r="B111" s="41"/>
      <c r="C111" s="41"/>
      <c r="D111" s="42" t="str">
        <f aca="false">IF(N(B111)&gt;0,1-N(C111)/(B111*Config!$B$15),"")</f>
        <v/>
      </c>
      <c r="E111" s="43"/>
      <c r="F111" s="43"/>
      <c r="G111" s="43"/>
      <c r="H111" s="42" t="str">
        <f aca="false">IF(AND(ISNUMBER(E111),E111&gt;0),N(G111)/E111,"")</f>
        <v/>
      </c>
      <c r="I111" s="43"/>
      <c r="J111" s="43"/>
      <c r="K111" s="43"/>
      <c r="L111" s="42" t="str">
        <f aca="false">IF(AND(ISNUMBER(I111),I111&gt;0),N(K111)/I111,"")</f>
        <v/>
      </c>
      <c r="M111" s="43"/>
      <c r="N111" s="43"/>
      <c r="O111" s="43"/>
      <c r="P111" s="42" t="str">
        <f aca="false">IF(AND(ISNUMBER(M111),M111&gt;0),N(O111)/M111,"")</f>
        <v/>
      </c>
      <c r="Q111" s="43"/>
      <c r="R111" s="43"/>
      <c r="S111" s="42" t="str">
        <f aca="false">IF(AND(ISNUMBER(Q111),Q111&gt;0),N(R111)/Q111,"")</f>
        <v/>
      </c>
      <c r="T111" s="43"/>
      <c r="U111" s="43"/>
      <c r="V111" s="42" t="str">
        <f aca="false">IF(AND(ISNUMBER(T111),T111&gt;0),N(U111)/T111,"")</f>
        <v/>
      </c>
      <c r="W111" s="41"/>
      <c r="X111" s="43"/>
      <c r="Y111" s="41"/>
      <c r="Z111" s="41"/>
      <c r="AA111" s="44"/>
      <c r="AB111" s="44"/>
      <c r="AC111" s="45"/>
      <c r="AD111" s="46"/>
      <c r="AE111" s="46"/>
    </row>
    <row r="112" customFormat="false" ht="15" hidden="false" customHeight="false" outlineLevel="0" collapsed="false">
      <c r="A112" s="40"/>
      <c r="B112" s="41"/>
      <c r="C112" s="41"/>
      <c r="D112" s="42" t="str">
        <f aca="false">IF(N(B112)&gt;0,1-N(C112)/(B112*Config!$B$15),"")</f>
        <v/>
      </c>
      <c r="E112" s="43"/>
      <c r="F112" s="43"/>
      <c r="G112" s="43"/>
      <c r="H112" s="42" t="str">
        <f aca="false">IF(AND(ISNUMBER(E112),E112&gt;0),N(G112)/E112,"")</f>
        <v/>
      </c>
      <c r="I112" s="43"/>
      <c r="J112" s="43"/>
      <c r="K112" s="43"/>
      <c r="L112" s="42" t="str">
        <f aca="false">IF(AND(ISNUMBER(I112),I112&gt;0),N(K112)/I112,"")</f>
        <v/>
      </c>
      <c r="M112" s="43"/>
      <c r="N112" s="43"/>
      <c r="O112" s="43"/>
      <c r="P112" s="42" t="str">
        <f aca="false">IF(AND(ISNUMBER(M112),M112&gt;0),N(O112)/M112,"")</f>
        <v/>
      </c>
      <c r="Q112" s="43"/>
      <c r="R112" s="43"/>
      <c r="S112" s="42" t="str">
        <f aca="false">IF(AND(ISNUMBER(Q112),Q112&gt;0),N(R112)/Q112,"")</f>
        <v/>
      </c>
      <c r="T112" s="43"/>
      <c r="U112" s="43"/>
      <c r="V112" s="42" t="str">
        <f aca="false">IF(AND(ISNUMBER(T112),T112&gt;0),N(U112)/T112,"")</f>
        <v/>
      </c>
      <c r="W112" s="41"/>
      <c r="X112" s="43"/>
      <c r="Y112" s="41"/>
      <c r="Z112" s="41"/>
      <c r="AA112" s="44"/>
      <c r="AB112" s="44"/>
      <c r="AC112" s="45"/>
      <c r="AD112" s="46"/>
      <c r="AE112" s="46"/>
    </row>
    <row r="113" customFormat="false" ht="15" hidden="false" customHeight="false" outlineLevel="0" collapsed="false">
      <c r="A113" s="40"/>
      <c r="B113" s="41"/>
      <c r="C113" s="41"/>
      <c r="D113" s="42" t="str">
        <f aca="false">IF(N(B113)&gt;0,1-N(C113)/(B113*Config!$B$15),"")</f>
        <v/>
      </c>
      <c r="E113" s="43"/>
      <c r="F113" s="43"/>
      <c r="G113" s="43"/>
      <c r="H113" s="42" t="str">
        <f aca="false">IF(AND(ISNUMBER(E113),E113&gt;0),N(G113)/E113,"")</f>
        <v/>
      </c>
      <c r="I113" s="43"/>
      <c r="J113" s="43"/>
      <c r="K113" s="43"/>
      <c r="L113" s="42" t="str">
        <f aca="false">IF(AND(ISNUMBER(I113),I113&gt;0),N(K113)/I113,"")</f>
        <v/>
      </c>
      <c r="M113" s="43"/>
      <c r="N113" s="43"/>
      <c r="O113" s="43"/>
      <c r="P113" s="42" t="str">
        <f aca="false">IF(AND(ISNUMBER(M113),M113&gt;0),N(O113)/M113,"")</f>
        <v/>
      </c>
      <c r="Q113" s="43"/>
      <c r="R113" s="43"/>
      <c r="S113" s="42" t="str">
        <f aca="false">IF(AND(ISNUMBER(Q113),Q113&gt;0),N(R113)/Q113,"")</f>
        <v/>
      </c>
      <c r="T113" s="43"/>
      <c r="U113" s="43"/>
      <c r="V113" s="42" t="str">
        <f aca="false">IF(AND(ISNUMBER(T113),T113&gt;0),N(U113)/T113,"")</f>
        <v/>
      </c>
      <c r="W113" s="41"/>
      <c r="X113" s="43"/>
      <c r="Y113" s="41"/>
      <c r="Z113" s="41"/>
      <c r="AA113" s="44"/>
      <c r="AB113" s="44"/>
      <c r="AC113" s="45"/>
      <c r="AD113" s="46"/>
      <c r="AE113" s="46"/>
    </row>
    <row r="114" customFormat="false" ht="15" hidden="false" customHeight="false" outlineLevel="0" collapsed="false">
      <c r="A114" s="40"/>
      <c r="B114" s="41"/>
      <c r="C114" s="41"/>
      <c r="D114" s="42" t="str">
        <f aca="false">IF(N(B114)&gt;0,1-N(C114)/(B114*Config!$B$15),"")</f>
        <v/>
      </c>
      <c r="E114" s="43"/>
      <c r="F114" s="43"/>
      <c r="G114" s="43"/>
      <c r="H114" s="42" t="str">
        <f aca="false">IF(AND(ISNUMBER(E114),E114&gt;0),N(G114)/E114,"")</f>
        <v/>
      </c>
      <c r="I114" s="43"/>
      <c r="J114" s="43"/>
      <c r="K114" s="43"/>
      <c r="L114" s="42" t="str">
        <f aca="false">IF(AND(ISNUMBER(I114),I114&gt;0),N(K114)/I114,"")</f>
        <v/>
      </c>
      <c r="M114" s="43"/>
      <c r="N114" s="43"/>
      <c r="O114" s="43"/>
      <c r="P114" s="42" t="str">
        <f aca="false">IF(AND(ISNUMBER(M114),M114&gt;0),N(O114)/M114,"")</f>
        <v/>
      </c>
      <c r="Q114" s="43"/>
      <c r="R114" s="43"/>
      <c r="S114" s="42" t="str">
        <f aca="false">IF(AND(ISNUMBER(Q114),Q114&gt;0),N(R114)/Q114,"")</f>
        <v/>
      </c>
      <c r="T114" s="43"/>
      <c r="U114" s="43"/>
      <c r="V114" s="42" t="str">
        <f aca="false">IF(AND(ISNUMBER(T114),T114&gt;0),N(U114)/T114,"")</f>
        <v/>
      </c>
      <c r="W114" s="41"/>
      <c r="X114" s="43"/>
      <c r="Y114" s="41"/>
      <c r="Z114" s="41"/>
      <c r="AA114" s="44"/>
      <c r="AB114" s="44"/>
      <c r="AC114" s="45"/>
      <c r="AD114" s="46"/>
      <c r="AE114" s="46"/>
    </row>
    <row r="115" customFormat="false" ht="15" hidden="false" customHeight="false" outlineLevel="0" collapsed="false">
      <c r="A115" s="40"/>
      <c r="B115" s="41"/>
      <c r="C115" s="41"/>
      <c r="D115" s="42" t="str">
        <f aca="false">IF(N(B115)&gt;0,1-N(C115)/(B115*Config!$B$15),"")</f>
        <v/>
      </c>
      <c r="E115" s="43"/>
      <c r="F115" s="43"/>
      <c r="G115" s="43"/>
      <c r="H115" s="42" t="str">
        <f aca="false">IF(AND(ISNUMBER(E115),E115&gt;0),N(G115)/E115,"")</f>
        <v/>
      </c>
      <c r="I115" s="43"/>
      <c r="J115" s="43"/>
      <c r="K115" s="43"/>
      <c r="L115" s="42" t="str">
        <f aca="false">IF(AND(ISNUMBER(I115),I115&gt;0),N(K115)/I115,"")</f>
        <v/>
      </c>
      <c r="M115" s="43"/>
      <c r="N115" s="43"/>
      <c r="O115" s="43"/>
      <c r="P115" s="42" t="str">
        <f aca="false">IF(AND(ISNUMBER(M115),M115&gt;0),N(O115)/M115,"")</f>
        <v/>
      </c>
      <c r="Q115" s="43"/>
      <c r="R115" s="43"/>
      <c r="S115" s="42" t="str">
        <f aca="false">IF(AND(ISNUMBER(Q115),Q115&gt;0),N(R115)/Q115,"")</f>
        <v/>
      </c>
      <c r="T115" s="43"/>
      <c r="U115" s="43"/>
      <c r="V115" s="42" t="str">
        <f aca="false">IF(AND(ISNUMBER(T115),T115&gt;0),N(U115)/T115,"")</f>
        <v/>
      </c>
      <c r="W115" s="41"/>
      <c r="X115" s="43"/>
      <c r="Y115" s="41"/>
      <c r="Z115" s="41"/>
      <c r="AA115" s="44"/>
      <c r="AB115" s="44"/>
      <c r="AC115" s="45"/>
      <c r="AD115" s="46"/>
      <c r="AE115" s="46"/>
    </row>
    <row r="116" customFormat="false" ht="15" hidden="false" customHeight="false" outlineLevel="0" collapsed="false">
      <c r="A116" s="40"/>
      <c r="B116" s="41"/>
      <c r="C116" s="41"/>
      <c r="D116" s="42" t="str">
        <f aca="false">IF(N(B116)&gt;0,1-N(C116)/(B116*Config!$B$15),"")</f>
        <v/>
      </c>
      <c r="E116" s="43"/>
      <c r="F116" s="43"/>
      <c r="G116" s="43"/>
      <c r="H116" s="42" t="str">
        <f aca="false">IF(AND(ISNUMBER(E116),E116&gt;0),N(G116)/E116,"")</f>
        <v/>
      </c>
      <c r="I116" s="43"/>
      <c r="J116" s="43"/>
      <c r="K116" s="43"/>
      <c r="L116" s="42" t="str">
        <f aca="false">IF(AND(ISNUMBER(I116),I116&gt;0),N(K116)/I116,"")</f>
        <v/>
      </c>
      <c r="M116" s="43"/>
      <c r="N116" s="43"/>
      <c r="O116" s="43"/>
      <c r="P116" s="42" t="str">
        <f aca="false">IF(AND(ISNUMBER(M116),M116&gt;0),N(O116)/M116,"")</f>
        <v/>
      </c>
      <c r="Q116" s="43"/>
      <c r="R116" s="43"/>
      <c r="S116" s="42" t="str">
        <f aca="false">IF(AND(ISNUMBER(Q116),Q116&gt;0),N(R116)/Q116,"")</f>
        <v/>
      </c>
      <c r="T116" s="43"/>
      <c r="U116" s="43"/>
      <c r="V116" s="42" t="str">
        <f aca="false">IF(AND(ISNUMBER(T116),T116&gt;0),N(U116)/T116,"")</f>
        <v/>
      </c>
      <c r="W116" s="41"/>
      <c r="X116" s="43"/>
      <c r="Y116" s="41"/>
      <c r="Z116" s="41"/>
      <c r="AA116" s="44"/>
      <c r="AB116" s="44"/>
      <c r="AC116" s="45"/>
      <c r="AD116" s="46"/>
      <c r="AE116" s="46"/>
    </row>
    <row r="117" customFormat="false" ht="15" hidden="false" customHeight="false" outlineLevel="0" collapsed="false">
      <c r="A117" s="40"/>
      <c r="B117" s="41"/>
      <c r="C117" s="41"/>
      <c r="D117" s="42" t="str">
        <f aca="false">IF(N(B117)&gt;0,1-N(C117)/(B117*Config!$B$15),"")</f>
        <v/>
      </c>
      <c r="E117" s="43"/>
      <c r="F117" s="43"/>
      <c r="G117" s="43"/>
      <c r="H117" s="42" t="str">
        <f aca="false">IF(AND(ISNUMBER(E117),E117&gt;0),N(G117)/E117,"")</f>
        <v/>
      </c>
      <c r="I117" s="43"/>
      <c r="J117" s="43"/>
      <c r="K117" s="43"/>
      <c r="L117" s="42" t="str">
        <f aca="false">IF(AND(ISNUMBER(I117),I117&gt;0),N(K117)/I117,"")</f>
        <v/>
      </c>
      <c r="M117" s="43"/>
      <c r="N117" s="43"/>
      <c r="O117" s="43"/>
      <c r="P117" s="42" t="str">
        <f aca="false">IF(AND(ISNUMBER(M117),M117&gt;0),N(O117)/M117,"")</f>
        <v/>
      </c>
      <c r="Q117" s="43"/>
      <c r="R117" s="43"/>
      <c r="S117" s="42" t="str">
        <f aca="false">IF(AND(ISNUMBER(Q117),Q117&gt;0),N(R117)/Q117,"")</f>
        <v/>
      </c>
      <c r="T117" s="43"/>
      <c r="U117" s="43"/>
      <c r="V117" s="42" t="str">
        <f aca="false">IF(AND(ISNUMBER(T117),T117&gt;0),N(U117)/T117,"")</f>
        <v/>
      </c>
      <c r="W117" s="41"/>
      <c r="X117" s="43"/>
      <c r="Y117" s="41"/>
      <c r="Z117" s="41"/>
      <c r="AA117" s="44"/>
      <c r="AB117" s="44"/>
      <c r="AC117" s="45"/>
      <c r="AD117" s="46"/>
      <c r="AE117" s="46"/>
    </row>
    <row r="118" customFormat="false" ht="15" hidden="false" customHeight="false" outlineLevel="0" collapsed="false">
      <c r="A118" s="40"/>
      <c r="B118" s="41"/>
      <c r="C118" s="41"/>
      <c r="D118" s="42" t="str">
        <f aca="false">IF(N(B118)&gt;0,1-N(C118)/(B118*Config!$B$15),"")</f>
        <v/>
      </c>
      <c r="E118" s="43"/>
      <c r="F118" s="43"/>
      <c r="G118" s="43"/>
      <c r="H118" s="42" t="str">
        <f aca="false">IF(AND(ISNUMBER(E118),E118&gt;0),N(G118)/E118,"")</f>
        <v/>
      </c>
      <c r="I118" s="43"/>
      <c r="J118" s="43"/>
      <c r="K118" s="43"/>
      <c r="L118" s="42" t="str">
        <f aca="false">IF(AND(ISNUMBER(I118),I118&gt;0),N(K118)/I118,"")</f>
        <v/>
      </c>
      <c r="M118" s="43"/>
      <c r="N118" s="43"/>
      <c r="O118" s="43"/>
      <c r="P118" s="42" t="str">
        <f aca="false">IF(AND(ISNUMBER(M118),M118&gt;0),N(O118)/M118,"")</f>
        <v/>
      </c>
      <c r="Q118" s="43"/>
      <c r="R118" s="43"/>
      <c r="S118" s="42" t="str">
        <f aca="false">IF(AND(ISNUMBER(Q118),Q118&gt;0),N(R118)/Q118,"")</f>
        <v/>
      </c>
      <c r="T118" s="43"/>
      <c r="U118" s="43"/>
      <c r="V118" s="42" t="str">
        <f aca="false">IF(AND(ISNUMBER(T118),T118&gt;0),N(U118)/T118,"")</f>
        <v/>
      </c>
      <c r="W118" s="41"/>
      <c r="X118" s="43"/>
      <c r="Y118" s="41"/>
      <c r="Z118" s="41"/>
      <c r="AA118" s="44"/>
      <c r="AB118" s="44"/>
      <c r="AC118" s="45"/>
      <c r="AD118" s="46"/>
      <c r="AE118" s="46"/>
    </row>
    <row r="119" customFormat="false" ht="15" hidden="false" customHeight="false" outlineLevel="0" collapsed="false">
      <c r="A119" s="40"/>
      <c r="B119" s="41"/>
      <c r="C119" s="41"/>
      <c r="D119" s="42" t="str">
        <f aca="false">IF(N(B119)&gt;0,1-N(C119)/(B119*Config!$B$15),"")</f>
        <v/>
      </c>
      <c r="E119" s="43"/>
      <c r="F119" s="43"/>
      <c r="G119" s="43"/>
      <c r="H119" s="42" t="str">
        <f aca="false">IF(AND(ISNUMBER(E119),E119&gt;0),N(G119)/E119,"")</f>
        <v/>
      </c>
      <c r="I119" s="43"/>
      <c r="J119" s="43"/>
      <c r="K119" s="43"/>
      <c r="L119" s="42" t="str">
        <f aca="false">IF(AND(ISNUMBER(I119),I119&gt;0),N(K119)/I119,"")</f>
        <v/>
      </c>
      <c r="M119" s="43"/>
      <c r="N119" s="43"/>
      <c r="O119" s="43"/>
      <c r="P119" s="42" t="str">
        <f aca="false">IF(AND(ISNUMBER(M119),M119&gt;0),N(O119)/M119,"")</f>
        <v/>
      </c>
      <c r="Q119" s="43"/>
      <c r="R119" s="43"/>
      <c r="S119" s="42" t="str">
        <f aca="false">IF(AND(ISNUMBER(Q119),Q119&gt;0),N(R119)/Q119,"")</f>
        <v/>
      </c>
      <c r="T119" s="43"/>
      <c r="U119" s="43"/>
      <c r="V119" s="42" t="str">
        <f aca="false">IF(AND(ISNUMBER(T119),T119&gt;0),N(U119)/T119,"")</f>
        <v/>
      </c>
      <c r="W119" s="41"/>
      <c r="X119" s="43"/>
      <c r="Y119" s="41"/>
      <c r="Z119" s="41"/>
      <c r="AA119" s="44"/>
      <c r="AB119" s="44"/>
      <c r="AC119" s="45"/>
      <c r="AD119" s="46"/>
      <c r="AE119" s="46"/>
    </row>
    <row r="120" customFormat="false" ht="15" hidden="false" customHeight="false" outlineLevel="0" collapsed="false">
      <c r="A120" s="40"/>
      <c r="B120" s="41"/>
      <c r="C120" s="41"/>
      <c r="D120" s="42" t="str">
        <f aca="false">IF(N(B120)&gt;0,1-N(C120)/(B120*Config!$B$15),"")</f>
        <v/>
      </c>
      <c r="E120" s="43"/>
      <c r="F120" s="43"/>
      <c r="G120" s="43"/>
      <c r="H120" s="42" t="str">
        <f aca="false">IF(AND(ISNUMBER(E120),E120&gt;0),N(G120)/E120,"")</f>
        <v/>
      </c>
      <c r="I120" s="43"/>
      <c r="J120" s="43"/>
      <c r="K120" s="43"/>
      <c r="L120" s="42" t="str">
        <f aca="false">IF(AND(ISNUMBER(I120),I120&gt;0),N(K120)/I120,"")</f>
        <v/>
      </c>
      <c r="M120" s="43"/>
      <c r="N120" s="43"/>
      <c r="O120" s="43"/>
      <c r="P120" s="42" t="str">
        <f aca="false">IF(AND(ISNUMBER(M120),M120&gt;0),N(O120)/M120,"")</f>
        <v/>
      </c>
      <c r="Q120" s="43"/>
      <c r="R120" s="43"/>
      <c r="S120" s="42" t="str">
        <f aca="false">IF(AND(ISNUMBER(Q120),Q120&gt;0),N(R120)/Q120,"")</f>
        <v/>
      </c>
      <c r="T120" s="43"/>
      <c r="U120" s="43"/>
      <c r="V120" s="42" t="str">
        <f aca="false">IF(AND(ISNUMBER(T120),T120&gt;0),N(U120)/T120,"")</f>
        <v/>
      </c>
      <c r="W120" s="41"/>
      <c r="X120" s="43"/>
      <c r="Y120" s="41"/>
      <c r="Z120" s="41"/>
      <c r="AA120" s="44"/>
      <c r="AB120" s="44"/>
      <c r="AC120" s="45"/>
      <c r="AD120" s="46"/>
      <c r="AE120" s="46"/>
    </row>
    <row r="121" customFormat="false" ht="15" hidden="false" customHeight="false" outlineLevel="0" collapsed="false">
      <c r="A121" s="40"/>
      <c r="B121" s="41"/>
      <c r="C121" s="41"/>
      <c r="D121" s="42" t="str">
        <f aca="false">IF(N(B121)&gt;0,1-N(C121)/(B121*Config!$B$15),"")</f>
        <v/>
      </c>
      <c r="E121" s="43"/>
      <c r="F121" s="43"/>
      <c r="G121" s="43"/>
      <c r="H121" s="42" t="str">
        <f aca="false">IF(AND(ISNUMBER(E121),E121&gt;0),N(G121)/E121,"")</f>
        <v/>
      </c>
      <c r="I121" s="43"/>
      <c r="J121" s="43"/>
      <c r="K121" s="43"/>
      <c r="L121" s="42" t="str">
        <f aca="false">IF(AND(ISNUMBER(I121),I121&gt;0),N(K121)/I121,"")</f>
        <v/>
      </c>
      <c r="M121" s="43"/>
      <c r="N121" s="43"/>
      <c r="O121" s="43"/>
      <c r="P121" s="42" t="str">
        <f aca="false">IF(AND(ISNUMBER(M121),M121&gt;0),N(O121)/M121,"")</f>
        <v/>
      </c>
      <c r="Q121" s="43"/>
      <c r="R121" s="43"/>
      <c r="S121" s="42" t="str">
        <f aca="false">IF(AND(ISNUMBER(Q121),Q121&gt;0),N(R121)/Q121,"")</f>
        <v/>
      </c>
      <c r="T121" s="43"/>
      <c r="U121" s="43"/>
      <c r="V121" s="42" t="str">
        <f aca="false">IF(AND(ISNUMBER(T121),T121&gt;0),N(U121)/T121,"")</f>
        <v/>
      </c>
      <c r="W121" s="41"/>
      <c r="X121" s="43"/>
      <c r="Y121" s="41"/>
      <c r="Z121" s="41"/>
      <c r="AA121" s="44"/>
      <c r="AB121" s="44"/>
      <c r="AC121" s="45"/>
      <c r="AD121" s="46"/>
      <c r="AE121" s="46"/>
    </row>
    <row r="122" customFormat="false" ht="15" hidden="false" customHeight="false" outlineLevel="0" collapsed="false">
      <c r="A122" s="40"/>
      <c r="B122" s="41"/>
      <c r="C122" s="41"/>
      <c r="D122" s="42" t="str">
        <f aca="false">IF(N(B122)&gt;0,1-N(C122)/(B122*Config!$B$15),"")</f>
        <v/>
      </c>
      <c r="E122" s="43"/>
      <c r="F122" s="43"/>
      <c r="G122" s="43"/>
      <c r="H122" s="42" t="str">
        <f aca="false">IF(AND(ISNUMBER(E122),E122&gt;0),N(G122)/E122,"")</f>
        <v/>
      </c>
      <c r="I122" s="43"/>
      <c r="J122" s="43"/>
      <c r="K122" s="43"/>
      <c r="L122" s="42" t="str">
        <f aca="false">IF(AND(ISNUMBER(I122),I122&gt;0),N(K122)/I122,"")</f>
        <v/>
      </c>
      <c r="M122" s="43"/>
      <c r="N122" s="43"/>
      <c r="O122" s="43"/>
      <c r="P122" s="42" t="str">
        <f aca="false">IF(AND(ISNUMBER(M122),M122&gt;0),N(O122)/M122,"")</f>
        <v/>
      </c>
      <c r="Q122" s="43"/>
      <c r="R122" s="43"/>
      <c r="S122" s="42" t="str">
        <f aca="false">IF(AND(ISNUMBER(Q122),Q122&gt;0),N(R122)/Q122,"")</f>
        <v/>
      </c>
      <c r="T122" s="43"/>
      <c r="U122" s="43"/>
      <c r="V122" s="42" t="str">
        <f aca="false">IF(AND(ISNUMBER(T122),T122&gt;0),N(U122)/T122,"")</f>
        <v/>
      </c>
      <c r="W122" s="41"/>
      <c r="X122" s="43"/>
      <c r="Y122" s="41"/>
      <c r="Z122" s="41"/>
      <c r="AA122" s="44"/>
      <c r="AB122" s="44"/>
      <c r="AC122" s="45"/>
      <c r="AD122" s="46"/>
      <c r="AE122" s="46"/>
    </row>
    <row r="123" customFormat="false" ht="15" hidden="false" customHeight="false" outlineLevel="0" collapsed="false">
      <c r="A123" s="40"/>
      <c r="B123" s="41"/>
      <c r="C123" s="41"/>
      <c r="D123" s="42" t="str">
        <f aca="false">IF(N(B123)&gt;0,1-N(C123)/(B123*Config!$B$15),"")</f>
        <v/>
      </c>
      <c r="E123" s="43"/>
      <c r="F123" s="43"/>
      <c r="G123" s="43"/>
      <c r="H123" s="42" t="str">
        <f aca="false">IF(AND(ISNUMBER(E123),E123&gt;0),N(G123)/E123,"")</f>
        <v/>
      </c>
      <c r="I123" s="43"/>
      <c r="J123" s="43"/>
      <c r="K123" s="43"/>
      <c r="L123" s="42" t="str">
        <f aca="false">IF(AND(ISNUMBER(I123),I123&gt;0),N(K123)/I123,"")</f>
        <v/>
      </c>
      <c r="M123" s="43"/>
      <c r="N123" s="43"/>
      <c r="O123" s="43"/>
      <c r="P123" s="42" t="str">
        <f aca="false">IF(AND(ISNUMBER(M123),M123&gt;0),N(O123)/M123,"")</f>
        <v/>
      </c>
      <c r="Q123" s="43"/>
      <c r="R123" s="43"/>
      <c r="S123" s="42" t="str">
        <f aca="false">IF(AND(ISNUMBER(Q123),Q123&gt;0),N(R123)/Q123,"")</f>
        <v/>
      </c>
      <c r="T123" s="43"/>
      <c r="U123" s="43"/>
      <c r="V123" s="42" t="str">
        <f aca="false">IF(AND(ISNUMBER(T123),T123&gt;0),N(U123)/T123,"")</f>
        <v/>
      </c>
      <c r="W123" s="41"/>
      <c r="X123" s="43"/>
      <c r="Y123" s="41"/>
      <c r="Z123" s="41"/>
      <c r="AA123" s="44"/>
      <c r="AB123" s="44"/>
      <c r="AC123" s="45"/>
      <c r="AD123" s="46"/>
      <c r="AE123" s="46"/>
    </row>
    <row r="124" customFormat="false" ht="15" hidden="false" customHeight="false" outlineLevel="0" collapsed="false">
      <c r="A124" s="40"/>
      <c r="B124" s="41"/>
      <c r="C124" s="41"/>
      <c r="D124" s="42" t="str">
        <f aca="false">IF(N(B124)&gt;0,1-N(C124)/(B124*Config!$B$15),"")</f>
        <v/>
      </c>
      <c r="E124" s="43"/>
      <c r="F124" s="43"/>
      <c r="G124" s="43"/>
      <c r="H124" s="42" t="str">
        <f aca="false">IF(AND(ISNUMBER(E124),E124&gt;0),N(G124)/E124,"")</f>
        <v/>
      </c>
      <c r="I124" s="43"/>
      <c r="J124" s="43"/>
      <c r="K124" s="43"/>
      <c r="L124" s="42" t="str">
        <f aca="false">IF(AND(ISNUMBER(I124),I124&gt;0),N(K124)/I124,"")</f>
        <v/>
      </c>
      <c r="M124" s="43"/>
      <c r="N124" s="43"/>
      <c r="O124" s="43"/>
      <c r="P124" s="42" t="str">
        <f aca="false">IF(AND(ISNUMBER(M124),M124&gt;0),N(O124)/M124,"")</f>
        <v/>
      </c>
      <c r="Q124" s="43"/>
      <c r="R124" s="43"/>
      <c r="S124" s="42" t="str">
        <f aca="false">IF(AND(ISNUMBER(Q124),Q124&gt;0),N(R124)/Q124,"")</f>
        <v/>
      </c>
      <c r="T124" s="43"/>
      <c r="U124" s="43"/>
      <c r="V124" s="42" t="str">
        <f aca="false">IF(AND(ISNUMBER(T124),T124&gt;0),N(U124)/T124,"")</f>
        <v/>
      </c>
      <c r="W124" s="41"/>
      <c r="X124" s="43"/>
      <c r="Y124" s="41"/>
      <c r="Z124" s="41"/>
      <c r="AA124" s="44"/>
      <c r="AB124" s="44"/>
      <c r="AC124" s="45"/>
      <c r="AD124" s="46"/>
      <c r="AE124" s="46"/>
    </row>
    <row r="125" customFormat="false" ht="15" hidden="false" customHeight="false" outlineLevel="0" collapsed="false">
      <c r="A125" s="40"/>
      <c r="B125" s="41"/>
      <c r="C125" s="41"/>
      <c r="D125" s="42" t="str">
        <f aca="false">IF(N(B125)&gt;0,1-N(C125)/(B125*Config!$B$15),"")</f>
        <v/>
      </c>
      <c r="E125" s="43"/>
      <c r="F125" s="43"/>
      <c r="G125" s="43"/>
      <c r="H125" s="42" t="str">
        <f aca="false">IF(AND(ISNUMBER(E125),E125&gt;0),N(G125)/E125,"")</f>
        <v/>
      </c>
      <c r="I125" s="43"/>
      <c r="J125" s="43"/>
      <c r="K125" s="43"/>
      <c r="L125" s="42" t="str">
        <f aca="false">IF(AND(ISNUMBER(I125),I125&gt;0),N(K125)/I125,"")</f>
        <v/>
      </c>
      <c r="M125" s="43"/>
      <c r="N125" s="43"/>
      <c r="O125" s="43"/>
      <c r="P125" s="42" t="str">
        <f aca="false">IF(AND(ISNUMBER(M125),M125&gt;0),N(O125)/M125,"")</f>
        <v/>
      </c>
      <c r="Q125" s="43"/>
      <c r="R125" s="43"/>
      <c r="S125" s="42" t="str">
        <f aca="false">IF(AND(ISNUMBER(Q125),Q125&gt;0),N(R125)/Q125,"")</f>
        <v/>
      </c>
      <c r="T125" s="43"/>
      <c r="U125" s="43"/>
      <c r="V125" s="42" t="str">
        <f aca="false">IF(AND(ISNUMBER(T125),T125&gt;0),N(U125)/T125,"")</f>
        <v/>
      </c>
      <c r="W125" s="41"/>
      <c r="X125" s="43"/>
      <c r="Y125" s="41"/>
      <c r="Z125" s="41"/>
      <c r="AA125" s="44"/>
      <c r="AB125" s="44"/>
      <c r="AC125" s="45"/>
      <c r="AD125" s="46"/>
      <c r="AE125" s="46"/>
    </row>
    <row r="126" customFormat="false" ht="15" hidden="false" customHeight="false" outlineLevel="0" collapsed="false">
      <c r="A126" s="40"/>
      <c r="B126" s="41"/>
      <c r="C126" s="41"/>
      <c r="D126" s="42" t="str">
        <f aca="false">IF(N(B126)&gt;0,1-N(C126)/(B126*Config!$B$15),"")</f>
        <v/>
      </c>
      <c r="E126" s="43"/>
      <c r="F126" s="43"/>
      <c r="G126" s="43"/>
      <c r="H126" s="42" t="str">
        <f aca="false">IF(AND(ISNUMBER(E126),E126&gt;0),N(G126)/E126,"")</f>
        <v/>
      </c>
      <c r="I126" s="43"/>
      <c r="J126" s="43"/>
      <c r="K126" s="43"/>
      <c r="L126" s="42" t="str">
        <f aca="false">IF(AND(ISNUMBER(I126),I126&gt;0),N(K126)/I126,"")</f>
        <v/>
      </c>
      <c r="M126" s="43"/>
      <c r="N126" s="43"/>
      <c r="O126" s="43"/>
      <c r="P126" s="42" t="str">
        <f aca="false">IF(AND(ISNUMBER(M126),M126&gt;0),N(O126)/M126,"")</f>
        <v/>
      </c>
      <c r="Q126" s="43"/>
      <c r="R126" s="43"/>
      <c r="S126" s="42" t="str">
        <f aca="false">IF(AND(ISNUMBER(Q126),Q126&gt;0),N(R126)/Q126,"")</f>
        <v/>
      </c>
      <c r="T126" s="43"/>
      <c r="U126" s="43"/>
      <c r="V126" s="42" t="str">
        <f aca="false">IF(AND(ISNUMBER(T126),T126&gt;0),N(U126)/T126,"")</f>
        <v/>
      </c>
      <c r="W126" s="41"/>
      <c r="X126" s="43"/>
      <c r="Y126" s="41"/>
      <c r="Z126" s="41"/>
      <c r="AA126" s="44"/>
      <c r="AB126" s="44"/>
      <c r="AC126" s="45"/>
      <c r="AD126" s="46"/>
      <c r="AE126" s="46"/>
    </row>
    <row r="127" customFormat="false" ht="15" hidden="false" customHeight="false" outlineLevel="0" collapsed="false">
      <c r="A127" s="40"/>
      <c r="B127" s="41"/>
      <c r="C127" s="41"/>
      <c r="D127" s="42" t="str">
        <f aca="false">IF(N(B127)&gt;0,1-N(C127)/(B127*Config!$B$15),"")</f>
        <v/>
      </c>
      <c r="E127" s="43"/>
      <c r="F127" s="43"/>
      <c r="G127" s="43"/>
      <c r="H127" s="42" t="str">
        <f aca="false">IF(AND(ISNUMBER(E127),E127&gt;0),N(G127)/E127,"")</f>
        <v/>
      </c>
      <c r="I127" s="43"/>
      <c r="J127" s="43"/>
      <c r="K127" s="43"/>
      <c r="L127" s="42" t="str">
        <f aca="false">IF(AND(ISNUMBER(I127),I127&gt;0),N(K127)/I127,"")</f>
        <v/>
      </c>
      <c r="M127" s="43"/>
      <c r="N127" s="43"/>
      <c r="O127" s="43"/>
      <c r="P127" s="42" t="str">
        <f aca="false">IF(AND(ISNUMBER(M127),M127&gt;0),N(O127)/M127,"")</f>
        <v/>
      </c>
      <c r="Q127" s="43"/>
      <c r="R127" s="43"/>
      <c r="S127" s="42" t="str">
        <f aca="false">IF(AND(ISNUMBER(Q127),Q127&gt;0),N(R127)/Q127,"")</f>
        <v/>
      </c>
      <c r="T127" s="43"/>
      <c r="U127" s="43"/>
      <c r="V127" s="42" t="str">
        <f aca="false">IF(AND(ISNUMBER(T127),T127&gt;0),N(U127)/T127,"")</f>
        <v/>
      </c>
      <c r="W127" s="41"/>
      <c r="X127" s="43"/>
      <c r="Y127" s="41"/>
      <c r="Z127" s="41"/>
      <c r="AA127" s="44"/>
      <c r="AB127" s="44"/>
      <c r="AC127" s="45"/>
      <c r="AD127" s="46"/>
      <c r="AE127" s="46"/>
    </row>
    <row r="128" customFormat="false" ht="15" hidden="false" customHeight="false" outlineLevel="0" collapsed="false">
      <c r="A128" s="40"/>
      <c r="B128" s="41"/>
      <c r="C128" s="41"/>
      <c r="D128" s="42" t="str">
        <f aca="false">IF(N(B128)&gt;0,1-N(C128)/(B128*Config!$B$15),"")</f>
        <v/>
      </c>
      <c r="E128" s="43"/>
      <c r="F128" s="43"/>
      <c r="G128" s="43"/>
      <c r="H128" s="42" t="str">
        <f aca="false">IF(AND(ISNUMBER(E128),E128&gt;0),N(G128)/E128,"")</f>
        <v/>
      </c>
      <c r="I128" s="43"/>
      <c r="J128" s="43"/>
      <c r="K128" s="43"/>
      <c r="L128" s="42" t="str">
        <f aca="false">IF(AND(ISNUMBER(I128),I128&gt;0),N(K128)/I128,"")</f>
        <v/>
      </c>
      <c r="M128" s="43"/>
      <c r="N128" s="43"/>
      <c r="O128" s="43"/>
      <c r="P128" s="42" t="str">
        <f aca="false">IF(AND(ISNUMBER(M128),M128&gt;0),N(O128)/M128,"")</f>
        <v/>
      </c>
      <c r="Q128" s="43"/>
      <c r="R128" s="43"/>
      <c r="S128" s="42" t="str">
        <f aca="false">IF(AND(ISNUMBER(Q128),Q128&gt;0),N(R128)/Q128,"")</f>
        <v/>
      </c>
      <c r="T128" s="43"/>
      <c r="U128" s="43"/>
      <c r="V128" s="42" t="str">
        <f aca="false">IF(AND(ISNUMBER(T128),T128&gt;0),N(U128)/T128,"")</f>
        <v/>
      </c>
      <c r="W128" s="41"/>
      <c r="X128" s="43"/>
      <c r="Y128" s="41"/>
      <c r="Z128" s="41"/>
      <c r="AA128" s="44"/>
      <c r="AB128" s="44"/>
      <c r="AC128" s="45"/>
      <c r="AD128" s="46"/>
      <c r="AE128" s="46"/>
    </row>
    <row r="129" customFormat="false" ht="15" hidden="false" customHeight="false" outlineLevel="0" collapsed="false">
      <c r="A129" s="40"/>
      <c r="B129" s="41"/>
      <c r="C129" s="41"/>
      <c r="D129" s="42" t="str">
        <f aca="false">IF(N(B129)&gt;0,1-N(C129)/(B129*Config!$B$15),"")</f>
        <v/>
      </c>
      <c r="E129" s="43"/>
      <c r="F129" s="43"/>
      <c r="G129" s="43"/>
      <c r="H129" s="42" t="str">
        <f aca="false">IF(AND(ISNUMBER(E129),E129&gt;0),N(G129)/E129,"")</f>
        <v/>
      </c>
      <c r="I129" s="43"/>
      <c r="J129" s="43"/>
      <c r="K129" s="43"/>
      <c r="L129" s="42" t="str">
        <f aca="false">IF(AND(ISNUMBER(I129),I129&gt;0),N(K129)/I129,"")</f>
        <v/>
      </c>
      <c r="M129" s="43"/>
      <c r="N129" s="43"/>
      <c r="O129" s="43"/>
      <c r="P129" s="42" t="str">
        <f aca="false">IF(AND(ISNUMBER(M129),M129&gt;0),N(O129)/M129,"")</f>
        <v/>
      </c>
      <c r="Q129" s="43"/>
      <c r="R129" s="43"/>
      <c r="S129" s="42" t="str">
        <f aca="false">IF(AND(ISNUMBER(Q129),Q129&gt;0),N(R129)/Q129,"")</f>
        <v/>
      </c>
      <c r="T129" s="43"/>
      <c r="U129" s="43"/>
      <c r="V129" s="42" t="str">
        <f aca="false">IF(AND(ISNUMBER(T129),T129&gt;0),N(U129)/T129,"")</f>
        <v/>
      </c>
      <c r="W129" s="41"/>
      <c r="X129" s="43"/>
      <c r="Y129" s="41"/>
      <c r="Z129" s="41"/>
      <c r="AA129" s="44"/>
      <c r="AB129" s="44"/>
      <c r="AC129" s="45"/>
      <c r="AD129" s="46"/>
      <c r="AE129" s="46"/>
    </row>
    <row r="130" customFormat="false" ht="15" hidden="false" customHeight="false" outlineLevel="0" collapsed="false">
      <c r="A130" s="40"/>
      <c r="B130" s="41"/>
      <c r="C130" s="41"/>
      <c r="D130" s="42" t="str">
        <f aca="false">IF(N(B130)&gt;0,1-N(C130)/(B130*Config!$B$15),"")</f>
        <v/>
      </c>
      <c r="E130" s="43"/>
      <c r="F130" s="43"/>
      <c r="G130" s="43"/>
      <c r="H130" s="42" t="str">
        <f aca="false">IF(AND(ISNUMBER(E130),E130&gt;0),N(G130)/E130,"")</f>
        <v/>
      </c>
      <c r="I130" s="43"/>
      <c r="J130" s="43"/>
      <c r="K130" s="43"/>
      <c r="L130" s="42" t="str">
        <f aca="false">IF(AND(ISNUMBER(I130),I130&gt;0),N(K130)/I130,"")</f>
        <v/>
      </c>
      <c r="M130" s="43"/>
      <c r="N130" s="43"/>
      <c r="O130" s="43"/>
      <c r="P130" s="42" t="str">
        <f aca="false">IF(AND(ISNUMBER(M130),M130&gt;0),N(O130)/M130,"")</f>
        <v/>
      </c>
      <c r="Q130" s="43"/>
      <c r="R130" s="43"/>
      <c r="S130" s="42" t="str">
        <f aca="false">IF(AND(ISNUMBER(Q130),Q130&gt;0),N(R130)/Q130,"")</f>
        <v/>
      </c>
      <c r="T130" s="43"/>
      <c r="U130" s="43"/>
      <c r="V130" s="42" t="str">
        <f aca="false">IF(AND(ISNUMBER(T130),T130&gt;0),N(U130)/T130,"")</f>
        <v/>
      </c>
      <c r="W130" s="41"/>
      <c r="X130" s="43"/>
      <c r="Y130" s="41"/>
      <c r="Z130" s="41"/>
      <c r="AA130" s="44"/>
      <c r="AB130" s="44"/>
      <c r="AC130" s="45"/>
      <c r="AD130" s="46"/>
      <c r="AE130" s="46"/>
    </row>
    <row r="131" customFormat="false" ht="15" hidden="false" customHeight="false" outlineLevel="0" collapsed="false">
      <c r="A131" s="40"/>
      <c r="B131" s="41"/>
      <c r="C131" s="41"/>
      <c r="D131" s="42" t="str">
        <f aca="false">IF(N(B131)&gt;0,1-N(C131)/(B131*Config!$B$15),"")</f>
        <v/>
      </c>
      <c r="E131" s="43"/>
      <c r="F131" s="43"/>
      <c r="G131" s="43"/>
      <c r="H131" s="42" t="str">
        <f aca="false">IF(AND(ISNUMBER(E131),E131&gt;0),N(G131)/E131,"")</f>
        <v/>
      </c>
      <c r="I131" s="43"/>
      <c r="J131" s="43"/>
      <c r="K131" s="43"/>
      <c r="L131" s="42" t="str">
        <f aca="false">IF(AND(ISNUMBER(I131),I131&gt;0),N(K131)/I131,"")</f>
        <v/>
      </c>
      <c r="M131" s="43"/>
      <c r="N131" s="43"/>
      <c r="O131" s="43"/>
      <c r="P131" s="42" t="str">
        <f aca="false">IF(AND(ISNUMBER(M131),M131&gt;0),N(O131)/M131,"")</f>
        <v/>
      </c>
      <c r="Q131" s="43"/>
      <c r="R131" s="43"/>
      <c r="S131" s="42" t="str">
        <f aca="false">IF(AND(ISNUMBER(Q131),Q131&gt;0),N(R131)/Q131,"")</f>
        <v/>
      </c>
      <c r="T131" s="43"/>
      <c r="U131" s="43"/>
      <c r="V131" s="42" t="str">
        <f aca="false">IF(AND(ISNUMBER(T131),T131&gt;0),N(U131)/T131,"")</f>
        <v/>
      </c>
      <c r="W131" s="41"/>
      <c r="X131" s="43"/>
      <c r="Y131" s="41"/>
      <c r="Z131" s="41"/>
      <c r="AA131" s="44"/>
      <c r="AB131" s="44"/>
      <c r="AC131" s="45"/>
      <c r="AD131" s="46"/>
      <c r="AE131" s="46"/>
    </row>
    <row r="132" customFormat="false" ht="15" hidden="false" customHeight="false" outlineLevel="0" collapsed="false">
      <c r="A132" s="40"/>
      <c r="B132" s="41"/>
      <c r="C132" s="41"/>
      <c r="D132" s="42" t="str">
        <f aca="false">IF(N(B132)&gt;0,1-N(C132)/(B132*Config!$B$15),"")</f>
        <v/>
      </c>
      <c r="E132" s="43"/>
      <c r="F132" s="43"/>
      <c r="G132" s="43"/>
      <c r="H132" s="42" t="str">
        <f aca="false">IF(AND(ISNUMBER(E132),E132&gt;0),N(G132)/E132,"")</f>
        <v/>
      </c>
      <c r="I132" s="43"/>
      <c r="J132" s="43"/>
      <c r="K132" s="43"/>
      <c r="L132" s="42" t="str">
        <f aca="false">IF(AND(ISNUMBER(I132),I132&gt;0),N(K132)/I132,"")</f>
        <v/>
      </c>
      <c r="M132" s="43"/>
      <c r="N132" s="43"/>
      <c r="O132" s="43"/>
      <c r="P132" s="42" t="str">
        <f aca="false">IF(AND(ISNUMBER(M132),M132&gt;0),N(O132)/M132,"")</f>
        <v/>
      </c>
      <c r="Q132" s="43"/>
      <c r="R132" s="43"/>
      <c r="S132" s="42" t="str">
        <f aca="false">IF(AND(ISNUMBER(Q132),Q132&gt;0),N(R132)/Q132,"")</f>
        <v/>
      </c>
      <c r="T132" s="43"/>
      <c r="U132" s="43"/>
      <c r="V132" s="42" t="str">
        <f aca="false">IF(AND(ISNUMBER(T132),T132&gt;0),N(U132)/T132,"")</f>
        <v/>
      </c>
      <c r="W132" s="41"/>
      <c r="X132" s="43"/>
      <c r="Y132" s="41"/>
      <c r="Z132" s="41"/>
      <c r="AA132" s="44"/>
      <c r="AB132" s="44"/>
      <c r="AC132" s="45"/>
      <c r="AD132" s="46"/>
      <c r="AE132" s="46"/>
    </row>
    <row r="133" customFormat="false" ht="15" hidden="false" customHeight="false" outlineLevel="0" collapsed="false">
      <c r="A133" s="40"/>
      <c r="B133" s="41"/>
      <c r="C133" s="41"/>
      <c r="D133" s="42" t="str">
        <f aca="false">IF(N(B133)&gt;0,1-N(C133)/(B133*Config!$B$15),"")</f>
        <v/>
      </c>
      <c r="E133" s="43"/>
      <c r="F133" s="43"/>
      <c r="G133" s="43"/>
      <c r="H133" s="42" t="str">
        <f aca="false">IF(AND(ISNUMBER(E133),E133&gt;0),N(G133)/E133,"")</f>
        <v/>
      </c>
      <c r="I133" s="43"/>
      <c r="J133" s="43"/>
      <c r="K133" s="43"/>
      <c r="L133" s="42" t="str">
        <f aca="false">IF(AND(ISNUMBER(I133),I133&gt;0),N(K133)/I133,"")</f>
        <v/>
      </c>
      <c r="M133" s="43"/>
      <c r="N133" s="43"/>
      <c r="O133" s="43"/>
      <c r="P133" s="42" t="str">
        <f aca="false">IF(AND(ISNUMBER(M133),M133&gt;0),N(O133)/M133,"")</f>
        <v/>
      </c>
      <c r="Q133" s="43"/>
      <c r="R133" s="43"/>
      <c r="S133" s="42" t="str">
        <f aca="false">IF(AND(ISNUMBER(Q133),Q133&gt;0),N(R133)/Q133,"")</f>
        <v/>
      </c>
      <c r="T133" s="43"/>
      <c r="U133" s="43"/>
      <c r="V133" s="42" t="str">
        <f aca="false">IF(AND(ISNUMBER(T133),T133&gt;0),N(U133)/T133,"")</f>
        <v/>
      </c>
      <c r="W133" s="41"/>
      <c r="X133" s="43"/>
      <c r="Y133" s="41"/>
      <c r="Z133" s="41"/>
      <c r="AA133" s="44"/>
      <c r="AB133" s="44"/>
      <c r="AC133" s="45"/>
      <c r="AD133" s="46"/>
      <c r="AE133" s="46"/>
    </row>
    <row r="134" customFormat="false" ht="15" hidden="false" customHeight="false" outlineLevel="0" collapsed="false">
      <c r="A134" s="40"/>
      <c r="B134" s="41"/>
      <c r="C134" s="41"/>
      <c r="D134" s="42" t="str">
        <f aca="false">IF(N(B134)&gt;0,1-N(C134)/(B134*Config!$B$15),"")</f>
        <v/>
      </c>
      <c r="E134" s="43"/>
      <c r="F134" s="43"/>
      <c r="G134" s="43"/>
      <c r="H134" s="42" t="str">
        <f aca="false">IF(AND(ISNUMBER(E134),E134&gt;0),N(G134)/E134,"")</f>
        <v/>
      </c>
      <c r="I134" s="43"/>
      <c r="J134" s="43"/>
      <c r="K134" s="43"/>
      <c r="L134" s="42" t="str">
        <f aca="false">IF(AND(ISNUMBER(I134),I134&gt;0),N(K134)/I134,"")</f>
        <v/>
      </c>
      <c r="M134" s="43"/>
      <c r="N134" s="43"/>
      <c r="O134" s="43"/>
      <c r="P134" s="42" t="str">
        <f aca="false">IF(AND(ISNUMBER(M134),M134&gt;0),N(O134)/M134,"")</f>
        <v/>
      </c>
      <c r="Q134" s="43"/>
      <c r="R134" s="43"/>
      <c r="S134" s="42" t="str">
        <f aca="false">IF(AND(ISNUMBER(Q134),Q134&gt;0),N(R134)/Q134,"")</f>
        <v/>
      </c>
      <c r="T134" s="43"/>
      <c r="U134" s="43"/>
      <c r="V134" s="42" t="str">
        <f aca="false">IF(AND(ISNUMBER(T134),T134&gt;0),N(U134)/T134,"")</f>
        <v/>
      </c>
      <c r="W134" s="41"/>
      <c r="X134" s="43"/>
      <c r="Y134" s="41"/>
      <c r="Z134" s="41"/>
      <c r="AA134" s="44"/>
      <c r="AB134" s="44"/>
      <c r="AC134" s="45"/>
      <c r="AD134" s="46"/>
      <c r="AE134" s="46"/>
    </row>
    <row r="135" customFormat="false" ht="15" hidden="false" customHeight="false" outlineLevel="0" collapsed="false">
      <c r="A135" s="40"/>
      <c r="B135" s="41"/>
      <c r="C135" s="41"/>
      <c r="D135" s="42" t="str">
        <f aca="false">IF(N(B135)&gt;0,1-N(C135)/(B135*Config!$B$15),"")</f>
        <v/>
      </c>
      <c r="E135" s="43"/>
      <c r="F135" s="43"/>
      <c r="G135" s="43"/>
      <c r="H135" s="42" t="str">
        <f aca="false">IF(AND(ISNUMBER(E135),E135&gt;0),N(G135)/E135,"")</f>
        <v/>
      </c>
      <c r="I135" s="43"/>
      <c r="J135" s="43"/>
      <c r="K135" s="43"/>
      <c r="L135" s="42" t="str">
        <f aca="false">IF(AND(ISNUMBER(I135),I135&gt;0),N(K135)/I135,"")</f>
        <v/>
      </c>
      <c r="M135" s="43"/>
      <c r="N135" s="43"/>
      <c r="O135" s="43"/>
      <c r="P135" s="42" t="str">
        <f aca="false">IF(AND(ISNUMBER(M135),M135&gt;0),N(O135)/M135,"")</f>
        <v/>
      </c>
      <c r="Q135" s="43"/>
      <c r="R135" s="43"/>
      <c r="S135" s="42" t="str">
        <f aca="false">IF(AND(ISNUMBER(Q135),Q135&gt;0),N(R135)/Q135,"")</f>
        <v/>
      </c>
      <c r="T135" s="43"/>
      <c r="U135" s="43"/>
      <c r="V135" s="42" t="str">
        <f aca="false">IF(AND(ISNUMBER(T135),T135&gt;0),N(U135)/T135,"")</f>
        <v/>
      </c>
      <c r="W135" s="41"/>
      <c r="X135" s="43"/>
      <c r="Y135" s="41"/>
      <c r="Z135" s="41"/>
      <c r="AA135" s="44"/>
      <c r="AB135" s="44"/>
      <c r="AC135" s="45"/>
      <c r="AD135" s="46"/>
      <c r="AE135" s="46"/>
    </row>
    <row r="136" customFormat="false" ht="15" hidden="false" customHeight="false" outlineLevel="0" collapsed="false">
      <c r="A136" s="40"/>
      <c r="B136" s="41"/>
      <c r="C136" s="41"/>
      <c r="D136" s="42" t="str">
        <f aca="false">IF(N(B136)&gt;0,1-N(C136)/(B136*Config!$B$15),"")</f>
        <v/>
      </c>
      <c r="E136" s="43"/>
      <c r="F136" s="43"/>
      <c r="G136" s="43"/>
      <c r="H136" s="42" t="str">
        <f aca="false">IF(AND(ISNUMBER(E136),E136&gt;0),N(G136)/E136,"")</f>
        <v/>
      </c>
      <c r="I136" s="43"/>
      <c r="J136" s="43"/>
      <c r="K136" s="43"/>
      <c r="L136" s="42" t="str">
        <f aca="false">IF(AND(ISNUMBER(I136),I136&gt;0),N(K136)/I136,"")</f>
        <v/>
      </c>
      <c r="M136" s="43"/>
      <c r="N136" s="43"/>
      <c r="O136" s="43"/>
      <c r="P136" s="42" t="str">
        <f aca="false">IF(AND(ISNUMBER(M136),M136&gt;0),N(O136)/M136,"")</f>
        <v/>
      </c>
      <c r="Q136" s="43"/>
      <c r="R136" s="43"/>
      <c r="S136" s="42" t="str">
        <f aca="false">IF(AND(ISNUMBER(Q136),Q136&gt;0),N(R136)/Q136,"")</f>
        <v/>
      </c>
      <c r="T136" s="43"/>
      <c r="U136" s="43"/>
      <c r="V136" s="42" t="str">
        <f aca="false">IF(AND(ISNUMBER(T136),T136&gt;0),N(U136)/T136,"")</f>
        <v/>
      </c>
      <c r="W136" s="41"/>
      <c r="X136" s="43"/>
      <c r="Y136" s="41"/>
      <c r="Z136" s="41"/>
      <c r="AA136" s="44"/>
      <c r="AB136" s="44"/>
      <c r="AC136" s="45"/>
      <c r="AD136" s="46"/>
      <c r="AE136" s="46"/>
    </row>
    <row r="137" customFormat="false" ht="15" hidden="false" customHeight="false" outlineLevel="0" collapsed="false">
      <c r="A137" s="40"/>
      <c r="B137" s="41"/>
      <c r="C137" s="41"/>
      <c r="D137" s="42" t="str">
        <f aca="false">IF(N(B137)&gt;0,1-N(C137)/(B137*Config!$B$15),"")</f>
        <v/>
      </c>
      <c r="E137" s="43"/>
      <c r="F137" s="43"/>
      <c r="G137" s="43"/>
      <c r="H137" s="42" t="str">
        <f aca="false">IF(AND(ISNUMBER(E137),E137&gt;0),N(G137)/E137,"")</f>
        <v/>
      </c>
      <c r="I137" s="43"/>
      <c r="J137" s="43"/>
      <c r="K137" s="43"/>
      <c r="L137" s="42" t="str">
        <f aca="false">IF(AND(ISNUMBER(I137),I137&gt;0),N(K137)/I137,"")</f>
        <v/>
      </c>
      <c r="M137" s="43"/>
      <c r="N137" s="43"/>
      <c r="O137" s="43"/>
      <c r="P137" s="42" t="str">
        <f aca="false">IF(AND(ISNUMBER(M137),M137&gt;0),N(O137)/M137,"")</f>
        <v/>
      </c>
      <c r="Q137" s="43"/>
      <c r="R137" s="43"/>
      <c r="S137" s="42" t="str">
        <f aca="false">IF(AND(ISNUMBER(Q137),Q137&gt;0),N(R137)/Q137,"")</f>
        <v/>
      </c>
      <c r="T137" s="43"/>
      <c r="U137" s="43"/>
      <c r="V137" s="42" t="str">
        <f aca="false">IF(AND(ISNUMBER(T137),T137&gt;0),N(U137)/T137,"")</f>
        <v/>
      </c>
      <c r="W137" s="41"/>
      <c r="X137" s="43"/>
      <c r="Y137" s="41"/>
      <c r="Z137" s="41"/>
      <c r="AA137" s="44"/>
      <c r="AB137" s="44"/>
      <c r="AC137" s="45"/>
      <c r="AD137" s="46"/>
      <c r="AE137" s="46"/>
    </row>
    <row r="138" customFormat="false" ht="15" hidden="false" customHeight="false" outlineLevel="0" collapsed="false">
      <c r="A138" s="40"/>
      <c r="B138" s="41"/>
      <c r="C138" s="41"/>
      <c r="D138" s="42" t="str">
        <f aca="false">IF(N(B138)&gt;0,1-N(C138)/(B138*Config!$B$15),"")</f>
        <v/>
      </c>
      <c r="E138" s="43"/>
      <c r="F138" s="43"/>
      <c r="G138" s="43"/>
      <c r="H138" s="42" t="str">
        <f aca="false">IF(AND(ISNUMBER(E138),E138&gt;0),N(G138)/E138,"")</f>
        <v/>
      </c>
      <c r="I138" s="43"/>
      <c r="J138" s="43"/>
      <c r="K138" s="43"/>
      <c r="L138" s="42" t="str">
        <f aca="false">IF(AND(ISNUMBER(I138),I138&gt;0),N(K138)/I138,"")</f>
        <v/>
      </c>
      <c r="M138" s="43"/>
      <c r="N138" s="43"/>
      <c r="O138" s="43"/>
      <c r="P138" s="42" t="str">
        <f aca="false">IF(AND(ISNUMBER(M138),M138&gt;0),N(O138)/M138,"")</f>
        <v/>
      </c>
      <c r="Q138" s="43"/>
      <c r="R138" s="43"/>
      <c r="S138" s="42" t="str">
        <f aca="false">IF(AND(ISNUMBER(Q138),Q138&gt;0),N(R138)/Q138,"")</f>
        <v/>
      </c>
      <c r="T138" s="43"/>
      <c r="U138" s="43"/>
      <c r="V138" s="42" t="str">
        <f aca="false">IF(AND(ISNUMBER(T138),T138&gt;0),N(U138)/T138,"")</f>
        <v/>
      </c>
      <c r="W138" s="41"/>
      <c r="X138" s="43"/>
      <c r="Y138" s="41"/>
      <c r="Z138" s="41"/>
      <c r="AA138" s="44"/>
      <c r="AB138" s="44"/>
      <c r="AC138" s="45"/>
      <c r="AD138" s="46"/>
      <c r="AE138" s="46"/>
    </row>
    <row r="139" customFormat="false" ht="15" hidden="false" customHeight="false" outlineLevel="0" collapsed="false">
      <c r="A139" s="40"/>
      <c r="B139" s="41"/>
      <c r="C139" s="41"/>
      <c r="D139" s="42" t="str">
        <f aca="false">IF(N(B139)&gt;0,1-N(C139)/(B139*Config!$B$15),"")</f>
        <v/>
      </c>
      <c r="E139" s="43"/>
      <c r="F139" s="43"/>
      <c r="G139" s="43"/>
      <c r="H139" s="42" t="str">
        <f aca="false">IF(AND(ISNUMBER(E139),E139&gt;0),N(G139)/E139,"")</f>
        <v/>
      </c>
      <c r="I139" s="43"/>
      <c r="J139" s="43"/>
      <c r="K139" s="43"/>
      <c r="L139" s="42" t="str">
        <f aca="false">IF(AND(ISNUMBER(I139),I139&gt;0),N(K139)/I139,"")</f>
        <v/>
      </c>
      <c r="M139" s="43"/>
      <c r="N139" s="43"/>
      <c r="O139" s="43"/>
      <c r="P139" s="42" t="str">
        <f aca="false">IF(AND(ISNUMBER(M139),M139&gt;0),N(O139)/M139,"")</f>
        <v/>
      </c>
      <c r="Q139" s="43"/>
      <c r="R139" s="43"/>
      <c r="S139" s="42" t="str">
        <f aca="false">IF(AND(ISNUMBER(Q139),Q139&gt;0),N(R139)/Q139,"")</f>
        <v/>
      </c>
      <c r="T139" s="43"/>
      <c r="U139" s="43"/>
      <c r="V139" s="42" t="str">
        <f aca="false">IF(AND(ISNUMBER(T139),T139&gt;0),N(U139)/T139,"")</f>
        <v/>
      </c>
      <c r="W139" s="41"/>
      <c r="X139" s="43"/>
      <c r="Y139" s="41"/>
      <c r="Z139" s="41"/>
      <c r="AA139" s="44"/>
      <c r="AB139" s="44"/>
      <c r="AC139" s="45"/>
      <c r="AD139" s="46"/>
      <c r="AE139" s="46"/>
    </row>
    <row r="140" customFormat="false" ht="15" hidden="false" customHeight="false" outlineLevel="0" collapsed="false">
      <c r="A140" s="40"/>
      <c r="B140" s="41"/>
      <c r="C140" s="41"/>
      <c r="D140" s="42" t="str">
        <f aca="false">IF(N(B140)&gt;0,1-N(C140)/(B140*Config!$B$15),"")</f>
        <v/>
      </c>
      <c r="E140" s="43"/>
      <c r="F140" s="43"/>
      <c r="G140" s="43"/>
      <c r="H140" s="42" t="str">
        <f aca="false">IF(AND(ISNUMBER(E140),E140&gt;0),N(G140)/E140,"")</f>
        <v/>
      </c>
      <c r="I140" s="43"/>
      <c r="J140" s="43"/>
      <c r="K140" s="43"/>
      <c r="L140" s="42" t="str">
        <f aca="false">IF(AND(ISNUMBER(I140),I140&gt;0),N(K140)/I140,"")</f>
        <v/>
      </c>
      <c r="M140" s="43"/>
      <c r="N140" s="43"/>
      <c r="O140" s="43"/>
      <c r="P140" s="42" t="str">
        <f aca="false">IF(AND(ISNUMBER(M140),M140&gt;0),N(O140)/M140,"")</f>
        <v/>
      </c>
      <c r="Q140" s="43"/>
      <c r="R140" s="43"/>
      <c r="S140" s="42" t="str">
        <f aca="false">IF(AND(ISNUMBER(Q140),Q140&gt;0),N(R140)/Q140,"")</f>
        <v/>
      </c>
      <c r="T140" s="43"/>
      <c r="U140" s="43"/>
      <c r="V140" s="42" t="str">
        <f aca="false">IF(AND(ISNUMBER(T140),T140&gt;0),N(U140)/T140,"")</f>
        <v/>
      </c>
      <c r="W140" s="41"/>
      <c r="X140" s="43"/>
      <c r="Y140" s="41"/>
      <c r="Z140" s="41"/>
      <c r="AA140" s="44"/>
      <c r="AB140" s="44"/>
      <c r="AC140" s="45"/>
      <c r="AD140" s="46"/>
      <c r="AE140" s="46"/>
    </row>
    <row r="141" customFormat="false" ht="15" hidden="false" customHeight="false" outlineLevel="0" collapsed="false">
      <c r="A141" s="40"/>
      <c r="B141" s="41"/>
      <c r="C141" s="41"/>
      <c r="D141" s="42" t="str">
        <f aca="false">IF(N(B141)&gt;0,1-N(C141)/(B141*Config!$B$15),"")</f>
        <v/>
      </c>
      <c r="E141" s="43"/>
      <c r="F141" s="43"/>
      <c r="G141" s="43"/>
      <c r="H141" s="42" t="str">
        <f aca="false">IF(AND(ISNUMBER(E141),E141&gt;0),N(G141)/E141,"")</f>
        <v/>
      </c>
      <c r="I141" s="43"/>
      <c r="J141" s="43"/>
      <c r="K141" s="43"/>
      <c r="L141" s="42" t="str">
        <f aca="false">IF(AND(ISNUMBER(I141),I141&gt;0),N(K141)/I141,"")</f>
        <v/>
      </c>
      <c r="M141" s="43"/>
      <c r="N141" s="43"/>
      <c r="O141" s="43"/>
      <c r="P141" s="42" t="str">
        <f aca="false">IF(AND(ISNUMBER(M141),M141&gt;0),N(O141)/M141,"")</f>
        <v/>
      </c>
      <c r="Q141" s="43"/>
      <c r="R141" s="43"/>
      <c r="S141" s="42" t="str">
        <f aca="false">IF(AND(ISNUMBER(Q141),Q141&gt;0),N(R141)/Q141,"")</f>
        <v/>
      </c>
      <c r="T141" s="43"/>
      <c r="U141" s="43"/>
      <c r="V141" s="42" t="str">
        <f aca="false">IF(AND(ISNUMBER(T141),T141&gt;0),N(U141)/T141,"")</f>
        <v/>
      </c>
      <c r="W141" s="41"/>
      <c r="X141" s="43"/>
      <c r="Y141" s="41"/>
      <c r="Z141" s="41"/>
      <c r="AA141" s="44"/>
      <c r="AB141" s="44"/>
      <c r="AC141" s="45"/>
      <c r="AD141" s="46"/>
      <c r="AE141" s="46"/>
    </row>
    <row r="142" customFormat="false" ht="15" hidden="false" customHeight="false" outlineLevel="0" collapsed="false">
      <c r="A142" s="40"/>
      <c r="B142" s="41"/>
      <c r="C142" s="41"/>
      <c r="D142" s="42" t="str">
        <f aca="false">IF(N(B142)&gt;0,1-N(C142)/(B142*Config!$B$15),"")</f>
        <v/>
      </c>
      <c r="E142" s="43"/>
      <c r="F142" s="43"/>
      <c r="G142" s="43"/>
      <c r="H142" s="42" t="str">
        <f aca="false">IF(AND(ISNUMBER(E142),E142&gt;0),N(G142)/E142,"")</f>
        <v/>
      </c>
      <c r="I142" s="43"/>
      <c r="J142" s="43"/>
      <c r="K142" s="43"/>
      <c r="L142" s="42" t="str">
        <f aca="false">IF(AND(ISNUMBER(I142),I142&gt;0),N(K142)/I142,"")</f>
        <v/>
      </c>
      <c r="M142" s="43"/>
      <c r="N142" s="43"/>
      <c r="O142" s="43"/>
      <c r="P142" s="42" t="str">
        <f aca="false">IF(AND(ISNUMBER(M142),M142&gt;0),N(O142)/M142,"")</f>
        <v/>
      </c>
      <c r="Q142" s="43"/>
      <c r="R142" s="43"/>
      <c r="S142" s="42" t="str">
        <f aca="false">IF(AND(ISNUMBER(Q142),Q142&gt;0),N(R142)/Q142,"")</f>
        <v/>
      </c>
      <c r="T142" s="43"/>
      <c r="U142" s="43"/>
      <c r="V142" s="42" t="str">
        <f aca="false">IF(AND(ISNUMBER(T142),T142&gt;0),N(U142)/T142,"")</f>
        <v/>
      </c>
      <c r="W142" s="41"/>
      <c r="X142" s="43"/>
      <c r="Y142" s="41"/>
      <c r="Z142" s="41"/>
      <c r="AA142" s="44"/>
      <c r="AB142" s="44"/>
      <c r="AC142" s="45"/>
      <c r="AD142" s="46"/>
      <c r="AE142" s="46"/>
    </row>
    <row r="143" customFormat="false" ht="15" hidden="false" customHeight="false" outlineLevel="0" collapsed="false">
      <c r="A143" s="40"/>
      <c r="B143" s="41"/>
      <c r="C143" s="41"/>
      <c r="D143" s="42" t="str">
        <f aca="false">IF(N(B143)&gt;0,1-N(C143)/(B143*Config!$B$15),"")</f>
        <v/>
      </c>
      <c r="E143" s="43"/>
      <c r="F143" s="43"/>
      <c r="G143" s="43"/>
      <c r="H143" s="42" t="str">
        <f aca="false">IF(AND(ISNUMBER(E143),E143&gt;0),N(G143)/E143,"")</f>
        <v/>
      </c>
      <c r="I143" s="43"/>
      <c r="J143" s="43"/>
      <c r="K143" s="43"/>
      <c r="L143" s="42" t="str">
        <f aca="false">IF(AND(ISNUMBER(I143),I143&gt;0),N(K143)/I143,"")</f>
        <v/>
      </c>
      <c r="M143" s="43"/>
      <c r="N143" s="43"/>
      <c r="O143" s="43"/>
      <c r="P143" s="42" t="str">
        <f aca="false">IF(AND(ISNUMBER(M143),M143&gt;0),N(O143)/M143,"")</f>
        <v/>
      </c>
      <c r="Q143" s="43"/>
      <c r="R143" s="43"/>
      <c r="S143" s="42" t="str">
        <f aca="false">IF(AND(ISNUMBER(Q143),Q143&gt;0),N(R143)/Q143,"")</f>
        <v/>
      </c>
      <c r="T143" s="43"/>
      <c r="U143" s="43"/>
      <c r="V143" s="42" t="str">
        <f aca="false">IF(AND(ISNUMBER(T143),T143&gt;0),N(U143)/T143,"")</f>
        <v/>
      </c>
      <c r="W143" s="41"/>
      <c r="X143" s="43"/>
      <c r="Y143" s="41"/>
      <c r="Z143" s="41"/>
      <c r="AA143" s="44"/>
      <c r="AB143" s="44"/>
      <c r="AC143" s="45"/>
      <c r="AD143" s="46"/>
      <c r="AE143" s="46"/>
    </row>
    <row r="144" customFormat="false" ht="15" hidden="false" customHeight="false" outlineLevel="0" collapsed="false">
      <c r="A144" s="40"/>
      <c r="B144" s="41"/>
      <c r="C144" s="41"/>
      <c r="D144" s="42" t="str">
        <f aca="false">IF(N(B144)&gt;0,1-N(C144)/(B144*Config!$B$15),"")</f>
        <v/>
      </c>
      <c r="E144" s="43"/>
      <c r="F144" s="43"/>
      <c r="G144" s="43"/>
      <c r="H144" s="42" t="str">
        <f aca="false">IF(AND(ISNUMBER(E144),E144&gt;0),N(G144)/E144,"")</f>
        <v/>
      </c>
      <c r="I144" s="43"/>
      <c r="J144" s="43"/>
      <c r="K144" s="43"/>
      <c r="L144" s="42" t="str">
        <f aca="false">IF(AND(ISNUMBER(I144),I144&gt;0),N(K144)/I144,"")</f>
        <v/>
      </c>
      <c r="M144" s="43"/>
      <c r="N144" s="43"/>
      <c r="O144" s="43"/>
      <c r="P144" s="42" t="str">
        <f aca="false">IF(AND(ISNUMBER(M144),M144&gt;0),N(O144)/M144,"")</f>
        <v/>
      </c>
      <c r="Q144" s="43"/>
      <c r="R144" s="43"/>
      <c r="S144" s="42" t="str">
        <f aca="false">IF(AND(ISNUMBER(Q144),Q144&gt;0),N(R144)/Q144,"")</f>
        <v/>
      </c>
      <c r="T144" s="43"/>
      <c r="U144" s="43"/>
      <c r="V144" s="42" t="str">
        <f aca="false">IF(AND(ISNUMBER(T144),T144&gt;0),N(U144)/T144,"")</f>
        <v/>
      </c>
      <c r="W144" s="41"/>
      <c r="X144" s="43"/>
      <c r="Y144" s="41"/>
      <c r="Z144" s="41"/>
      <c r="AA144" s="44"/>
      <c r="AB144" s="44"/>
      <c r="AC144" s="45"/>
      <c r="AD144" s="46"/>
      <c r="AE144" s="46"/>
    </row>
    <row r="145" customFormat="false" ht="15" hidden="false" customHeight="false" outlineLevel="0" collapsed="false">
      <c r="A145" s="40"/>
      <c r="B145" s="41"/>
      <c r="C145" s="41"/>
      <c r="D145" s="42" t="str">
        <f aca="false">IF(N(B145)&gt;0,1-N(C145)/(B145*Config!$B$15),"")</f>
        <v/>
      </c>
      <c r="E145" s="43"/>
      <c r="F145" s="43"/>
      <c r="G145" s="43"/>
      <c r="H145" s="42" t="str">
        <f aca="false">IF(AND(ISNUMBER(E145),E145&gt;0),N(G145)/E145,"")</f>
        <v/>
      </c>
      <c r="I145" s="43"/>
      <c r="J145" s="43"/>
      <c r="K145" s="43"/>
      <c r="L145" s="42" t="str">
        <f aca="false">IF(AND(ISNUMBER(I145),I145&gt;0),N(K145)/I145,"")</f>
        <v/>
      </c>
      <c r="M145" s="43"/>
      <c r="N145" s="43"/>
      <c r="O145" s="43"/>
      <c r="P145" s="42" t="str">
        <f aca="false">IF(AND(ISNUMBER(M145),M145&gt;0),N(O145)/M145,"")</f>
        <v/>
      </c>
      <c r="Q145" s="43"/>
      <c r="R145" s="43"/>
      <c r="S145" s="42" t="str">
        <f aca="false">IF(AND(ISNUMBER(Q145),Q145&gt;0),N(R145)/Q145,"")</f>
        <v/>
      </c>
      <c r="T145" s="43"/>
      <c r="U145" s="43"/>
      <c r="V145" s="42" t="str">
        <f aca="false">IF(AND(ISNUMBER(T145),T145&gt;0),N(U145)/T145,"")</f>
        <v/>
      </c>
      <c r="W145" s="41"/>
      <c r="X145" s="43"/>
      <c r="Y145" s="41"/>
      <c r="Z145" s="41"/>
      <c r="AA145" s="44"/>
      <c r="AB145" s="44"/>
      <c r="AC145" s="45"/>
      <c r="AD145" s="46"/>
      <c r="AE145" s="46"/>
    </row>
    <row r="146" customFormat="false" ht="15" hidden="false" customHeight="false" outlineLevel="0" collapsed="false">
      <c r="A146" s="40"/>
      <c r="B146" s="41"/>
      <c r="C146" s="41"/>
      <c r="D146" s="42" t="str">
        <f aca="false">IF(N(B146)&gt;0,1-N(C146)/(B146*Config!$B$15),"")</f>
        <v/>
      </c>
      <c r="E146" s="43"/>
      <c r="F146" s="43"/>
      <c r="G146" s="43"/>
      <c r="H146" s="42" t="str">
        <f aca="false">IF(AND(ISNUMBER(E146),E146&gt;0),N(G146)/E146,"")</f>
        <v/>
      </c>
      <c r="I146" s="43"/>
      <c r="J146" s="43"/>
      <c r="K146" s="43"/>
      <c r="L146" s="42" t="str">
        <f aca="false">IF(AND(ISNUMBER(I146),I146&gt;0),N(K146)/I146,"")</f>
        <v/>
      </c>
      <c r="M146" s="43"/>
      <c r="N146" s="43"/>
      <c r="O146" s="43"/>
      <c r="P146" s="42" t="str">
        <f aca="false">IF(AND(ISNUMBER(M146),M146&gt;0),N(O146)/M146,"")</f>
        <v/>
      </c>
      <c r="Q146" s="43"/>
      <c r="R146" s="43"/>
      <c r="S146" s="42" t="str">
        <f aca="false">IF(AND(ISNUMBER(Q146),Q146&gt;0),N(R146)/Q146,"")</f>
        <v/>
      </c>
      <c r="T146" s="43"/>
      <c r="U146" s="43"/>
      <c r="V146" s="42" t="str">
        <f aca="false">IF(AND(ISNUMBER(T146),T146&gt;0),N(U146)/T146,"")</f>
        <v/>
      </c>
      <c r="W146" s="41"/>
      <c r="X146" s="43"/>
      <c r="Y146" s="41"/>
      <c r="Z146" s="41"/>
      <c r="AA146" s="44"/>
      <c r="AB146" s="44"/>
      <c r="AC146" s="45"/>
      <c r="AD146" s="46"/>
      <c r="AE146" s="46"/>
    </row>
    <row r="147" customFormat="false" ht="15" hidden="false" customHeight="false" outlineLevel="0" collapsed="false">
      <c r="A147" s="40"/>
      <c r="B147" s="41"/>
      <c r="C147" s="41"/>
      <c r="D147" s="42" t="str">
        <f aca="false">IF(N(B147)&gt;0,1-N(C147)/(B147*Config!$B$15),"")</f>
        <v/>
      </c>
      <c r="E147" s="43"/>
      <c r="F147" s="43"/>
      <c r="G147" s="43"/>
      <c r="H147" s="42" t="str">
        <f aca="false">IF(AND(ISNUMBER(E147),E147&gt;0),N(G147)/E147,"")</f>
        <v/>
      </c>
      <c r="I147" s="43"/>
      <c r="J147" s="43"/>
      <c r="K147" s="43"/>
      <c r="L147" s="42" t="str">
        <f aca="false">IF(AND(ISNUMBER(I147),I147&gt;0),N(K147)/I147,"")</f>
        <v/>
      </c>
      <c r="M147" s="43"/>
      <c r="N147" s="43"/>
      <c r="O147" s="43"/>
      <c r="P147" s="42" t="str">
        <f aca="false">IF(AND(ISNUMBER(M147),M147&gt;0),N(O147)/M147,"")</f>
        <v/>
      </c>
      <c r="Q147" s="43"/>
      <c r="R147" s="43"/>
      <c r="S147" s="42" t="str">
        <f aca="false">IF(AND(ISNUMBER(Q147),Q147&gt;0),N(R147)/Q147,"")</f>
        <v/>
      </c>
      <c r="T147" s="43"/>
      <c r="U147" s="43"/>
      <c r="V147" s="42" t="str">
        <f aca="false">IF(AND(ISNUMBER(T147),T147&gt;0),N(U147)/T147,"")</f>
        <v/>
      </c>
      <c r="W147" s="41"/>
      <c r="X147" s="43"/>
      <c r="Y147" s="41"/>
      <c r="Z147" s="41"/>
      <c r="AA147" s="44"/>
      <c r="AB147" s="44"/>
      <c r="AC147" s="45"/>
      <c r="AD147" s="46"/>
      <c r="AE147" s="46"/>
    </row>
    <row r="148" customFormat="false" ht="15" hidden="false" customHeight="false" outlineLevel="0" collapsed="false">
      <c r="A148" s="40"/>
      <c r="B148" s="41"/>
      <c r="C148" s="41"/>
      <c r="D148" s="42" t="str">
        <f aca="false">IF(N(B148)&gt;0,1-N(C148)/(B148*Config!$B$15),"")</f>
        <v/>
      </c>
      <c r="E148" s="43"/>
      <c r="F148" s="43"/>
      <c r="G148" s="43"/>
      <c r="H148" s="42" t="str">
        <f aca="false">IF(AND(ISNUMBER(E148),E148&gt;0),N(G148)/E148,"")</f>
        <v/>
      </c>
      <c r="I148" s="43"/>
      <c r="J148" s="43"/>
      <c r="K148" s="43"/>
      <c r="L148" s="42" t="str">
        <f aca="false">IF(AND(ISNUMBER(I148),I148&gt;0),N(K148)/I148,"")</f>
        <v/>
      </c>
      <c r="M148" s="43"/>
      <c r="N148" s="43"/>
      <c r="O148" s="43"/>
      <c r="P148" s="42" t="str">
        <f aca="false">IF(AND(ISNUMBER(M148),M148&gt;0),N(O148)/M148,"")</f>
        <v/>
      </c>
      <c r="Q148" s="43"/>
      <c r="R148" s="43"/>
      <c r="S148" s="42" t="str">
        <f aca="false">IF(AND(ISNUMBER(Q148),Q148&gt;0),N(R148)/Q148,"")</f>
        <v/>
      </c>
      <c r="T148" s="43"/>
      <c r="U148" s="43"/>
      <c r="V148" s="42" t="str">
        <f aca="false">IF(AND(ISNUMBER(T148),T148&gt;0),N(U148)/T148,"")</f>
        <v/>
      </c>
      <c r="W148" s="41"/>
      <c r="X148" s="43"/>
      <c r="Y148" s="41"/>
      <c r="Z148" s="41"/>
      <c r="AA148" s="44"/>
      <c r="AB148" s="44"/>
      <c r="AC148" s="45"/>
      <c r="AD148" s="46"/>
      <c r="AE148" s="46"/>
    </row>
    <row r="149" customFormat="false" ht="15" hidden="false" customHeight="false" outlineLevel="0" collapsed="false">
      <c r="A149" s="40"/>
      <c r="B149" s="41"/>
      <c r="C149" s="41"/>
      <c r="D149" s="42" t="str">
        <f aca="false">IF(N(B149)&gt;0,1-N(C149)/(B149*Config!$B$15),"")</f>
        <v/>
      </c>
      <c r="E149" s="43"/>
      <c r="F149" s="43"/>
      <c r="G149" s="43"/>
      <c r="H149" s="42" t="str">
        <f aca="false">IF(AND(ISNUMBER(E149),E149&gt;0),N(G149)/E149,"")</f>
        <v/>
      </c>
      <c r="I149" s="43"/>
      <c r="J149" s="43"/>
      <c r="K149" s="43"/>
      <c r="L149" s="42" t="str">
        <f aca="false">IF(AND(ISNUMBER(I149),I149&gt;0),N(K149)/I149,"")</f>
        <v/>
      </c>
      <c r="M149" s="43"/>
      <c r="N149" s="43"/>
      <c r="O149" s="43"/>
      <c r="P149" s="42" t="str">
        <f aca="false">IF(AND(ISNUMBER(M149),M149&gt;0),N(O149)/M149,"")</f>
        <v/>
      </c>
      <c r="Q149" s="43"/>
      <c r="R149" s="43"/>
      <c r="S149" s="42" t="str">
        <f aca="false">IF(AND(ISNUMBER(Q149),Q149&gt;0),N(R149)/Q149,"")</f>
        <v/>
      </c>
      <c r="T149" s="43"/>
      <c r="U149" s="43"/>
      <c r="V149" s="42" t="str">
        <f aca="false">IF(AND(ISNUMBER(T149),T149&gt;0),N(U149)/T149,"")</f>
        <v/>
      </c>
      <c r="W149" s="41"/>
      <c r="X149" s="43"/>
      <c r="Y149" s="41"/>
      <c r="Z149" s="41"/>
      <c r="AA149" s="44"/>
      <c r="AB149" s="44"/>
      <c r="AC149" s="45"/>
      <c r="AD149" s="46"/>
      <c r="AE149" s="46"/>
    </row>
    <row r="150" customFormat="false" ht="15" hidden="false" customHeight="false" outlineLevel="0" collapsed="false">
      <c r="A150" s="40"/>
      <c r="B150" s="41"/>
      <c r="C150" s="41"/>
      <c r="D150" s="42" t="str">
        <f aca="false">IF(N(B150)&gt;0,1-N(C150)/(B150*Config!$B$15),"")</f>
        <v/>
      </c>
      <c r="E150" s="43"/>
      <c r="F150" s="43"/>
      <c r="G150" s="43"/>
      <c r="H150" s="42" t="str">
        <f aca="false">IF(AND(ISNUMBER(E150),E150&gt;0),N(G150)/E150,"")</f>
        <v/>
      </c>
      <c r="I150" s="43"/>
      <c r="J150" s="43"/>
      <c r="K150" s="43"/>
      <c r="L150" s="42" t="str">
        <f aca="false">IF(AND(ISNUMBER(I150),I150&gt;0),N(K150)/I150,"")</f>
        <v/>
      </c>
      <c r="M150" s="43"/>
      <c r="N150" s="43"/>
      <c r="O150" s="43"/>
      <c r="P150" s="42" t="str">
        <f aca="false">IF(AND(ISNUMBER(M150),M150&gt;0),N(O150)/M150,"")</f>
        <v/>
      </c>
      <c r="Q150" s="43"/>
      <c r="R150" s="43"/>
      <c r="S150" s="42" t="str">
        <f aca="false">IF(AND(ISNUMBER(Q150),Q150&gt;0),N(R150)/Q150,"")</f>
        <v/>
      </c>
      <c r="T150" s="43"/>
      <c r="U150" s="43"/>
      <c r="V150" s="42" t="str">
        <f aca="false">IF(AND(ISNUMBER(T150),T150&gt;0),N(U150)/T150,"")</f>
        <v/>
      </c>
      <c r="W150" s="41"/>
      <c r="X150" s="43"/>
      <c r="Y150" s="41"/>
      <c r="Z150" s="41"/>
      <c r="AA150" s="44"/>
      <c r="AB150" s="44"/>
      <c r="AC150" s="45"/>
      <c r="AD150" s="46"/>
      <c r="AE150" s="46"/>
    </row>
    <row r="151" customFormat="false" ht="15" hidden="false" customHeight="false" outlineLevel="0" collapsed="false">
      <c r="A151" s="40"/>
      <c r="B151" s="41"/>
      <c r="C151" s="41"/>
      <c r="D151" s="42" t="str">
        <f aca="false">IF(N(B151)&gt;0,1-N(C151)/(B151*Config!$B$15),"")</f>
        <v/>
      </c>
      <c r="E151" s="43"/>
      <c r="F151" s="43"/>
      <c r="G151" s="43"/>
      <c r="H151" s="42" t="str">
        <f aca="false">IF(AND(ISNUMBER(E151),E151&gt;0),N(G151)/E151,"")</f>
        <v/>
      </c>
      <c r="I151" s="43"/>
      <c r="J151" s="43"/>
      <c r="K151" s="43"/>
      <c r="L151" s="42" t="str">
        <f aca="false">IF(AND(ISNUMBER(I151),I151&gt;0),N(K151)/I151,"")</f>
        <v/>
      </c>
      <c r="M151" s="43"/>
      <c r="N151" s="43"/>
      <c r="O151" s="43"/>
      <c r="P151" s="42" t="str">
        <f aca="false">IF(AND(ISNUMBER(M151),M151&gt;0),N(O151)/M151,"")</f>
        <v/>
      </c>
      <c r="Q151" s="43"/>
      <c r="R151" s="43"/>
      <c r="S151" s="42" t="str">
        <f aca="false">IF(AND(ISNUMBER(Q151),Q151&gt;0),N(R151)/Q151,"")</f>
        <v/>
      </c>
      <c r="T151" s="43"/>
      <c r="U151" s="43"/>
      <c r="V151" s="42" t="str">
        <f aca="false">IF(AND(ISNUMBER(T151),T151&gt;0),N(U151)/T151,"")</f>
        <v/>
      </c>
      <c r="W151" s="41"/>
      <c r="X151" s="43"/>
      <c r="Y151" s="41"/>
      <c r="Z151" s="41"/>
      <c r="AA151" s="44"/>
      <c r="AB151" s="44"/>
      <c r="AC151" s="45"/>
      <c r="AD151" s="46"/>
      <c r="AE151" s="46"/>
    </row>
    <row r="152" customFormat="false" ht="15" hidden="false" customHeight="false" outlineLevel="0" collapsed="false">
      <c r="A152" s="40"/>
      <c r="B152" s="41"/>
      <c r="C152" s="41"/>
      <c r="D152" s="42" t="str">
        <f aca="false">IF(N(B152)&gt;0,1-N(C152)/(B152*Config!$B$15),"")</f>
        <v/>
      </c>
      <c r="E152" s="43"/>
      <c r="F152" s="43"/>
      <c r="G152" s="43"/>
      <c r="H152" s="42" t="str">
        <f aca="false">IF(AND(ISNUMBER(E152),E152&gt;0),N(G152)/E152,"")</f>
        <v/>
      </c>
      <c r="I152" s="43"/>
      <c r="J152" s="43"/>
      <c r="K152" s="43"/>
      <c r="L152" s="42" t="str">
        <f aca="false">IF(AND(ISNUMBER(I152),I152&gt;0),N(K152)/I152,"")</f>
        <v/>
      </c>
      <c r="M152" s="43"/>
      <c r="N152" s="43"/>
      <c r="O152" s="43"/>
      <c r="P152" s="42" t="str">
        <f aca="false">IF(AND(ISNUMBER(M152),M152&gt;0),N(O152)/M152,"")</f>
        <v/>
      </c>
      <c r="Q152" s="43"/>
      <c r="R152" s="43"/>
      <c r="S152" s="42" t="str">
        <f aca="false">IF(AND(ISNUMBER(Q152),Q152&gt;0),N(R152)/Q152,"")</f>
        <v/>
      </c>
      <c r="T152" s="43"/>
      <c r="U152" s="43"/>
      <c r="V152" s="42" t="str">
        <f aca="false">IF(AND(ISNUMBER(T152),T152&gt;0),N(U152)/T152,"")</f>
        <v/>
      </c>
      <c r="W152" s="41"/>
      <c r="X152" s="43"/>
      <c r="Y152" s="41"/>
      <c r="Z152" s="41"/>
      <c r="AA152" s="44"/>
      <c r="AB152" s="44"/>
      <c r="AC152" s="45"/>
      <c r="AD152" s="46"/>
      <c r="AE152" s="46"/>
    </row>
    <row r="153" customFormat="false" ht="15" hidden="false" customHeight="false" outlineLevel="0" collapsed="false">
      <c r="A153" s="40"/>
      <c r="B153" s="41"/>
      <c r="C153" s="41"/>
      <c r="D153" s="42" t="str">
        <f aca="false">IF(N(B153)&gt;0,1-N(C153)/(B153*Config!$B$15),"")</f>
        <v/>
      </c>
      <c r="E153" s="43"/>
      <c r="F153" s="43"/>
      <c r="G153" s="43"/>
      <c r="H153" s="42" t="str">
        <f aca="false">IF(AND(ISNUMBER(E153),E153&gt;0),N(G153)/E153,"")</f>
        <v/>
      </c>
      <c r="I153" s="43"/>
      <c r="J153" s="43"/>
      <c r="K153" s="43"/>
      <c r="L153" s="42" t="str">
        <f aca="false">IF(AND(ISNUMBER(I153),I153&gt;0),N(K153)/I153,"")</f>
        <v/>
      </c>
      <c r="M153" s="43"/>
      <c r="N153" s="43"/>
      <c r="O153" s="43"/>
      <c r="P153" s="42" t="str">
        <f aca="false">IF(AND(ISNUMBER(M153),M153&gt;0),N(O153)/M153,"")</f>
        <v/>
      </c>
      <c r="Q153" s="43"/>
      <c r="R153" s="43"/>
      <c r="S153" s="42" t="str">
        <f aca="false">IF(AND(ISNUMBER(Q153),Q153&gt;0),N(R153)/Q153,"")</f>
        <v/>
      </c>
      <c r="T153" s="43"/>
      <c r="U153" s="43"/>
      <c r="V153" s="42" t="str">
        <f aca="false">IF(AND(ISNUMBER(T153),T153&gt;0),N(U153)/T153,"")</f>
        <v/>
      </c>
      <c r="W153" s="41"/>
      <c r="X153" s="43"/>
      <c r="Y153" s="41"/>
      <c r="Z153" s="41"/>
      <c r="AA153" s="44"/>
      <c r="AB153" s="44"/>
      <c r="AC153" s="45"/>
      <c r="AD153" s="46"/>
      <c r="AE153" s="46"/>
    </row>
    <row r="154" customFormat="false" ht="15" hidden="false" customHeight="false" outlineLevel="0" collapsed="false">
      <c r="A154" s="40"/>
      <c r="B154" s="41"/>
      <c r="C154" s="41"/>
      <c r="D154" s="42" t="str">
        <f aca="false">IF(N(B154)&gt;0,1-N(C154)/(B154*Config!$B$15),"")</f>
        <v/>
      </c>
      <c r="E154" s="43"/>
      <c r="F154" s="43"/>
      <c r="G154" s="43"/>
      <c r="H154" s="42" t="str">
        <f aca="false">IF(AND(ISNUMBER(E154),E154&gt;0),N(G154)/E154,"")</f>
        <v/>
      </c>
      <c r="I154" s="43"/>
      <c r="J154" s="43"/>
      <c r="K154" s="43"/>
      <c r="L154" s="42" t="str">
        <f aca="false">IF(AND(ISNUMBER(I154),I154&gt;0),N(K154)/I154,"")</f>
        <v/>
      </c>
      <c r="M154" s="43"/>
      <c r="N154" s="43"/>
      <c r="O154" s="43"/>
      <c r="P154" s="42" t="str">
        <f aca="false">IF(AND(ISNUMBER(M154),M154&gt;0),N(O154)/M154,"")</f>
        <v/>
      </c>
      <c r="Q154" s="43"/>
      <c r="R154" s="43"/>
      <c r="S154" s="42" t="str">
        <f aca="false">IF(AND(ISNUMBER(Q154),Q154&gt;0),N(R154)/Q154,"")</f>
        <v/>
      </c>
      <c r="T154" s="43"/>
      <c r="U154" s="43"/>
      <c r="V154" s="42" t="str">
        <f aca="false">IF(AND(ISNUMBER(T154),T154&gt;0),N(U154)/T154,"")</f>
        <v/>
      </c>
      <c r="W154" s="41"/>
      <c r="X154" s="43"/>
      <c r="Y154" s="41"/>
      <c r="Z154" s="41"/>
      <c r="AA154" s="44"/>
      <c r="AB154" s="44"/>
      <c r="AC154" s="45"/>
      <c r="AD154" s="46"/>
      <c r="AE154" s="46"/>
    </row>
    <row r="155" customFormat="false" ht="15" hidden="false" customHeight="false" outlineLevel="0" collapsed="false">
      <c r="A155" s="40"/>
      <c r="B155" s="41"/>
      <c r="C155" s="41"/>
      <c r="D155" s="42" t="str">
        <f aca="false">IF(N(B155)&gt;0,1-N(C155)/(B155*Config!$B$15),"")</f>
        <v/>
      </c>
      <c r="E155" s="43"/>
      <c r="F155" s="43"/>
      <c r="G155" s="43"/>
      <c r="H155" s="42" t="str">
        <f aca="false">IF(AND(ISNUMBER(E155),E155&gt;0),N(G155)/E155,"")</f>
        <v/>
      </c>
      <c r="I155" s="43"/>
      <c r="J155" s="43"/>
      <c r="K155" s="43"/>
      <c r="L155" s="42" t="str">
        <f aca="false">IF(AND(ISNUMBER(I155),I155&gt;0),N(K155)/I155,"")</f>
        <v/>
      </c>
      <c r="M155" s="43"/>
      <c r="N155" s="43"/>
      <c r="O155" s="43"/>
      <c r="P155" s="42" t="str">
        <f aca="false">IF(AND(ISNUMBER(M155),M155&gt;0),N(O155)/M155,"")</f>
        <v/>
      </c>
      <c r="Q155" s="43"/>
      <c r="R155" s="43"/>
      <c r="S155" s="42" t="str">
        <f aca="false">IF(AND(ISNUMBER(Q155),Q155&gt;0),N(R155)/Q155,"")</f>
        <v/>
      </c>
      <c r="T155" s="43"/>
      <c r="U155" s="43"/>
      <c r="V155" s="42" t="str">
        <f aca="false">IF(AND(ISNUMBER(T155),T155&gt;0),N(U155)/T155,"")</f>
        <v/>
      </c>
      <c r="W155" s="41"/>
      <c r="X155" s="43"/>
      <c r="Y155" s="41"/>
      <c r="Z155" s="41"/>
      <c r="AA155" s="44"/>
      <c r="AB155" s="44"/>
      <c r="AC155" s="45"/>
      <c r="AD155" s="46"/>
      <c r="AE155" s="46"/>
    </row>
    <row r="156" customFormat="false" ht="15" hidden="false" customHeight="false" outlineLevel="0" collapsed="false">
      <c r="A156" s="40"/>
      <c r="B156" s="41"/>
      <c r="C156" s="41"/>
      <c r="D156" s="42" t="str">
        <f aca="false">IF(N(B156)&gt;0,1-N(C156)/(B156*Config!$B$15),"")</f>
        <v/>
      </c>
      <c r="E156" s="43"/>
      <c r="F156" s="43"/>
      <c r="G156" s="43"/>
      <c r="H156" s="42" t="str">
        <f aca="false">IF(AND(ISNUMBER(E156),E156&gt;0),N(G156)/E156,"")</f>
        <v/>
      </c>
      <c r="I156" s="43"/>
      <c r="J156" s="43"/>
      <c r="K156" s="43"/>
      <c r="L156" s="42" t="str">
        <f aca="false">IF(AND(ISNUMBER(I156),I156&gt;0),N(K156)/I156,"")</f>
        <v/>
      </c>
      <c r="M156" s="43"/>
      <c r="N156" s="43"/>
      <c r="O156" s="43"/>
      <c r="P156" s="42" t="str">
        <f aca="false">IF(AND(ISNUMBER(M156),M156&gt;0),N(O156)/M156,"")</f>
        <v/>
      </c>
      <c r="Q156" s="43"/>
      <c r="R156" s="43"/>
      <c r="S156" s="42" t="str">
        <f aca="false">IF(AND(ISNUMBER(Q156),Q156&gt;0),N(R156)/Q156,"")</f>
        <v/>
      </c>
      <c r="T156" s="43"/>
      <c r="U156" s="43"/>
      <c r="V156" s="42" t="str">
        <f aca="false">IF(AND(ISNUMBER(T156),T156&gt;0),N(U156)/T156,"")</f>
        <v/>
      </c>
      <c r="W156" s="41"/>
      <c r="X156" s="43"/>
      <c r="Y156" s="41"/>
      <c r="Z156" s="41"/>
      <c r="AA156" s="44"/>
      <c r="AB156" s="44"/>
      <c r="AC156" s="45"/>
      <c r="AD156" s="46"/>
      <c r="AE156" s="46"/>
    </row>
    <row r="157" customFormat="false" ht="15" hidden="false" customHeight="false" outlineLevel="0" collapsed="false">
      <c r="A157" s="40"/>
      <c r="B157" s="41"/>
      <c r="C157" s="41"/>
      <c r="D157" s="42" t="str">
        <f aca="false">IF(N(B157)&gt;0,1-N(C157)/(B157*Config!$B$15),"")</f>
        <v/>
      </c>
      <c r="E157" s="43"/>
      <c r="F157" s="43"/>
      <c r="G157" s="43"/>
      <c r="H157" s="42" t="str">
        <f aca="false">IF(AND(ISNUMBER(E157),E157&gt;0),N(G157)/E157,"")</f>
        <v/>
      </c>
      <c r="I157" s="43"/>
      <c r="J157" s="43"/>
      <c r="K157" s="43"/>
      <c r="L157" s="42" t="str">
        <f aca="false">IF(AND(ISNUMBER(I157),I157&gt;0),N(K157)/I157,"")</f>
        <v/>
      </c>
      <c r="M157" s="43"/>
      <c r="N157" s="43"/>
      <c r="O157" s="43"/>
      <c r="P157" s="42" t="str">
        <f aca="false">IF(AND(ISNUMBER(M157),M157&gt;0),N(O157)/M157,"")</f>
        <v/>
      </c>
      <c r="Q157" s="43"/>
      <c r="R157" s="43"/>
      <c r="S157" s="42" t="str">
        <f aca="false">IF(AND(ISNUMBER(Q157),Q157&gt;0),N(R157)/Q157,"")</f>
        <v/>
      </c>
      <c r="T157" s="43"/>
      <c r="U157" s="43"/>
      <c r="V157" s="42" t="str">
        <f aca="false">IF(AND(ISNUMBER(T157),T157&gt;0),N(U157)/T157,"")</f>
        <v/>
      </c>
      <c r="W157" s="41"/>
      <c r="X157" s="43"/>
      <c r="Y157" s="41"/>
      <c r="Z157" s="41"/>
      <c r="AA157" s="44"/>
      <c r="AB157" s="44"/>
      <c r="AC157" s="45"/>
      <c r="AD157" s="46"/>
      <c r="AE157" s="46"/>
    </row>
    <row r="158" customFormat="false" ht="15" hidden="false" customHeight="false" outlineLevel="0" collapsed="false">
      <c r="A158" s="40"/>
      <c r="B158" s="41"/>
      <c r="C158" s="41"/>
      <c r="D158" s="42" t="str">
        <f aca="false">IF(N(B158)&gt;0,1-N(C158)/(B158*Config!$B$15),"")</f>
        <v/>
      </c>
      <c r="E158" s="43"/>
      <c r="F158" s="43"/>
      <c r="G158" s="43"/>
      <c r="H158" s="42" t="str">
        <f aca="false">IF(AND(ISNUMBER(E158),E158&gt;0),N(G158)/E158,"")</f>
        <v/>
      </c>
      <c r="I158" s="43"/>
      <c r="J158" s="43"/>
      <c r="K158" s="43"/>
      <c r="L158" s="42" t="str">
        <f aca="false">IF(AND(ISNUMBER(I158),I158&gt;0),N(K158)/I158,"")</f>
        <v/>
      </c>
      <c r="M158" s="43"/>
      <c r="N158" s="43"/>
      <c r="O158" s="43"/>
      <c r="P158" s="42" t="str">
        <f aca="false">IF(AND(ISNUMBER(M158),M158&gt;0),N(O158)/M158,"")</f>
        <v/>
      </c>
      <c r="Q158" s="43"/>
      <c r="R158" s="43"/>
      <c r="S158" s="42" t="str">
        <f aca="false">IF(AND(ISNUMBER(Q158),Q158&gt;0),N(R158)/Q158,"")</f>
        <v/>
      </c>
      <c r="T158" s="43"/>
      <c r="U158" s="43"/>
      <c r="V158" s="42" t="str">
        <f aca="false">IF(AND(ISNUMBER(T158),T158&gt;0),N(U158)/T158,"")</f>
        <v/>
      </c>
      <c r="W158" s="41"/>
      <c r="X158" s="43"/>
      <c r="Y158" s="41"/>
      <c r="Z158" s="41"/>
      <c r="AA158" s="44"/>
      <c r="AB158" s="44"/>
      <c r="AC158" s="45"/>
      <c r="AD158" s="46"/>
      <c r="AE158" s="46"/>
    </row>
    <row r="159" customFormat="false" ht="15" hidden="false" customHeight="false" outlineLevel="0" collapsed="false">
      <c r="A159" s="40"/>
      <c r="B159" s="41"/>
      <c r="C159" s="41"/>
      <c r="D159" s="42" t="str">
        <f aca="false">IF(N(B159)&gt;0,1-N(C159)/(B159*Config!$B$15),"")</f>
        <v/>
      </c>
      <c r="E159" s="43"/>
      <c r="F159" s="43"/>
      <c r="G159" s="43"/>
      <c r="H159" s="42" t="str">
        <f aca="false">IF(AND(ISNUMBER(E159),E159&gt;0),N(G159)/E159,"")</f>
        <v/>
      </c>
      <c r="I159" s="43"/>
      <c r="J159" s="43"/>
      <c r="K159" s="43"/>
      <c r="L159" s="42" t="str">
        <f aca="false">IF(AND(ISNUMBER(I159),I159&gt;0),N(K159)/I159,"")</f>
        <v/>
      </c>
      <c r="M159" s="43"/>
      <c r="N159" s="43"/>
      <c r="O159" s="43"/>
      <c r="P159" s="42" t="str">
        <f aca="false">IF(AND(ISNUMBER(M159),M159&gt;0),N(O159)/M159,"")</f>
        <v/>
      </c>
      <c r="Q159" s="43"/>
      <c r="R159" s="43"/>
      <c r="S159" s="42" t="str">
        <f aca="false">IF(AND(ISNUMBER(Q159),Q159&gt;0),N(R159)/Q159,"")</f>
        <v/>
      </c>
      <c r="T159" s="43"/>
      <c r="U159" s="43"/>
      <c r="V159" s="42" t="str">
        <f aca="false">IF(AND(ISNUMBER(T159),T159&gt;0),N(U159)/T159,"")</f>
        <v/>
      </c>
      <c r="W159" s="41"/>
      <c r="X159" s="43"/>
      <c r="Y159" s="41"/>
      <c r="Z159" s="41"/>
      <c r="AA159" s="44"/>
      <c r="AB159" s="44"/>
      <c r="AC159" s="45"/>
      <c r="AD159" s="46"/>
      <c r="AE159" s="46"/>
    </row>
    <row r="160" customFormat="false" ht="15" hidden="false" customHeight="false" outlineLevel="0" collapsed="false">
      <c r="A160" s="40"/>
      <c r="B160" s="41"/>
      <c r="C160" s="41"/>
      <c r="D160" s="42" t="str">
        <f aca="false">IF(N(B160)&gt;0,1-N(C160)/(B160*Config!$B$15),"")</f>
        <v/>
      </c>
      <c r="E160" s="43"/>
      <c r="F160" s="43"/>
      <c r="G160" s="43"/>
      <c r="H160" s="42" t="str">
        <f aca="false">IF(AND(ISNUMBER(E160),E160&gt;0),N(G160)/E160,"")</f>
        <v/>
      </c>
      <c r="I160" s="43"/>
      <c r="J160" s="43"/>
      <c r="K160" s="43"/>
      <c r="L160" s="42" t="str">
        <f aca="false">IF(AND(ISNUMBER(I160),I160&gt;0),N(K160)/I160,"")</f>
        <v/>
      </c>
      <c r="M160" s="43"/>
      <c r="N160" s="43"/>
      <c r="O160" s="43"/>
      <c r="P160" s="42" t="str">
        <f aca="false">IF(AND(ISNUMBER(M160),M160&gt;0),N(O160)/M160,"")</f>
        <v/>
      </c>
      <c r="Q160" s="43"/>
      <c r="R160" s="43"/>
      <c r="S160" s="42" t="str">
        <f aca="false">IF(AND(ISNUMBER(Q160),Q160&gt;0),N(R160)/Q160,"")</f>
        <v/>
      </c>
      <c r="T160" s="43"/>
      <c r="U160" s="43"/>
      <c r="V160" s="42" t="str">
        <f aca="false">IF(AND(ISNUMBER(T160),T160&gt;0),N(U160)/T160,"")</f>
        <v/>
      </c>
      <c r="W160" s="41"/>
      <c r="X160" s="43"/>
      <c r="Y160" s="41"/>
      <c r="Z160" s="41"/>
      <c r="AA160" s="44"/>
      <c r="AB160" s="44"/>
      <c r="AC160" s="45"/>
      <c r="AD160" s="46"/>
      <c r="AE160" s="46"/>
    </row>
    <row r="161" customFormat="false" ht="15" hidden="false" customHeight="false" outlineLevel="0" collapsed="false">
      <c r="A161" s="40"/>
      <c r="B161" s="41"/>
      <c r="C161" s="41"/>
      <c r="D161" s="42" t="str">
        <f aca="false">IF(N(B161)&gt;0,1-N(C161)/(B161*Config!$B$15),"")</f>
        <v/>
      </c>
      <c r="E161" s="43"/>
      <c r="F161" s="43"/>
      <c r="G161" s="43"/>
      <c r="H161" s="42" t="str">
        <f aca="false">IF(AND(ISNUMBER(E161),E161&gt;0),N(G161)/E161,"")</f>
        <v/>
      </c>
      <c r="I161" s="43"/>
      <c r="J161" s="43"/>
      <c r="K161" s="43"/>
      <c r="L161" s="42" t="str">
        <f aca="false">IF(AND(ISNUMBER(I161),I161&gt;0),N(K161)/I161,"")</f>
        <v/>
      </c>
      <c r="M161" s="43"/>
      <c r="N161" s="43"/>
      <c r="O161" s="43"/>
      <c r="P161" s="42" t="str">
        <f aca="false">IF(AND(ISNUMBER(M161),M161&gt;0),N(O161)/M161,"")</f>
        <v/>
      </c>
      <c r="Q161" s="43"/>
      <c r="R161" s="43"/>
      <c r="S161" s="42" t="str">
        <f aca="false">IF(AND(ISNUMBER(Q161),Q161&gt;0),N(R161)/Q161,"")</f>
        <v/>
      </c>
      <c r="T161" s="43"/>
      <c r="U161" s="43"/>
      <c r="V161" s="42" t="str">
        <f aca="false">IF(AND(ISNUMBER(T161),T161&gt;0),N(U161)/T161,"")</f>
        <v/>
      </c>
      <c r="W161" s="41"/>
      <c r="X161" s="43"/>
      <c r="Y161" s="41"/>
      <c r="Z161" s="41"/>
      <c r="AA161" s="44"/>
      <c r="AB161" s="44"/>
      <c r="AC161" s="45"/>
      <c r="AD161" s="46"/>
      <c r="AE161" s="46"/>
    </row>
    <row r="162" customFormat="false" ht="15" hidden="false" customHeight="false" outlineLevel="0" collapsed="false">
      <c r="A162" s="40"/>
      <c r="B162" s="41"/>
      <c r="C162" s="41"/>
      <c r="D162" s="42" t="str">
        <f aca="false">IF(N(B162)&gt;0,1-N(C162)/(B162*Config!$B$15),"")</f>
        <v/>
      </c>
      <c r="E162" s="43"/>
      <c r="F162" s="43"/>
      <c r="G162" s="43"/>
      <c r="H162" s="42" t="str">
        <f aca="false">IF(AND(ISNUMBER(E162),E162&gt;0),N(G162)/E162,"")</f>
        <v/>
      </c>
      <c r="I162" s="43"/>
      <c r="J162" s="43"/>
      <c r="K162" s="43"/>
      <c r="L162" s="42" t="str">
        <f aca="false">IF(AND(ISNUMBER(I162),I162&gt;0),N(K162)/I162,"")</f>
        <v/>
      </c>
      <c r="M162" s="43"/>
      <c r="N162" s="43"/>
      <c r="O162" s="43"/>
      <c r="P162" s="42" t="str">
        <f aca="false">IF(AND(ISNUMBER(M162),M162&gt;0),N(O162)/M162,"")</f>
        <v/>
      </c>
      <c r="Q162" s="43"/>
      <c r="R162" s="43"/>
      <c r="S162" s="42" t="str">
        <f aca="false">IF(AND(ISNUMBER(Q162),Q162&gt;0),N(R162)/Q162,"")</f>
        <v/>
      </c>
      <c r="T162" s="43"/>
      <c r="U162" s="43"/>
      <c r="V162" s="42" t="str">
        <f aca="false">IF(AND(ISNUMBER(T162),T162&gt;0),N(U162)/T162,"")</f>
        <v/>
      </c>
      <c r="W162" s="41"/>
      <c r="X162" s="43"/>
      <c r="Y162" s="41"/>
      <c r="Z162" s="41"/>
      <c r="AA162" s="44"/>
      <c r="AB162" s="44"/>
      <c r="AC162" s="45"/>
      <c r="AD162" s="46"/>
      <c r="AE162" s="46"/>
    </row>
    <row r="163" customFormat="false" ht="15" hidden="false" customHeight="false" outlineLevel="0" collapsed="false">
      <c r="A163" s="40"/>
      <c r="B163" s="41"/>
      <c r="C163" s="41"/>
      <c r="D163" s="42" t="str">
        <f aca="false">IF(N(B163)&gt;0,1-N(C163)/(B163*Config!$B$15),"")</f>
        <v/>
      </c>
      <c r="E163" s="43"/>
      <c r="F163" s="43"/>
      <c r="G163" s="43"/>
      <c r="H163" s="42" t="str">
        <f aca="false">IF(AND(ISNUMBER(E163),E163&gt;0),N(G163)/E163,"")</f>
        <v/>
      </c>
      <c r="I163" s="43"/>
      <c r="J163" s="43"/>
      <c r="K163" s="43"/>
      <c r="L163" s="42" t="str">
        <f aca="false">IF(AND(ISNUMBER(I163),I163&gt;0),N(K163)/I163,"")</f>
        <v/>
      </c>
      <c r="M163" s="43"/>
      <c r="N163" s="43"/>
      <c r="O163" s="43"/>
      <c r="P163" s="42" t="str">
        <f aca="false">IF(AND(ISNUMBER(M163),M163&gt;0),N(O163)/M163,"")</f>
        <v/>
      </c>
      <c r="Q163" s="43"/>
      <c r="R163" s="43"/>
      <c r="S163" s="42" t="str">
        <f aca="false">IF(AND(ISNUMBER(Q163),Q163&gt;0),N(R163)/Q163,"")</f>
        <v/>
      </c>
      <c r="T163" s="43"/>
      <c r="U163" s="43"/>
      <c r="V163" s="42" t="str">
        <f aca="false">IF(AND(ISNUMBER(T163),T163&gt;0),N(U163)/T163,"")</f>
        <v/>
      </c>
      <c r="W163" s="41"/>
      <c r="X163" s="43"/>
      <c r="Y163" s="41"/>
      <c r="Z163" s="41"/>
      <c r="AA163" s="44"/>
      <c r="AB163" s="44"/>
      <c r="AC163" s="45"/>
      <c r="AD163" s="46"/>
      <c r="AE163" s="46"/>
    </row>
    <row r="164" customFormat="false" ht="15" hidden="false" customHeight="false" outlineLevel="0" collapsed="false">
      <c r="A164" s="40"/>
      <c r="B164" s="41"/>
      <c r="C164" s="41"/>
      <c r="D164" s="42" t="str">
        <f aca="false">IF(N(B164)&gt;0,1-N(C164)/(B164*Config!$B$15),"")</f>
        <v/>
      </c>
      <c r="E164" s="43"/>
      <c r="F164" s="43"/>
      <c r="G164" s="43"/>
      <c r="H164" s="42" t="str">
        <f aca="false">IF(AND(ISNUMBER(E164),E164&gt;0),N(G164)/E164,"")</f>
        <v/>
      </c>
      <c r="I164" s="43"/>
      <c r="J164" s="43"/>
      <c r="K164" s="43"/>
      <c r="L164" s="42" t="str">
        <f aca="false">IF(AND(ISNUMBER(I164),I164&gt;0),N(K164)/I164,"")</f>
        <v/>
      </c>
      <c r="M164" s="43"/>
      <c r="N164" s="43"/>
      <c r="O164" s="43"/>
      <c r="P164" s="42" t="str">
        <f aca="false">IF(AND(ISNUMBER(M164),M164&gt;0),N(O164)/M164,"")</f>
        <v/>
      </c>
      <c r="Q164" s="43"/>
      <c r="R164" s="43"/>
      <c r="S164" s="42" t="str">
        <f aca="false">IF(AND(ISNUMBER(Q164),Q164&gt;0),N(R164)/Q164,"")</f>
        <v/>
      </c>
      <c r="T164" s="43"/>
      <c r="U164" s="43"/>
      <c r="V164" s="42" t="str">
        <f aca="false">IF(AND(ISNUMBER(T164),T164&gt;0),N(U164)/T164,"")</f>
        <v/>
      </c>
      <c r="W164" s="41"/>
      <c r="X164" s="43"/>
      <c r="Y164" s="41"/>
      <c r="Z164" s="41"/>
      <c r="AA164" s="44"/>
      <c r="AB164" s="44"/>
      <c r="AC164" s="45"/>
      <c r="AD164" s="46"/>
      <c r="AE164" s="46"/>
    </row>
    <row r="165" customFormat="false" ht="15" hidden="false" customHeight="false" outlineLevel="0" collapsed="false">
      <c r="A165" s="40"/>
      <c r="B165" s="41"/>
      <c r="C165" s="41"/>
      <c r="D165" s="42" t="str">
        <f aca="false">IF(N(B165)&gt;0,1-N(C165)/(B165*Config!$B$15),"")</f>
        <v/>
      </c>
      <c r="E165" s="43"/>
      <c r="F165" s="43"/>
      <c r="G165" s="43"/>
      <c r="H165" s="42" t="str">
        <f aca="false">IF(AND(ISNUMBER(E165),E165&gt;0),N(G165)/E165,"")</f>
        <v/>
      </c>
      <c r="I165" s="43"/>
      <c r="J165" s="43"/>
      <c r="K165" s="43"/>
      <c r="L165" s="42" t="str">
        <f aca="false">IF(AND(ISNUMBER(I165),I165&gt;0),N(K165)/I165,"")</f>
        <v/>
      </c>
      <c r="M165" s="43"/>
      <c r="N165" s="43"/>
      <c r="O165" s="43"/>
      <c r="P165" s="42" t="str">
        <f aca="false">IF(AND(ISNUMBER(M165),M165&gt;0),N(O165)/M165,"")</f>
        <v/>
      </c>
      <c r="Q165" s="43"/>
      <c r="R165" s="43"/>
      <c r="S165" s="42" t="str">
        <f aca="false">IF(AND(ISNUMBER(Q165),Q165&gt;0),N(R165)/Q165,"")</f>
        <v/>
      </c>
      <c r="T165" s="43"/>
      <c r="U165" s="43"/>
      <c r="V165" s="42" t="str">
        <f aca="false">IF(AND(ISNUMBER(T165),T165&gt;0),N(U165)/T165,"")</f>
        <v/>
      </c>
      <c r="W165" s="41"/>
      <c r="X165" s="43"/>
      <c r="Y165" s="41"/>
      <c r="Z165" s="41"/>
      <c r="AA165" s="44"/>
      <c r="AB165" s="44"/>
      <c r="AC165" s="45"/>
      <c r="AD165" s="46"/>
      <c r="AE165" s="46"/>
    </row>
    <row r="166" customFormat="false" ht="15" hidden="false" customHeight="false" outlineLevel="0" collapsed="false">
      <c r="A166" s="40"/>
      <c r="B166" s="41"/>
      <c r="C166" s="41"/>
      <c r="D166" s="42" t="str">
        <f aca="false">IF(N(B166)&gt;0,1-N(C166)/(B166*Config!$B$15),"")</f>
        <v/>
      </c>
      <c r="E166" s="43"/>
      <c r="F166" s="43"/>
      <c r="G166" s="43"/>
      <c r="H166" s="42" t="str">
        <f aca="false">IF(AND(ISNUMBER(E166),E166&gt;0),N(G166)/E166,"")</f>
        <v/>
      </c>
      <c r="I166" s="43"/>
      <c r="J166" s="43"/>
      <c r="K166" s="43"/>
      <c r="L166" s="42" t="str">
        <f aca="false">IF(AND(ISNUMBER(I166),I166&gt;0),N(K166)/I166,"")</f>
        <v/>
      </c>
      <c r="M166" s="43"/>
      <c r="N166" s="43"/>
      <c r="O166" s="43"/>
      <c r="P166" s="42" t="str">
        <f aca="false">IF(AND(ISNUMBER(M166),M166&gt;0),N(O166)/M166,"")</f>
        <v/>
      </c>
      <c r="Q166" s="43"/>
      <c r="R166" s="43"/>
      <c r="S166" s="42" t="str">
        <f aca="false">IF(AND(ISNUMBER(Q166),Q166&gt;0),N(R166)/Q166,"")</f>
        <v/>
      </c>
      <c r="T166" s="43"/>
      <c r="U166" s="43"/>
      <c r="V166" s="42" t="str">
        <f aca="false">IF(AND(ISNUMBER(T166),T166&gt;0),N(U166)/T166,"")</f>
        <v/>
      </c>
      <c r="W166" s="41"/>
      <c r="X166" s="43"/>
      <c r="Y166" s="41"/>
      <c r="Z166" s="41"/>
      <c r="AA166" s="44"/>
      <c r="AB166" s="44"/>
      <c r="AC166" s="45"/>
      <c r="AD166" s="46"/>
      <c r="AE166" s="46"/>
    </row>
    <row r="167" customFormat="false" ht="15" hidden="false" customHeight="false" outlineLevel="0" collapsed="false">
      <c r="A167" s="40"/>
      <c r="B167" s="41"/>
      <c r="C167" s="41"/>
      <c r="D167" s="42" t="str">
        <f aca="false">IF(N(B167)&gt;0,1-N(C167)/(B167*Config!$B$15),"")</f>
        <v/>
      </c>
      <c r="E167" s="43"/>
      <c r="F167" s="43"/>
      <c r="G167" s="43"/>
      <c r="H167" s="42" t="str">
        <f aca="false">IF(AND(ISNUMBER(E167),E167&gt;0),N(G167)/E167,"")</f>
        <v/>
      </c>
      <c r="I167" s="43"/>
      <c r="J167" s="43"/>
      <c r="K167" s="43"/>
      <c r="L167" s="42" t="str">
        <f aca="false">IF(AND(ISNUMBER(I167),I167&gt;0),N(K167)/I167,"")</f>
        <v/>
      </c>
      <c r="M167" s="43"/>
      <c r="N167" s="43"/>
      <c r="O167" s="43"/>
      <c r="P167" s="42" t="str">
        <f aca="false">IF(AND(ISNUMBER(M167),M167&gt;0),N(O167)/M167,"")</f>
        <v/>
      </c>
      <c r="Q167" s="43"/>
      <c r="R167" s="43"/>
      <c r="S167" s="42" t="str">
        <f aca="false">IF(AND(ISNUMBER(Q167),Q167&gt;0),N(R167)/Q167,"")</f>
        <v/>
      </c>
      <c r="T167" s="43"/>
      <c r="U167" s="43"/>
      <c r="V167" s="42" t="str">
        <f aca="false">IF(AND(ISNUMBER(T167),T167&gt;0),N(U167)/T167,"")</f>
        <v/>
      </c>
      <c r="W167" s="41"/>
      <c r="X167" s="43"/>
      <c r="Y167" s="41"/>
      <c r="Z167" s="41"/>
      <c r="AA167" s="44"/>
      <c r="AB167" s="44"/>
      <c r="AC167" s="45"/>
      <c r="AD167" s="46"/>
      <c r="AE167" s="46"/>
    </row>
    <row r="168" customFormat="false" ht="15" hidden="false" customHeight="false" outlineLevel="0" collapsed="false">
      <c r="A168" s="40"/>
      <c r="B168" s="41"/>
      <c r="C168" s="41"/>
      <c r="D168" s="42" t="str">
        <f aca="false">IF(N(B168)&gt;0,1-N(C168)/(B168*Config!$B$15),"")</f>
        <v/>
      </c>
      <c r="E168" s="43"/>
      <c r="F168" s="43"/>
      <c r="G168" s="43"/>
      <c r="H168" s="42" t="str">
        <f aca="false">IF(AND(ISNUMBER(E168),E168&gt;0),N(G168)/E168,"")</f>
        <v/>
      </c>
      <c r="I168" s="43"/>
      <c r="J168" s="43"/>
      <c r="K168" s="43"/>
      <c r="L168" s="42" t="str">
        <f aca="false">IF(AND(ISNUMBER(I168),I168&gt;0),N(K168)/I168,"")</f>
        <v/>
      </c>
      <c r="M168" s="43"/>
      <c r="N168" s="43"/>
      <c r="O168" s="43"/>
      <c r="P168" s="42" t="str">
        <f aca="false">IF(AND(ISNUMBER(M168),M168&gt;0),N(O168)/M168,"")</f>
        <v/>
      </c>
      <c r="Q168" s="43"/>
      <c r="R168" s="43"/>
      <c r="S168" s="42" t="str">
        <f aca="false">IF(AND(ISNUMBER(Q168),Q168&gt;0),N(R168)/Q168,"")</f>
        <v/>
      </c>
      <c r="T168" s="43"/>
      <c r="U168" s="43"/>
      <c r="V168" s="42" t="str">
        <f aca="false">IF(AND(ISNUMBER(T168),T168&gt;0),N(U168)/T168,"")</f>
        <v/>
      </c>
      <c r="W168" s="41"/>
      <c r="X168" s="43"/>
      <c r="Y168" s="41"/>
      <c r="Z168" s="41"/>
      <c r="AA168" s="44"/>
      <c r="AB168" s="44"/>
      <c r="AC168" s="45"/>
      <c r="AD168" s="46"/>
      <c r="AE168" s="46"/>
    </row>
    <row r="169" customFormat="false" ht="15" hidden="false" customHeight="false" outlineLevel="0" collapsed="false">
      <c r="A169" s="40"/>
      <c r="B169" s="41"/>
      <c r="C169" s="41"/>
      <c r="D169" s="42" t="str">
        <f aca="false">IF(N(B169)&gt;0,1-N(C169)/(B169*Config!$B$15),"")</f>
        <v/>
      </c>
      <c r="E169" s="43"/>
      <c r="F169" s="43"/>
      <c r="G169" s="43"/>
      <c r="H169" s="42" t="str">
        <f aca="false">IF(AND(ISNUMBER(E169),E169&gt;0),N(G169)/E169,"")</f>
        <v/>
      </c>
      <c r="I169" s="43"/>
      <c r="J169" s="43"/>
      <c r="K169" s="43"/>
      <c r="L169" s="42" t="str">
        <f aca="false">IF(AND(ISNUMBER(I169),I169&gt;0),N(K169)/I169,"")</f>
        <v/>
      </c>
      <c r="M169" s="43"/>
      <c r="N169" s="43"/>
      <c r="O169" s="43"/>
      <c r="P169" s="42" t="str">
        <f aca="false">IF(AND(ISNUMBER(M169),M169&gt;0),N(O169)/M169,"")</f>
        <v/>
      </c>
      <c r="Q169" s="43"/>
      <c r="R169" s="43"/>
      <c r="S169" s="42" t="str">
        <f aca="false">IF(AND(ISNUMBER(Q169),Q169&gt;0),N(R169)/Q169,"")</f>
        <v/>
      </c>
      <c r="T169" s="43"/>
      <c r="U169" s="43"/>
      <c r="V169" s="42" t="str">
        <f aca="false">IF(AND(ISNUMBER(T169),T169&gt;0),N(U169)/T169,"")</f>
        <v/>
      </c>
      <c r="W169" s="41"/>
      <c r="X169" s="43"/>
      <c r="Y169" s="41"/>
      <c r="Z169" s="41"/>
      <c r="AA169" s="44"/>
      <c r="AB169" s="44"/>
      <c r="AC169" s="45"/>
      <c r="AD169" s="46"/>
      <c r="AE169" s="46"/>
    </row>
    <row r="170" customFormat="false" ht="15" hidden="false" customHeight="false" outlineLevel="0" collapsed="false">
      <c r="A170" s="40"/>
      <c r="B170" s="41"/>
      <c r="C170" s="41"/>
      <c r="D170" s="42" t="str">
        <f aca="false">IF(N(B170)&gt;0,1-N(C170)/(B170*Config!$B$15),"")</f>
        <v/>
      </c>
      <c r="E170" s="43"/>
      <c r="F170" s="43"/>
      <c r="G170" s="43"/>
      <c r="H170" s="42" t="str">
        <f aca="false">IF(AND(ISNUMBER(E170),E170&gt;0),N(G170)/E170,"")</f>
        <v/>
      </c>
      <c r="I170" s="43"/>
      <c r="J170" s="43"/>
      <c r="K170" s="43"/>
      <c r="L170" s="42" t="str">
        <f aca="false">IF(AND(ISNUMBER(I170),I170&gt;0),N(K170)/I170,"")</f>
        <v/>
      </c>
      <c r="M170" s="43"/>
      <c r="N170" s="43"/>
      <c r="O170" s="43"/>
      <c r="P170" s="42" t="str">
        <f aca="false">IF(AND(ISNUMBER(M170),M170&gt;0),N(O170)/M170,"")</f>
        <v/>
      </c>
      <c r="Q170" s="43"/>
      <c r="R170" s="43"/>
      <c r="S170" s="42" t="str">
        <f aca="false">IF(AND(ISNUMBER(Q170),Q170&gt;0),N(R170)/Q170,"")</f>
        <v/>
      </c>
      <c r="T170" s="43"/>
      <c r="U170" s="43"/>
      <c r="V170" s="42" t="str">
        <f aca="false">IF(AND(ISNUMBER(T170),T170&gt;0),N(U170)/T170,"")</f>
        <v/>
      </c>
      <c r="W170" s="41"/>
      <c r="X170" s="43"/>
      <c r="Y170" s="41"/>
      <c r="Z170" s="41"/>
      <c r="AA170" s="44"/>
      <c r="AB170" s="44"/>
      <c r="AC170" s="45"/>
      <c r="AD170" s="46"/>
      <c r="AE170" s="46"/>
    </row>
    <row r="171" customFormat="false" ht="15" hidden="false" customHeight="false" outlineLevel="0" collapsed="false">
      <c r="A171" s="40"/>
      <c r="B171" s="41"/>
      <c r="C171" s="41"/>
      <c r="D171" s="42" t="str">
        <f aca="false">IF(N(B171)&gt;0,1-N(C171)/(B171*Config!$B$15),"")</f>
        <v/>
      </c>
      <c r="E171" s="43"/>
      <c r="F171" s="43"/>
      <c r="G171" s="43"/>
      <c r="H171" s="42" t="str">
        <f aca="false">IF(AND(ISNUMBER(E171),E171&gt;0),N(G171)/E171,"")</f>
        <v/>
      </c>
      <c r="I171" s="43"/>
      <c r="J171" s="43"/>
      <c r="K171" s="43"/>
      <c r="L171" s="42" t="str">
        <f aca="false">IF(AND(ISNUMBER(I171),I171&gt;0),N(K171)/I171,"")</f>
        <v/>
      </c>
      <c r="M171" s="43"/>
      <c r="N171" s="43"/>
      <c r="O171" s="43"/>
      <c r="P171" s="42" t="str">
        <f aca="false">IF(AND(ISNUMBER(M171),M171&gt;0),N(O171)/M171,"")</f>
        <v/>
      </c>
      <c r="Q171" s="43"/>
      <c r="R171" s="43"/>
      <c r="S171" s="42" t="str">
        <f aca="false">IF(AND(ISNUMBER(Q171),Q171&gt;0),N(R171)/Q171,"")</f>
        <v/>
      </c>
      <c r="T171" s="43"/>
      <c r="U171" s="43"/>
      <c r="V171" s="42" t="str">
        <f aca="false">IF(AND(ISNUMBER(T171),T171&gt;0),N(U171)/T171,"")</f>
        <v/>
      </c>
      <c r="W171" s="41"/>
      <c r="X171" s="43"/>
      <c r="Y171" s="41"/>
      <c r="Z171" s="41"/>
      <c r="AA171" s="44"/>
      <c r="AB171" s="44"/>
      <c r="AC171" s="45"/>
      <c r="AD171" s="46"/>
      <c r="AE171" s="46"/>
    </row>
    <row r="172" customFormat="false" ht="15" hidden="false" customHeight="false" outlineLevel="0" collapsed="false">
      <c r="A172" s="40"/>
      <c r="B172" s="41"/>
      <c r="C172" s="41"/>
      <c r="D172" s="42" t="str">
        <f aca="false">IF(N(B172)&gt;0,1-N(C172)/(B172*Config!$B$15),"")</f>
        <v/>
      </c>
      <c r="E172" s="43"/>
      <c r="F172" s="43"/>
      <c r="G172" s="43"/>
      <c r="H172" s="42" t="str">
        <f aca="false">IF(AND(ISNUMBER(E172),E172&gt;0),N(G172)/E172,"")</f>
        <v/>
      </c>
      <c r="I172" s="43"/>
      <c r="J172" s="43"/>
      <c r="K172" s="43"/>
      <c r="L172" s="42" t="str">
        <f aca="false">IF(AND(ISNUMBER(I172),I172&gt;0),N(K172)/I172,"")</f>
        <v/>
      </c>
      <c r="M172" s="43"/>
      <c r="N172" s="43"/>
      <c r="O172" s="43"/>
      <c r="P172" s="42" t="str">
        <f aca="false">IF(AND(ISNUMBER(M172),M172&gt;0),N(O172)/M172,"")</f>
        <v/>
      </c>
      <c r="Q172" s="43"/>
      <c r="R172" s="43"/>
      <c r="S172" s="42" t="str">
        <f aca="false">IF(AND(ISNUMBER(Q172),Q172&gt;0),N(R172)/Q172,"")</f>
        <v/>
      </c>
      <c r="T172" s="43"/>
      <c r="U172" s="43"/>
      <c r="V172" s="42" t="str">
        <f aca="false">IF(AND(ISNUMBER(T172),T172&gt;0),N(U172)/T172,"")</f>
        <v/>
      </c>
      <c r="W172" s="41"/>
      <c r="X172" s="43"/>
      <c r="Y172" s="41"/>
      <c r="Z172" s="41"/>
      <c r="AA172" s="44"/>
      <c r="AB172" s="44"/>
      <c r="AC172" s="45"/>
      <c r="AD172" s="46"/>
      <c r="AE172" s="46"/>
    </row>
    <row r="173" customFormat="false" ht="15" hidden="false" customHeight="false" outlineLevel="0" collapsed="false">
      <c r="A173" s="40"/>
      <c r="B173" s="41"/>
      <c r="C173" s="41"/>
      <c r="D173" s="42" t="str">
        <f aca="false">IF(N(B173)&gt;0,1-N(C173)/(B173*Config!$B$15),"")</f>
        <v/>
      </c>
      <c r="E173" s="43"/>
      <c r="F173" s="43"/>
      <c r="G173" s="43"/>
      <c r="H173" s="42" t="str">
        <f aca="false">IF(AND(ISNUMBER(E173),E173&gt;0),N(G173)/E173,"")</f>
        <v/>
      </c>
      <c r="I173" s="43"/>
      <c r="J173" s="43"/>
      <c r="K173" s="43"/>
      <c r="L173" s="42" t="str">
        <f aca="false">IF(AND(ISNUMBER(I173),I173&gt;0),N(K173)/I173,"")</f>
        <v/>
      </c>
      <c r="M173" s="43"/>
      <c r="N173" s="43"/>
      <c r="O173" s="43"/>
      <c r="P173" s="42" t="str">
        <f aca="false">IF(AND(ISNUMBER(M173),M173&gt;0),N(O173)/M173,"")</f>
        <v/>
      </c>
      <c r="Q173" s="43"/>
      <c r="R173" s="43"/>
      <c r="S173" s="42" t="str">
        <f aca="false">IF(AND(ISNUMBER(Q173),Q173&gt;0),N(R173)/Q173,"")</f>
        <v/>
      </c>
      <c r="T173" s="43"/>
      <c r="U173" s="43"/>
      <c r="V173" s="42" t="str">
        <f aca="false">IF(AND(ISNUMBER(T173),T173&gt;0),N(U173)/T173,"")</f>
        <v/>
      </c>
      <c r="W173" s="41"/>
      <c r="X173" s="43"/>
      <c r="Y173" s="41"/>
      <c r="Z173" s="41"/>
      <c r="AA173" s="44"/>
      <c r="AB173" s="44"/>
      <c r="AC173" s="45"/>
      <c r="AD173" s="46"/>
      <c r="AE173" s="46"/>
    </row>
    <row r="174" customFormat="false" ht="15" hidden="false" customHeight="false" outlineLevel="0" collapsed="false">
      <c r="A174" s="40"/>
      <c r="B174" s="41"/>
      <c r="C174" s="41"/>
      <c r="D174" s="42" t="str">
        <f aca="false">IF(N(B174)&gt;0,1-N(C174)/(B174*Config!$B$15),"")</f>
        <v/>
      </c>
      <c r="E174" s="43"/>
      <c r="F174" s="43"/>
      <c r="G174" s="43"/>
      <c r="H174" s="42" t="str">
        <f aca="false">IF(AND(ISNUMBER(E174),E174&gt;0),N(G174)/E174,"")</f>
        <v/>
      </c>
      <c r="I174" s="43"/>
      <c r="J174" s="43"/>
      <c r="K174" s="43"/>
      <c r="L174" s="42" t="str">
        <f aca="false">IF(AND(ISNUMBER(I174),I174&gt;0),N(K174)/I174,"")</f>
        <v/>
      </c>
      <c r="M174" s="43"/>
      <c r="N174" s="43"/>
      <c r="O174" s="43"/>
      <c r="P174" s="42" t="str">
        <f aca="false">IF(AND(ISNUMBER(M174),M174&gt;0),N(O174)/M174,"")</f>
        <v/>
      </c>
      <c r="Q174" s="43"/>
      <c r="R174" s="43"/>
      <c r="S174" s="42" t="str">
        <f aca="false">IF(AND(ISNUMBER(Q174),Q174&gt;0),N(R174)/Q174,"")</f>
        <v/>
      </c>
      <c r="T174" s="43"/>
      <c r="U174" s="43"/>
      <c r="V174" s="42" t="str">
        <f aca="false">IF(AND(ISNUMBER(T174),T174&gt;0),N(U174)/T174,"")</f>
        <v/>
      </c>
      <c r="W174" s="41"/>
      <c r="X174" s="43"/>
      <c r="Y174" s="41"/>
      <c r="Z174" s="41"/>
      <c r="AA174" s="44"/>
      <c r="AB174" s="44"/>
      <c r="AC174" s="45"/>
      <c r="AD174" s="46"/>
      <c r="AE174" s="46"/>
    </row>
    <row r="175" customFormat="false" ht="15" hidden="false" customHeight="false" outlineLevel="0" collapsed="false">
      <c r="A175" s="40"/>
      <c r="B175" s="41"/>
      <c r="C175" s="41"/>
      <c r="D175" s="42" t="str">
        <f aca="false">IF(N(B175)&gt;0,1-N(C175)/(B175*Config!$B$15),"")</f>
        <v/>
      </c>
      <c r="E175" s="43"/>
      <c r="F175" s="43"/>
      <c r="G175" s="43"/>
      <c r="H175" s="42" t="str">
        <f aca="false">IF(AND(ISNUMBER(E175),E175&gt;0),N(G175)/E175,"")</f>
        <v/>
      </c>
      <c r="I175" s="43"/>
      <c r="J175" s="43"/>
      <c r="K175" s="43"/>
      <c r="L175" s="42" t="str">
        <f aca="false">IF(AND(ISNUMBER(I175),I175&gt;0),N(K175)/I175,"")</f>
        <v/>
      </c>
      <c r="M175" s="43"/>
      <c r="N175" s="43"/>
      <c r="O175" s="43"/>
      <c r="P175" s="42" t="str">
        <f aca="false">IF(AND(ISNUMBER(M175),M175&gt;0),N(O175)/M175,"")</f>
        <v/>
      </c>
      <c r="Q175" s="43"/>
      <c r="R175" s="43"/>
      <c r="S175" s="42" t="str">
        <f aca="false">IF(AND(ISNUMBER(Q175),Q175&gt;0),N(R175)/Q175,"")</f>
        <v/>
      </c>
      <c r="T175" s="43"/>
      <c r="U175" s="43"/>
      <c r="V175" s="42" t="str">
        <f aca="false">IF(AND(ISNUMBER(T175),T175&gt;0),N(U175)/T175,"")</f>
        <v/>
      </c>
      <c r="W175" s="41"/>
      <c r="X175" s="43"/>
      <c r="Y175" s="41"/>
      <c r="Z175" s="41"/>
      <c r="AA175" s="44"/>
      <c r="AB175" s="44"/>
      <c r="AC175" s="45"/>
      <c r="AD175" s="46"/>
      <c r="AE175" s="46"/>
    </row>
    <row r="176" customFormat="false" ht="15" hidden="false" customHeight="false" outlineLevel="0" collapsed="false">
      <c r="A176" s="40"/>
      <c r="B176" s="41"/>
      <c r="C176" s="41"/>
      <c r="D176" s="42" t="str">
        <f aca="false">IF(N(B176)&gt;0,1-N(C176)/(B176*Config!$B$15),"")</f>
        <v/>
      </c>
      <c r="E176" s="43"/>
      <c r="F176" s="43"/>
      <c r="G176" s="43"/>
      <c r="H176" s="42" t="str">
        <f aca="false">IF(AND(ISNUMBER(E176),E176&gt;0),N(G176)/E176,"")</f>
        <v/>
      </c>
      <c r="I176" s="43"/>
      <c r="J176" s="43"/>
      <c r="K176" s="43"/>
      <c r="L176" s="42" t="str">
        <f aca="false">IF(AND(ISNUMBER(I176),I176&gt;0),N(K176)/I176,"")</f>
        <v/>
      </c>
      <c r="M176" s="43"/>
      <c r="N176" s="43"/>
      <c r="O176" s="43"/>
      <c r="P176" s="42" t="str">
        <f aca="false">IF(AND(ISNUMBER(M176),M176&gt;0),N(O176)/M176,"")</f>
        <v/>
      </c>
      <c r="Q176" s="43"/>
      <c r="R176" s="43"/>
      <c r="S176" s="42" t="str">
        <f aca="false">IF(AND(ISNUMBER(Q176),Q176&gt;0),N(R176)/Q176,"")</f>
        <v/>
      </c>
      <c r="T176" s="43"/>
      <c r="U176" s="43"/>
      <c r="V176" s="42" t="str">
        <f aca="false">IF(AND(ISNUMBER(T176),T176&gt;0),N(U176)/T176,"")</f>
        <v/>
      </c>
      <c r="W176" s="41"/>
      <c r="X176" s="43"/>
      <c r="Y176" s="41"/>
      <c r="Z176" s="41"/>
      <c r="AA176" s="44"/>
      <c r="AB176" s="44"/>
      <c r="AC176" s="45"/>
      <c r="AD176" s="46"/>
      <c r="AE176" s="46"/>
    </row>
    <row r="177" customFormat="false" ht="15" hidden="false" customHeight="false" outlineLevel="0" collapsed="false">
      <c r="A177" s="40"/>
      <c r="B177" s="41"/>
      <c r="C177" s="41"/>
      <c r="D177" s="42" t="str">
        <f aca="false">IF(N(B177)&gt;0,1-N(C177)/(B177*Config!$B$15),"")</f>
        <v/>
      </c>
      <c r="E177" s="43"/>
      <c r="F177" s="43"/>
      <c r="G177" s="43"/>
      <c r="H177" s="42" t="str">
        <f aca="false">IF(AND(ISNUMBER(E177),E177&gt;0),N(G177)/E177,"")</f>
        <v/>
      </c>
      <c r="I177" s="43"/>
      <c r="J177" s="43"/>
      <c r="K177" s="43"/>
      <c r="L177" s="42" t="str">
        <f aca="false">IF(AND(ISNUMBER(I177),I177&gt;0),N(K177)/I177,"")</f>
        <v/>
      </c>
      <c r="M177" s="43"/>
      <c r="N177" s="43"/>
      <c r="O177" s="43"/>
      <c r="P177" s="42" t="str">
        <f aca="false">IF(AND(ISNUMBER(M177),M177&gt;0),N(O177)/M177,"")</f>
        <v/>
      </c>
      <c r="Q177" s="43"/>
      <c r="R177" s="43"/>
      <c r="S177" s="42" t="str">
        <f aca="false">IF(AND(ISNUMBER(Q177),Q177&gt;0),N(R177)/Q177,"")</f>
        <v/>
      </c>
      <c r="T177" s="43"/>
      <c r="U177" s="43"/>
      <c r="V177" s="42" t="str">
        <f aca="false">IF(AND(ISNUMBER(T177),T177&gt;0),N(U177)/T177,"")</f>
        <v/>
      </c>
      <c r="W177" s="41"/>
      <c r="X177" s="43"/>
      <c r="Y177" s="41"/>
      <c r="Z177" s="41"/>
      <c r="AA177" s="44"/>
      <c r="AB177" s="44"/>
      <c r="AC177" s="45"/>
      <c r="AD177" s="46"/>
      <c r="AE177" s="46"/>
    </row>
    <row r="178" customFormat="false" ht="15" hidden="false" customHeight="false" outlineLevel="0" collapsed="false">
      <c r="A178" s="40"/>
      <c r="B178" s="41"/>
      <c r="C178" s="41"/>
      <c r="D178" s="42" t="str">
        <f aca="false">IF(N(B178)&gt;0,1-N(C178)/(B178*Config!$B$15),"")</f>
        <v/>
      </c>
      <c r="E178" s="43"/>
      <c r="F178" s="43"/>
      <c r="G178" s="43"/>
      <c r="H178" s="42" t="str">
        <f aca="false">IF(AND(ISNUMBER(E178),E178&gt;0),N(G178)/E178,"")</f>
        <v/>
      </c>
      <c r="I178" s="43"/>
      <c r="J178" s="43"/>
      <c r="K178" s="43"/>
      <c r="L178" s="42" t="str">
        <f aca="false">IF(AND(ISNUMBER(I178),I178&gt;0),N(K178)/I178,"")</f>
        <v/>
      </c>
      <c r="M178" s="43"/>
      <c r="N178" s="43"/>
      <c r="O178" s="43"/>
      <c r="P178" s="42" t="str">
        <f aca="false">IF(AND(ISNUMBER(M178),M178&gt;0),N(O178)/M178,"")</f>
        <v/>
      </c>
      <c r="Q178" s="43"/>
      <c r="R178" s="43"/>
      <c r="S178" s="42" t="str">
        <f aca="false">IF(AND(ISNUMBER(Q178),Q178&gt;0),N(R178)/Q178,"")</f>
        <v/>
      </c>
      <c r="T178" s="43"/>
      <c r="U178" s="43"/>
      <c r="V178" s="42" t="str">
        <f aca="false">IF(AND(ISNUMBER(T178),T178&gt;0),N(U178)/T178,"")</f>
        <v/>
      </c>
      <c r="W178" s="41"/>
      <c r="X178" s="43"/>
      <c r="Y178" s="41"/>
      <c r="Z178" s="41"/>
      <c r="AA178" s="44"/>
      <c r="AB178" s="44"/>
      <c r="AC178" s="45"/>
      <c r="AD178" s="46"/>
      <c r="AE178" s="46"/>
    </row>
    <row r="179" customFormat="false" ht="15" hidden="false" customHeight="false" outlineLevel="0" collapsed="false">
      <c r="A179" s="40"/>
      <c r="B179" s="41"/>
      <c r="C179" s="41"/>
      <c r="D179" s="42" t="str">
        <f aca="false">IF(N(B179)&gt;0,1-N(C179)/(B179*Config!$B$15),"")</f>
        <v/>
      </c>
      <c r="E179" s="43"/>
      <c r="F179" s="43"/>
      <c r="G179" s="43"/>
      <c r="H179" s="42" t="str">
        <f aca="false">IF(AND(ISNUMBER(E179),E179&gt;0),N(G179)/E179,"")</f>
        <v/>
      </c>
      <c r="I179" s="43"/>
      <c r="J179" s="43"/>
      <c r="K179" s="43"/>
      <c r="L179" s="42" t="str">
        <f aca="false">IF(AND(ISNUMBER(I179),I179&gt;0),N(K179)/I179,"")</f>
        <v/>
      </c>
      <c r="M179" s="43"/>
      <c r="N179" s="43"/>
      <c r="O179" s="43"/>
      <c r="P179" s="42" t="str">
        <f aca="false">IF(AND(ISNUMBER(M179),M179&gt;0),N(O179)/M179,"")</f>
        <v/>
      </c>
      <c r="Q179" s="43"/>
      <c r="R179" s="43"/>
      <c r="S179" s="42" t="str">
        <f aca="false">IF(AND(ISNUMBER(Q179),Q179&gt;0),N(R179)/Q179,"")</f>
        <v/>
      </c>
      <c r="T179" s="43"/>
      <c r="U179" s="43"/>
      <c r="V179" s="42" t="str">
        <f aca="false">IF(AND(ISNUMBER(T179),T179&gt;0),N(U179)/T179,"")</f>
        <v/>
      </c>
      <c r="W179" s="41"/>
      <c r="X179" s="43"/>
      <c r="Y179" s="41"/>
      <c r="Z179" s="41"/>
      <c r="AA179" s="44"/>
      <c r="AB179" s="44"/>
      <c r="AC179" s="45"/>
      <c r="AD179" s="46"/>
      <c r="AE179" s="46"/>
    </row>
    <row r="180" customFormat="false" ht="15" hidden="false" customHeight="false" outlineLevel="0" collapsed="false">
      <c r="A180" s="40"/>
      <c r="B180" s="41"/>
      <c r="C180" s="41"/>
      <c r="D180" s="42" t="str">
        <f aca="false">IF(N(B180)&gt;0,1-N(C180)/(B180*Config!$B$15),"")</f>
        <v/>
      </c>
      <c r="E180" s="43"/>
      <c r="F180" s="43"/>
      <c r="G180" s="43"/>
      <c r="H180" s="42" t="str">
        <f aca="false">IF(AND(ISNUMBER(E180),E180&gt;0),N(G180)/E180,"")</f>
        <v/>
      </c>
      <c r="I180" s="43"/>
      <c r="J180" s="43"/>
      <c r="K180" s="43"/>
      <c r="L180" s="42" t="str">
        <f aca="false">IF(AND(ISNUMBER(I180),I180&gt;0),N(K180)/I180,"")</f>
        <v/>
      </c>
      <c r="M180" s="43"/>
      <c r="N180" s="43"/>
      <c r="O180" s="43"/>
      <c r="P180" s="42" t="str">
        <f aca="false">IF(AND(ISNUMBER(M180),M180&gt;0),N(O180)/M180,"")</f>
        <v/>
      </c>
      <c r="Q180" s="43"/>
      <c r="R180" s="43"/>
      <c r="S180" s="42" t="str">
        <f aca="false">IF(AND(ISNUMBER(Q180),Q180&gt;0),N(R180)/Q180,"")</f>
        <v/>
      </c>
      <c r="T180" s="43"/>
      <c r="U180" s="43"/>
      <c r="V180" s="42" t="str">
        <f aca="false">IF(AND(ISNUMBER(T180),T180&gt;0),N(U180)/T180,"")</f>
        <v/>
      </c>
      <c r="W180" s="41"/>
      <c r="X180" s="43"/>
      <c r="Y180" s="41"/>
      <c r="Z180" s="41"/>
      <c r="AA180" s="44"/>
      <c r="AB180" s="44"/>
      <c r="AC180" s="45"/>
      <c r="AD180" s="46"/>
      <c r="AE180" s="46"/>
    </row>
    <row r="181" customFormat="false" ht="15" hidden="false" customHeight="false" outlineLevel="0" collapsed="false">
      <c r="A181" s="40"/>
      <c r="B181" s="41"/>
      <c r="C181" s="41"/>
      <c r="D181" s="42" t="str">
        <f aca="false">IF(N(B181)&gt;0,1-N(C181)/(B181*Config!$B$15),"")</f>
        <v/>
      </c>
      <c r="E181" s="43"/>
      <c r="F181" s="43"/>
      <c r="G181" s="43"/>
      <c r="H181" s="42" t="str">
        <f aca="false">IF(AND(ISNUMBER(E181),E181&gt;0),N(G181)/E181,"")</f>
        <v/>
      </c>
      <c r="I181" s="43"/>
      <c r="J181" s="43"/>
      <c r="K181" s="43"/>
      <c r="L181" s="42" t="str">
        <f aca="false">IF(AND(ISNUMBER(I181),I181&gt;0),N(K181)/I181,"")</f>
        <v/>
      </c>
      <c r="M181" s="43"/>
      <c r="N181" s="43"/>
      <c r="O181" s="43"/>
      <c r="P181" s="42" t="str">
        <f aca="false">IF(AND(ISNUMBER(M181),M181&gt;0),N(O181)/M181,"")</f>
        <v/>
      </c>
      <c r="Q181" s="43"/>
      <c r="R181" s="43"/>
      <c r="S181" s="42" t="str">
        <f aca="false">IF(AND(ISNUMBER(Q181),Q181&gt;0),N(R181)/Q181,"")</f>
        <v/>
      </c>
      <c r="T181" s="43"/>
      <c r="U181" s="43"/>
      <c r="V181" s="42" t="str">
        <f aca="false">IF(AND(ISNUMBER(T181),T181&gt;0),N(U181)/T181,"")</f>
        <v/>
      </c>
      <c r="W181" s="41"/>
      <c r="X181" s="43"/>
      <c r="Y181" s="41"/>
      <c r="Z181" s="41"/>
      <c r="AA181" s="44"/>
      <c r="AB181" s="44"/>
      <c r="AC181" s="45"/>
      <c r="AD181" s="46"/>
      <c r="AE181" s="46"/>
    </row>
    <row r="182" customFormat="false" ht="15" hidden="false" customHeight="false" outlineLevel="0" collapsed="false">
      <c r="A182" s="40"/>
      <c r="B182" s="41"/>
      <c r="C182" s="41"/>
      <c r="D182" s="42" t="str">
        <f aca="false">IF(N(B182)&gt;0,1-N(C182)/(B182*Config!$B$15),"")</f>
        <v/>
      </c>
      <c r="E182" s="43"/>
      <c r="F182" s="43"/>
      <c r="G182" s="43"/>
      <c r="H182" s="42" t="str">
        <f aca="false">IF(AND(ISNUMBER(E182),E182&gt;0),N(G182)/E182,"")</f>
        <v/>
      </c>
      <c r="I182" s="43"/>
      <c r="J182" s="43"/>
      <c r="K182" s="43"/>
      <c r="L182" s="42" t="str">
        <f aca="false">IF(AND(ISNUMBER(I182),I182&gt;0),N(K182)/I182,"")</f>
        <v/>
      </c>
      <c r="M182" s="43"/>
      <c r="N182" s="43"/>
      <c r="O182" s="43"/>
      <c r="P182" s="42" t="str">
        <f aca="false">IF(AND(ISNUMBER(M182),M182&gt;0),N(O182)/M182,"")</f>
        <v/>
      </c>
      <c r="Q182" s="43"/>
      <c r="R182" s="43"/>
      <c r="S182" s="42" t="str">
        <f aca="false">IF(AND(ISNUMBER(Q182),Q182&gt;0),N(R182)/Q182,"")</f>
        <v/>
      </c>
      <c r="T182" s="43"/>
      <c r="U182" s="43"/>
      <c r="V182" s="42" t="str">
        <f aca="false">IF(AND(ISNUMBER(T182),T182&gt;0),N(U182)/T182,"")</f>
        <v/>
      </c>
      <c r="W182" s="41"/>
      <c r="X182" s="43"/>
      <c r="Y182" s="41"/>
      <c r="Z182" s="41"/>
      <c r="AA182" s="44"/>
      <c r="AB182" s="44"/>
      <c r="AC182" s="45"/>
      <c r="AD182" s="46"/>
      <c r="AE182" s="46"/>
    </row>
    <row r="183" customFormat="false" ht="15" hidden="false" customHeight="false" outlineLevel="0" collapsed="false">
      <c r="A183" s="40"/>
      <c r="B183" s="41"/>
      <c r="C183" s="41"/>
      <c r="D183" s="42" t="str">
        <f aca="false">IF(N(B183)&gt;0,1-N(C183)/(B183*Config!$B$15),"")</f>
        <v/>
      </c>
      <c r="E183" s="43"/>
      <c r="F183" s="43"/>
      <c r="G183" s="43"/>
      <c r="H183" s="42" t="str">
        <f aca="false">IF(AND(ISNUMBER(E183),E183&gt;0),N(G183)/E183,"")</f>
        <v/>
      </c>
      <c r="I183" s="43"/>
      <c r="J183" s="43"/>
      <c r="K183" s="43"/>
      <c r="L183" s="42" t="str">
        <f aca="false">IF(AND(ISNUMBER(I183),I183&gt;0),N(K183)/I183,"")</f>
        <v/>
      </c>
      <c r="M183" s="43"/>
      <c r="N183" s="43"/>
      <c r="O183" s="43"/>
      <c r="P183" s="42" t="str">
        <f aca="false">IF(AND(ISNUMBER(M183),M183&gt;0),N(O183)/M183,"")</f>
        <v/>
      </c>
      <c r="Q183" s="43"/>
      <c r="R183" s="43"/>
      <c r="S183" s="42" t="str">
        <f aca="false">IF(AND(ISNUMBER(Q183),Q183&gt;0),N(R183)/Q183,"")</f>
        <v/>
      </c>
      <c r="T183" s="43"/>
      <c r="U183" s="43"/>
      <c r="V183" s="42" t="str">
        <f aca="false">IF(AND(ISNUMBER(T183),T183&gt;0),N(U183)/T183,"")</f>
        <v/>
      </c>
      <c r="W183" s="41"/>
      <c r="X183" s="43"/>
      <c r="Y183" s="41"/>
      <c r="Z183" s="41"/>
      <c r="AA183" s="44"/>
      <c r="AB183" s="44"/>
      <c r="AC183" s="45"/>
      <c r="AD183" s="46"/>
      <c r="AE183" s="46"/>
    </row>
    <row r="184" customFormat="false" ht="15" hidden="false" customHeight="false" outlineLevel="0" collapsed="false">
      <c r="A184" s="40"/>
      <c r="B184" s="41"/>
      <c r="C184" s="41"/>
      <c r="D184" s="42" t="str">
        <f aca="false">IF(N(B184)&gt;0,1-N(C184)/(B184*Config!$B$15),"")</f>
        <v/>
      </c>
      <c r="E184" s="43"/>
      <c r="F184" s="43"/>
      <c r="G184" s="43"/>
      <c r="H184" s="42" t="str">
        <f aca="false">IF(AND(ISNUMBER(E184),E184&gt;0),N(G184)/E184,"")</f>
        <v/>
      </c>
      <c r="I184" s="43"/>
      <c r="J184" s="43"/>
      <c r="K184" s="43"/>
      <c r="L184" s="42" t="str">
        <f aca="false">IF(AND(ISNUMBER(I184),I184&gt;0),N(K184)/I184,"")</f>
        <v/>
      </c>
      <c r="M184" s="43"/>
      <c r="N184" s="43"/>
      <c r="O184" s="43"/>
      <c r="P184" s="42" t="str">
        <f aca="false">IF(AND(ISNUMBER(M184),M184&gt;0),N(O184)/M184,"")</f>
        <v/>
      </c>
      <c r="Q184" s="43"/>
      <c r="R184" s="43"/>
      <c r="S184" s="42" t="str">
        <f aca="false">IF(AND(ISNUMBER(Q184),Q184&gt;0),N(R184)/Q184,"")</f>
        <v/>
      </c>
      <c r="T184" s="43"/>
      <c r="U184" s="43"/>
      <c r="V184" s="42" t="str">
        <f aca="false">IF(AND(ISNUMBER(T184),T184&gt;0),N(U184)/T184,"")</f>
        <v/>
      </c>
      <c r="W184" s="41"/>
      <c r="X184" s="43"/>
      <c r="Y184" s="41"/>
      <c r="Z184" s="41"/>
      <c r="AA184" s="44"/>
      <c r="AB184" s="44"/>
      <c r="AC184" s="45"/>
      <c r="AD184" s="46"/>
      <c r="AE184" s="46"/>
    </row>
    <row r="185" customFormat="false" ht="15" hidden="false" customHeight="false" outlineLevel="0" collapsed="false">
      <c r="A185" s="40"/>
      <c r="B185" s="41"/>
      <c r="C185" s="41"/>
      <c r="D185" s="42" t="str">
        <f aca="false">IF(N(B185)&gt;0,1-N(C185)/(B185*Config!$B$15),"")</f>
        <v/>
      </c>
      <c r="E185" s="43"/>
      <c r="F185" s="43"/>
      <c r="G185" s="43"/>
      <c r="H185" s="42" t="str">
        <f aca="false">IF(AND(ISNUMBER(E185),E185&gt;0),N(G185)/E185,"")</f>
        <v/>
      </c>
      <c r="I185" s="43"/>
      <c r="J185" s="43"/>
      <c r="K185" s="43"/>
      <c r="L185" s="42" t="str">
        <f aca="false">IF(AND(ISNUMBER(I185),I185&gt;0),N(K185)/I185,"")</f>
        <v/>
      </c>
      <c r="M185" s="43"/>
      <c r="N185" s="43"/>
      <c r="O185" s="43"/>
      <c r="P185" s="42" t="str">
        <f aca="false">IF(AND(ISNUMBER(M185),M185&gt;0),N(O185)/M185,"")</f>
        <v/>
      </c>
      <c r="Q185" s="43"/>
      <c r="R185" s="43"/>
      <c r="S185" s="42" t="str">
        <f aca="false">IF(AND(ISNUMBER(Q185),Q185&gt;0),N(R185)/Q185,"")</f>
        <v/>
      </c>
      <c r="T185" s="43"/>
      <c r="U185" s="43"/>
      <c r="V185" s="42" t="str">
        <f aca="false">IF(AND(ISNUMBER(T185),T185&gt;0),N(U185)/T185,"")</f>
        <v/>
      </c>
      <c r="W185" s="41"/>
      <c r="X185" s="43"/>
      <c r="Y185" s="41"/>
      <c r="Z185" s="41"/>
      <c r="AA185" s="44"/>
      <c r="AB185" s="44"/>
      <c r="AC185" s="45"/>
      <c r="AD185" s="46"/>
      <c r="AE185" s="46"/>
    </row>
    <row r="186" customFormat="false" ht="15" hidden="false" customHeight="false" outlineLevel="0" collapsed="false">
      <c r="A186" s="40"/>
      <c r="B186" s="41"/>
      <c r="C186" s="41"/>
      <c r="D186" s="42" t="str">
        <f aca="false">IF(N(B186)&gt;0,1-N(C186)/(B186*Config!$B$15),"")</f>
        <v/>
      </c>
      <c r="E186" s="43"/>
      <c r="F186" s="43"/>
      <c r="G186" s="43"/>
      <c r="H186" s="42" t="str">
        <f aca="false">IF(AND(ISNUMBER(E186),E186&gt;0),N(G186)/E186,"")</f>
        <v/>
      </c>
      <c r="I186" s="43"/>
      <c r="J186" s="43"/>
      <c r="K186" s="43"/>
      <c r="L186" s="42" t="str">
        <f aca="false">IF(AND(ISNUMBER(I186),I186&gt;0),N(K186)/I186,"")</f>
        <v/>
      </c>
      <c r="M186" s="43"/>
      <c r="N186" s="43"/>
      <c r="O186" s="43"/>
      <c r="P186" s="42" t="str">
        <f aca="false">IF(AND(ISNUMBER(M186),M186&gt;0),N(O186)/M186,"")</f>
        <v/>
      </c>
      <c r="Q186" s="43"/>
      <c r="R186" s="43"/>
      <c r="S186" s="42" t="str">
        <f aca="false">IF(AND(ISNUMBER(Q186),Q186&gt;0),N(R186)/Q186,"")</f>
        <v/>
      </c>
      <c r="T186" s="43"/>
      <c r="U186" s="43"/>
      <c r="V186" s="42" t="str">
        <f aca="false">IF(AND(ISNUMBER(T186),T186&gt;0),N(U186)/T186,"")</f>
        <v/>
      </c>
      <c r="W186" s="41"/>
      <c r="X186" s="43"/>
      <c r="Y186" s="41"/>
      <c r="Z186" s="41"/>
      <c r="AA186" s="44"/>
      <c r="AB186" s="44"/>
      <c r="AC186" s="45"/>
      <c r="AD186" s="46"/>
      <c r="AE186" s="46"/>
    </row>
    <row r="187" customFormat="false" ht="15" hidden="false" customHeight="false" outlineLevel="0" collapsed="false">
      <c r="A187" s="40"/>
      <c r="B187" s="41"/>
      <c r="C187" s="41"/>
      <c r="D187" s="42" t="str">
        <f aca="false">IF(N(B187)&gt;0,1-N(C187)/(B187*Config!$B$15),"")</f>
        <v/>
      </c>
      <c r="E187" s="43"/>
      <c r="F187" s="43"/>
      <c r="G187" s="43"/>
      <c r="H187" s="42" t="str">
        <f aca="false">IF(AND(ISNUMBER(E187),E187&gt;0),N(G187)/E187,"")</f>
        <v/>
      </c>
      <c r="I187" s="43"/>
      <c r="J187" s="43"/>
      <c r="K187" s="43"/>
      <c r="L187" s="42" t="str">
        <f aca="false">IF(AND(ISNUMBER(I187),I187&gt;0),N(K187)/I187,"")</f>
        <v/>
      </c>
      <c r="M187" s="43"/>
      <c r="N187" s="43"/>
      <c r="O187" s="43"/>
      <c r="P187" s="42" t="str">
        <f aca="false">IF(AND(ISNUMBER(M187),M187&gt;0),N(O187)/M187,"")</f>
        <v/>
      </c>
      <c r="Q187" s="43"/>
      <c r="R187" s="43"/>
      <c r="S187" s="42" t="str">
        <f aca="false">IF(AND(ISNUMBER(Q187),Q187&gt;0),N(R187)/Q187,"")</f>
        <v/>
      </c>
      <c r="T187" s="43"/>
      <c r="U187" s="43"/>
      <c r="V187" s="42" t="str">
        <f aca="false">IF(AND(ISNUMBER(T187),T187&gt;0),N(U187)/T187,"")</f>
        <v/>
      </c>
      <c r="W187" s="41"/>
      <c r="X187" s="43"/>
      <c r="Y187" s="41"/>
      <c r="Z187" s="41"/>
      <c r="AA187" s="44"/>
      <c r="AB187" s="44"/>
      <c r="AC187" s="45"/>
      <c r="AD187" s="46"/>
      <c r="AE187" s="46"/>
    </row>
    <row r="188" customFormat="false" ht="15" hidden="false" customHeight="false" outlineLevel="0" collapsed="false">
      <c r="A188" s="40"/>
      <c r="B188" s="41"/>
      <c r="C188" s="41"/>
      <c r="D188" s="42" t="str">
        <f aca="false">IF(N(B188)&gt;0,1-N(C188)/(B188*Config!$B$15),"")</f>
        <v/>
      </c>
      <c r="E188" s="43"/>
      <c r="F188" s="43"/>
      <c r="G188" s="43"/>
      <c r="H188" s="42" t="str">
        <f aca="false">IF(AND(ISNUMBER(E188),E188&gt;0),N(G188)/E188,"")</f>
        <v/>
      </c>
      <c r="I188" s="43"/>
      <c r="J188" s="43"/>
      <c r="K188" s="43"/>
      <c r="L188" s="42" t="str">
        <f aca="false">IF(AND(ISNUMBER(I188),I188&gt;0),N(K188)/I188,"")</f>
        <v/>
      </c>
      <c r="M188" s="43"/>
      <c r="N188" s="43"/>
      <c r="O188" s="43"/>
      <c r="P188" s="42" t="str">
        <f aca="false">IF(AND(ISNUMBER(M188),M188&gt;0),N(O188)/M188,"")</f>
        <v/>
      </c>
      <c r="Q188" s="43"/>
      <c r="R188" s="43"/>
      <c r="S188" s="42" t="str">
        <f aca="false">IF(AND(ISNUMBER(Q188),Q188&gt;0),N(R188)/Q188,"")</f>
        <v/>
      </c>
      <c r="T188" s="43"/>
      <c r="U188" s="43"/>
      <c r="V188" s="42" t="str">
        <f aca="false">IF(AND(ISNUMBER(T188),T188&gt;0),N(U188)/T188,"")</f>
        <v/>
      </c>
      <c r="W188" s="41"/>
      <c r="X188" s="43"/>
      <c r="Y188" s="41"/>
      <c r="Z188" s="41"/>
      <c r="AA188" s="44"/>
      <c r="AB188" s="44"/>
      <c r="AC188" s="45"/>
      <c r="AD188" s="46"/>
      <c r="AE188" s="46"/>
    </row>
    <row r="189" customFormat="false" ht="15" hidden="false" customHeight="false" outlineLevel="0" collapsed="false">
      <c r="A189" s="40"/>
      <c r="B189" s="41"/>
      <c r="C189" s="41"/>
      <c r="D189" s="42" t="str">
        <f aca="false">IF(N(B189)&gt;0,1-N(C189)/(B189*Config!$B$15),"")</f>
        <v/>
      </c>
      <c r="E189" s="43"/>
      <c r="F189" s="43"/>
      <c r="G189" s="43"/>
      <c r="H189" s="42" t="str">
        <f aca="false">IF(AND(ISNUMBER(E189),E189&gt;0),N(G189)/E189,"")</f>
        <v/>
      </c>
      <c r="I189" s="43"/>
      <c r="J189" s="43"/>
      <c r="K189" s="43"/>
      <c r="L189" s="42" t="str">
        <f aca="false">IF(AND(ISNUMBER(I189),I189&gt;0),N(K189)/I189,"")</f>
        <v/>
      </c>
      <c r="M189" s="43"/>
      <c r="N189" s="43"/>
      <c r="O189" s="43"/>
      <c r="P189" s="42" t="str">
        <f aca="false">IF(AND(ISNUMBER(M189),M189&gt;0),N(O189)/M189,"")</f>
        <v/>
      </c>
      <c r="Q189" s="43"/>
      <c r="R189" s="43"/>
      <c r="S189" s="42" t="str">
        <f aca="false">IF(AND(ISNUMBER(Q189),Q189&gt;0),N(R189)/Q189,"")</f>
        <v/>
      </c>
      <c r="T189" s="43"/>
      <c r="U189" s="43"/>
      <c r="V189" s="42" t="str">
        <f aca="false">IF(AND(ISNUMBER(T189),T189&gt;0),N(U189)/T189,"")</f>
        <v/>
      </c>
      <c r="W189" s="41"/>
      <c r="X189" s="43"/>
      <c r="Y189" s="41"/>
      <c r="Z189" s="41"/>
      <c r="AA189" s="44"/>
      <c r="AB189" s="44"/>
      <c r="AC189" s="45"/>
      <c r="AD189" s="46"/>
      <c r="AE189" s="46"/>
    </row>
    <row r="190" customFormat="false" ht="15" hidden="false" customHeight="false" outlineLevel="0" collapsed="false">
      <c r="A190" s="40"/>
      <c r="B190" s="41"/>
      <c r="C190" s="41"/>
      <c r="D190" s="42" t="str">
        <f aca="false">IF(N(B190)&gt;0,1-N(C190)/(B190*Config!$B$15),"")</f>
        <v/>
      </c>
      <c r="E190" s="43"/>
      <c r="F190" s="43"/>
      <c r="G190" s="43"/>
      <c r="H190" s="42" t="str">
        <f aca="false">IF(AND(ISNUMBER(E190),E190&gt;0),N(G190)/E190,"")</f>
        <v/>
      </c>
      <c r="I190" s="43"/>
      <c r="J190" s="43"/>
      <c r="K190" s="43"/>
      <c r="L190" s="42" t="str">
        <f aca="false">IF(AND(ISNUMBER(I190),I190&gt;0),N(K190)/I190,"")</f>
        <v/>
      </c>
      <c r="M190" s="43"/>
      <c r="N190" s="43"/>
      <c r="O190" s="43"/>
      <c r="P190" s="42" t="str">
        <f aca="false">IF(AND(ISNUMBER(M190),M190&gt;0),N(O190)/M190,"")</f>
        <v/>
      </c>
      <c r="Q190" s="43"/>
      <c r="R190" s="43"/>
      <c r="S190" s="42" t="str">
        <f aca="false">IF(AND(ISNUMBER(Q190),Q190&gt;0),N(R190)/Q190,"")</f>
        <v/>
      </c>
      <c r="T190" s="43"/>
      <c r="U190" s="43"/>
      <c r="V190" s="42" t="str">
        <f aca="false">IF(AND(ISNUMBER(T190),T190&gt;0),N(U190)/T190,"")</f>
        <v/>
      </c>
      <c r="W190" s="41"/>
      <c r="X190" s="43"/>
      <c r="Y190" s="41"/>
      <c r="Z190" s="41"/>
      <c r="AA190" s="44"/>
      <c r="AB190" s="44"/>
      <c r="AC190" s="45"/>
      <c r="AD190" s="46"/>
      <c r="AE190" s="46"/>
    </row>
    <row r="191" customFormat="false" ht="15" hidden="false" customHeight="false" outlineLevel="0" collapsed="false">
      <c r="A191" s="40"/>
      <c r="B191" s="41"/>
      <c r="C191" s="41"/>
      <c r="D191" s="42" t="str">
        <f aca="false">IF(N(B191)&gt;0,1-N(C191)/(B191*Config!$B$15),"")</f>
        <v/>
      </c>
      <c r="E191" s="43"/>
      <c r="F191" s="43"/>
      <c r="G191" s="43"/>
      <c r="H191" s="42" t="str">
        <f aca="false">IF(AND(ISNUMBER(E191),E191&gt;0),N(G191)/E191,"")</f>
        <v/>
      </c>
      <c r="I191" s="43"/>
      <c r="J191" s="43"/>
      <c r="K191" s="43"/>
      <c r="L191" s="42" t="str">
        <f aca="false">IF(AND(ISNUMBER(I191),I191&gt;0),N(K191)/I191,"")</f>
        <v/>
      </c>
      <c r="M191" s="43"/>
      <c r="N191" s="43"/>
      <c r="O191" s="43"/>
      <c r="P191" s="42" t="str">
        <f aca="false">IF(AND(ISNUMBER(M191),M191&gt;0),N(O191)/M191,"")</f>
        <v/>
      </c>
      <c r="Q191" s="43"/>
      <c r="R191" s="43"/>
      <c r="S191" s="42" t="str">
        <f aca="false">IF(AND(ISNUMBER(Q191),Q191&gt;0),N(R191)/Q191,"")</f>
        <v/>
      </c>
      <c r="T191" s="43"/>
      <c r="U191" s="43"/>
      <c r="V191" s="42" t="str">
        <f aca="false">IF(AND(ISNUMBER(T191),T191&gt;0),N(U191)/T191,"")</f>
        <v/>
      </c>
      <c r="W191" s="41"/>
      <c r="X191" s="43"/>
      <c r="Y191" s="41"/>
      <c r="Z191" s="41"/>
      <c r="AA191" s="44"/>
      <c r="AB191" s="44"/>
      <c r="AC191" s="45"/>
      <c r="AD191" s="46"/>
      <c r="AE191" s="46"/>
    </row>
    <row r="192" customFormat="false" ht="15" hidden="false" customHeight="false" outlineLevel="0" collapsed="false">
      <c r="A192" s="40"/>
      <c r="B192" s="41"/>
      <c r="C192" s="41"/>
      <c r="D192" s="42" t="str">
        <f aca="false">IF(N(B192)&gt;0,1-N(C192)/(B192*Config!$B$15),"")</f>
        <v/>
      </c>
      <c r="E192" s="43"/>
      <c r="F192" s="43"/>
      <c r="G192" s="43"/>
      <c r="H192" s="42" t="str">
        <f aca="false">IF(AND(ISNUMBER(E192),E192&gt;0),N(G192)/E192,"")</f>
        <v/>
      </c>
      <c r="I192" s="43"/>
      <c r="J192" s="43"/>
      <c r="K192" s="43"/>
      <c r="L192" s="42" t="str">
        <f aca="false">IF(AND(ISNUMBER(I192),I192&gt;0),N(K192)/I192,"")</f>
        <v/>
      </c>
      <c r="M192" s="43"/>
      <c r="N192" s="43"/>
      <c r="O192" s="43"/>
      <c r="P192" s="42" t="str">
        <f aca="false">IF(AND(ISNUMBER(M192),M192&gt;0),N(O192)/M192,"")</f>
        <v/>
      </c>
      <c r="Q192" s="43"/>
      <c r="R192" s="43"/>
      <c r="S192" s="42" t="str">
        <f aca="false">IF(AND(ISNUMBER(Q192),Q192&gt;0),N(R192)/Q192,"")</f>
        <v/>
      </c>
      <c r="T192" s="43"/>
      <c r="U192" s="43"/>
      <c r="V192" s="42" t="str">
        <f aca="false">IF(AND(ISNUMBER(T192),T192&gt;0),N(U192)/T192,"")</f>
        <v/>
      </c>
      <c r="W192" s="41"/>
      <c r="X192" s="43"/>
      <c r="Y192" s="41"/>
      <c r="Z192" s="41"/>
      <c r="AA192" s="44"/>
      <c r="AB192" s="44"/>
      <c r="AC192" s="45"/>
      <c r="AD192" s="46"/>
      <c r="AE192" s="46"/>
    </row>
    <row r="193" customFormat="false" ht="15" hidden="false" customHeight="false" outlineLevel="0" collapsed="false">
      <c r="A193" s="40"/>
      <c r="B193" s="41"/>
      <c r="C193" s="41"/>
      <c r="D193" s="42" t="str">
        <f aca="false">IF(N(B193)&gt;0,1-N(C193)/(B193*Config!$B$15),"")</f>
        <v/>
      </c>
      <c r="E193" s="43"/>
      <c r="F193" s="43"/>
      <c r="G193" s="43"/>
      <c r="H193" s="42" t="str">
        <f aca="false">IF(AND(ISNUMBER(E193),E193&gt;0),N(G193)/E193,"")</f>
        <v/>
      </c>
      <c r="I193" s="43"/>
      <c r="J193" s="43"/>
      <c r="K193" s="43"/>
      <c r="L193" s="42" t="str">
        <f aca="false">IF(AND(ISNUMBER(I193),I193&gt;0),N(K193)/I193,"")</f>
        <v/>
      </c>
      <c r="M193" s="43"/>
      <c r="N193" s="43"/>
      <c r="O193" s="43"/>
      <c r="P193" s="42" t="str">
        <f aca="false">IF(AND(ISNUMBER(M193),M193&gt;0),N(O193)/M193,"")</f>
        <v/>
      </c>
      <c r="Q193" s="43"/>
      <c r="R193" s="43"/>
      <c r="S193" s="42" t="str">
        <f aca="false">IF(AND(ISNUMBER(Q193),Q193&gt;0),N(R193)/Q193,"")</f>
        <v/>
      </c>
      <c r="T193" s="43"/>
      <c r="U193" s="43"/>
      <c r="V193" s="42" t="str">
        <f aca="false">IF(AND(ISNUMBER(T193),T193&gt;0),N(U193)/T193,"")</f>
        <v/>
      </c>
      <c r="W193" s="41"/>
      <c r="X193" s="43"/>
      <c r="Y193" s="41"/>
      <c r="Z193" s="41"/>
      <c r="AA193" s="44"/>
      <c r="AB193" s="44"/>
      <c r="AC193" s="45"/>
      <c r="AD193" s="46"/>
      <c r="AE193" s="46"/>
    </row>
    <row r="194" customFormat="false" ht="15" hidden="false" customHeight="false" outlineLevel="0" collapsed="false">
      <c r="A194" s="40"/>
      <c r="B194" s="41"/>
      <c r="C194" s="41"/>
      <c r="D194" s="42" t="str">
        <f aca="false">IF(N(B194)&gt;0,1-N(C194)/(B194*Config!$B$15),"")</f>
        <v/>
      </c>
      <c r="E194" s="43"/>
      <c r="F194" s="43"/>
      <c r="G194" s="43"/>
      <c r="H194" s="42" t="str">
        <f aca="false">IF(AND(ISNUMBER(E194),E194&gt;0),N(G194)/E194,"")</f>
        <v/>
      </c>
      <c r="I194" s="43"/>
      <c r="J194" s="43"/>
      <c r="K194" s="43"/>
      <c r="L194" s="42" t="str">
        <f aca="false">IF(AND(ISNUMBER(I194),I194&gt;0),N(K194)/I194,"")</f>
        <v/>
      </c>
      <c r="M194" s="43"/>
      <c r="N194" s="43"/>
      <c r="O194" s="43"/>
      <c r="P194" s="42" t="str">
        <f aca="false">IF(AND(ISNUMBER(M194),M194&gt;0),N(O194)/M194,"")</f>
        <v/>
      </c>
      <c r="Q194" s="43"/>
      <c r="R194" s="43"/>
      <c r="S194" s="42" t="str">
        <f aca="false">IF(AND(ISNUMBER(Q194),Q194&gt;0),N(R194)/Q194,"")</f>
        <v/>
      </c>
      <c r="T194" s="43"/>
      <c r="U194" s="43"/>
      <c r="V194" s="42" t="str">
        <f aca="false">IF(AND(ISNUMBER(T194),T194&gt;0),N(U194)/T194,"")</f>
        <v/>
      </c>
      <c r="W194" s="41"/>
      <c r="X194" s="43"/>
      <c r="Y194" s="41"/>
      <c r="Z194" s="41"/>
      <c r="AA194" s="44"/>
      <c r="AB194" s="44"/>
      <c r="AC194" s="45"/>
      <c r="AD194" s="46"/>
      <c r="AE194" s="46"/>
    </row>
    <row r="195" customFormat="false" ht="15" hidden="false" customHeight="false" outlineLevel="0" collapsed="false">
      <c r="A195" s="40"/>
      <c r="B195" s="41"/>
      <c r="C195" s="41"/>
      <c r="D195" s="42" t="str">
        <f aca="false">IF(N(B195)&gt;0,1-N(C195)/(B195*Config!$B$15),"")</f>
        <v/>
      </c>
      <c r="E195" s="43"/>
      <c r="F195" s="43"/>
      <c r="G195" s="43"/>
      <c r="H195" s="42" t="str">
        <f aca="false">IF(AND(ISNUMBER(E195),E195&gt;0),N(G195)/E195,"")</f>
        <v/>
      </c>
      <c r="I195" s="43"/>
      <c r="J195" s="43"/>
      <c r="K195" s="43"/>
      <c r="L195" s="42" t="str">
        <f aca="false">IF(AND(ISNUMBER(I195),I195&gt;0),N(K195)/I195,"")</f>
        <v/>
      </c>
      <c r="M195" s="43"/>
      <c r="N195" s="43"/>
      <c r="O195" s="43"/>
      <c r="P195" s="42" t="str">
        <f aca="false">IF(AND(ISNUMBER(M195),M195&gt;0),N(O195)/M195,"")</f>
        <v/>
      </c>
      <c r="Q195" s="43"/>
      <c r="R195" s="43"/>
      <c r="S195" s="42" t="str">
        <f aca="false">IF(AND(ISNUMBER(Q195),Q195&gt;0),N(R195)/Q195,"")</f>
        <v/>
      </c>
      <c r="T195" s="43"/>
      <c r="U195" s="43"/>
      <c r="V195" s="42" t="str">
        <f aca="false">IF(AND(ISNUMBER(T195),T195&gt;0),N(U195)/T195,"")</f>
        <v/>
      </c>
      <c r="W195" s="41"/>
      <c r="X195" s="43"/>
      <c r="Y195" s="41"/>
      <c r="Z195" s="41"/>
      <c r="AA195" s="44"/>
      <c r="AB195" s="44"/>
      <c r="AC195" s="45"/>
      <c r="AD195" s="46"/>
      <c r="AE195" s="46"/>
    </row>
    <row r="196" customFormat="false" ht="15" hidden="false" customHeight="false" outlineLevel="0" collapsed="false">
      <c r="A196" s="40"/>
      <c r="B196" s="41"/>
      <c r="C196" s="41"/>
      <c r="D196" s="42" t="str">
        <f aca="false">IF(N(B196)&gt;0,1-N(C196)/(B196*Config!$B$15),"")</f>
        <v/>
      </c>
      <c r="E196" s="43"/>
      <c r="F196" s="43"/>
      <c r="G196" s="43"/>
      <c r="H196" s="42" t="str">
        <f aca="false">IF(AND(ISNUMBER(E196),E196&gt;0),N(G196)/E196,"")</f>
        <v/>
      </c>
      <c r="I196" s="43"/>
      <c r="J196" s="43"/>
      <c r="K196" s="43"/>
      <c r="L196" s="42" t="str">
        <f aca="false">IF(AND(ISNUMBER(I196),I196&gt;0),N(K196)/I196,"")</f>
        <v/>
      </c>
      <c r="M196" s="43"/>
      <c r="N196" s="43"/>
      <c r="O196" s="43"/>
      <c r="P196" s="42" t="str">
        <f aca="false">IF(AND(ISNUMBER(M196),M196&gt;0),N(O196)/M196,"")</f>
        <v/>
      </c>
      <c r="Q196" s="43"/>
      <c r="R196" s="43"/>
      <c r="S196" s="42" t="str">
        <f aca="false">IF(AND(ISNUMBER(Q196),Q196&gt;0),N(R196)/Q196,"")</f>
        <v/>
      </c>
      <c r="T196" s="43"/>
      <c r="U196" s="43"/>
      <c r="V196" s="42" t="str">
        <f aca="false">IF(AND(ISNUMBER(T196),T196&gt;0),N(U196)/T196,"")</f>
        <v/>
      </c>
      <c r="W196" s="41"/>
      <c r="X196" s="43"/>
      <c r="Y196" s="41"/>
      <c r="Z196" s="41"/>
      <c r="AA196" s="44"/>
      <c r="AB196" s="44"/>
      <c r="AC196" s="45"/>
      <c r="AD196" s="46"/>
      <c r="AE196" s="46"/>
    </row>
    <row r="197" customFormat="false" ht="15" hidden="false" customHeight="false" outlineLevel="0" collapsed="false">
      <c r="A197" s="40"/>
      <c r="B197" s="41"/>
      <c r="C197" s="41"/>
      <c r="D197" s="42" t="str">
        <f aca="false">IF(N(B197)&gt;0,1-N(C197)/(B197*Config!$B$15),"")</f>
        <v/>
      </c>
      <c r="E197" s="43"/>
      <c r="F197" s="43"/>
      <c r="G197" s="43"/>
      <c r="H197" s="42" t="str">
        <f aca="false">IF(AND(ISNUMBER(E197),E197&gt;0),N(G197)/E197,"")</f>
        <v/>
      </c>
      <c r="I197" s="43"/>
      <c r="J197" s="43"/>
      <c r="K197" s="43"/>
      <c r="L197" s="42" t="str">
        <f aca="false">IF(AND(ISNUMBER(I197),I197&gt;0),N(K197)/I197,"")</f>
        <v/>
      </c>
      <c r="M197" s="43"/>
      <c r="N197" s="43"/>
      <c r="O197" s="43"/>
      <c r="P197" s="42" t="str">
        <f aca="false">IF(AND(ISNUMBER(M197),M197&gt;0),N(O197)/M197,"")</f>
        <v/>
      </c>
      <c r="Q197" s="43"/>
      <c r="R197" s="43"/>
      <c r="S197" s="42" t="str">
        <f aca="false">IF(AND(ISNUMBER(Q197),Q197&gt;0),N(R197)/Q197,"")</f>
        <v/>
      </c>
      <c r="T197" s="43"/>
      <c r="U197" s="43"/>
      <c r="V197" s="42" t="str">
        <f aca="false">IF(AND(ISNUMBER(T197),T197&gt;0),N(U197)/T197,"")</f>
        <v/>
      </c>
      <c r="W197" s="41"/>
      <c r="X197" s="43"/>
      <c r="Y197" s="41"/>
      <c r="Z197" s="41"/>
      <c r="AA197" s="44"/>
      <c r="AB197" s="44"/>
      <c r="AC197" s="45"/>
      <c r="AD197" s="46"/>
      <c r="AE197" s="46"/>
    </row>
    <row r="198" customFormat="false" ht="15" hidden="false" customHeight="false" outlineLevel="0" collapsed="false">
      <c r="A198" s="40"/>
      <c r="B198" s="41"/>
      <c r="C198" s="41"/>
      <c r="D198" s="42" t="str">
        <f aca="false">IF(N(B198)&gt;0,1-N(C198)/(B198*Config!$B$15),"")</f>
        <v/>
      </c>
      <c r="E198" s="43"/>
      <c r="F198" s="43"/>
      <c r="G198" s="43"/>
      <c r="H198" s="42" t="str">
        <f aca="false">IF(AND(ISNUMBER(E198),E198&gt;0),N(G198)/E198,"")</f>
        <v/>
      </c>
      <c r="I198" s="43"/>
      <c r="J198" s="43"/>
      <c r="K198" s="43"/>
      <c r="L198" s="42" t="str">
        <f aca="false">IF(AND(ISNUMBER(I198),I198&gt;0),N(K198)/I198,"")</f>
        <v/>
      </c>
      <c r="M198" s="43"/>
      <c r="N198" s="43"/>
      <c r="O198" s="43"/>
      <c r="P198" s="42" t="str">
        <f aca="false">IF(AND(ISNUMBER(M198),M198&gt;0),N(O198)/M198,"")</f>
        <v/>
      </c>
      <c r="Q198" s="43"/>
      <c r="R198" s="43"/>
      <c r="S198" s="42" t="str">
        <f aca="false">IF(AND(ISNUMBER(Q198),Q198&gt;0),N(R198)/Q198,"")</f>
        <v/>
      </c>
      <c r="T198" s="43"/>
      <c r="U198" s="43"/>
      <c r="V198" s="42" t="str">
        <f aca="false">IF(AND(ISNUMBER(T198),T198&gt;0),N(U198)/T198,"")</f>
        <v/>
      </c>
      <c r="W198" s="41"/>
      <c r="X198" s="43"/>
      <c r="Y198" s="41"/>
      <c r="Z198" s="41"/>
      <c r="AA198" s="44"/>
      <c r="AB198" s="44"/>
      <c r="AC198" s="45"/>
      <c r="AD198" s="46"/>
      <c r="AE198" s="46"/>
    </row>
    <row r="199" customFormat="false" ht="15" hidden="false" customHeight="false" outlineLevel="0" collapsed="false">
      <c r="A199" s="40"/>
      <c r="B199" s="41"/>
      <c r="C199" s="41"/>
      <c r="D199" s="42" t="str">
        <f aca="false">IF(N(B199)&gt;0,1-N(C199)/(B199*Config!$B$15),"")</f>
        <v/>
      </c>
      <c r="E199" s="43"/>
      <c r="F199" s="43"/>
      <c r="G199" s="43"/>
      <c r="H199" s="42" t="str">
        <f aca="false">IF(AND(ISNUMBER(E199),E199&gt;0),N(G199)/E199,"")</f>
        <v/>
      </c>
      <c r="I199" s="43"/>
      <c r="J199" s="43"/>
      <c r="K199" s="43"/>
      <c r="L199" s="42" t="str">
        <f aca="false">IF(AND(ISNUMBER(I199),I199&gt;0),N(K199)/I199,"")</f>
        <v/>
      </c>
      <c r="M199" s="43"/>
      <c r="N199" s="43"/>
      <c r="O199" s="43"/>
      <c r="P199" s="42" t="str">
        <f aca="false">IF(AND(ISNUMBER(M199),M199&gt;0),N(O199)/M199,"")</f>
        <v/>
      </c>
      <c r="Q199" s="43"/>
      <c r="R199" s="43"/>
      <c r="S199" s="42" t="str">
        <f aca="false">IF(AND(ISNUMBER(Q199),Q199&gt;0),N(R199)/Q199,"")</f>
        <v/>
      </c>
      <c r="T199" s="43"/>
      <c r="U199" s="43"/>
      <c r="V199" s="42" t="str">
        <f aca="false">IF(AND(ISNUMBER(T199),T199&gt;0),N(U199)/T199,"")</f>
        <v/>
      </c>
      <c r="W199" s="41"/>
      <c r="X199" s="43"/>
      <c r="Y199" s="41"/>
      <c r="Z199" s="41"/>
      <c r="AA199" s="44"/>
      <c r="AB199" s="44"/>
      <c r="AC199" s="45"/>
      <c r="AD199" s="46"/>
      <c r="AE199" s="46"/>
    </row>
    <row r="200" customFormat="false" ht="15" hidden="false" customHeight="false" outlineLevel="0" collapsed="false">
      <c r="A200" s="40"/>
      <c r="B200" s="41"/>
      <c r="C200" s="41"/>
      <c r="D200" s="42" t="str">
        <f aca="false">IF(N(B200)&gt;0,1-N(C200)/(B200*Config!$B$15),"")</f>
        <v/>
      </c>
      <c r="E200" s="43"/>
      <c r="F200" s="43"/>
      <c r="G200" s="43"/>
      <c r="H200" s="42" t="str">
        <f aca="false">IF(AND(ISNUMBER(E200),E200&gt;0),N(G200)/E200,"")</f>
        <v/>
      </c>
      <c r="I200" s="43"/>
      <c r="J200" s="43"/>
      <c r="K200" s="43"/>
      <c r="L200" s="42" t="str">
        <f aca="false">IF(AND(ISNUMBER(I200),I200&gt;0),N(K200)/I200,"")</f>
        <v/>
      </c>
      <c r="M200" s="43"/>
      <c r="N200" s="43"/>
      <c r="O200" s="43"/>
      <c r="P200" s="42" t="str">
        <f aca="false">IF(AND(ISNUMBER(M200),M200&gt;0),N(O200)/M200,"")</f>
        <v/>
      </c>
      <c r="Q200" s="43"/>
      <c r="R200" s="43"/>
      <c r="S200" s="42" t="str">
        <f aca="false">IF(AND(ISNUMBER(Q200),Q200&gt;0),N(R200)/Q200,"")</f>
        <v/>
      </c>
      <c r="T200" s="43"/>
      <c r="U200" s="43"/>
      <c r="V200" s="42" t="str">
        <f aca="false">IF(AND(ISNUMBER(T200),T200&gt;0),N(U200)/T200,"")</f>
        <v/>
      </c>
      <c r="W200" s="41"/>
      <c r="X200" s="43"/>
      <c r="Y200" s="41"/>
      <c r="Z200" s="41"/>
      <c r="AA200" s="44"/>
      <c r="AB200" s="44"/>
      <c r="AC200" s="45"/>
      <c r="AD200" s="46"/>
      <c r="AE200" s="46"/>
    </row>
    <row r="201" customFormat="false" ht="15" hidden="false" customHeight="false" outlineLevel="0" collapsed="false">
      <c r="A201" s="40"/>
      <c r="B201" s="41"/>
      <c r="C201" s="41"/>
      <c r="D201" s="42" t="str">
        <f aca="false">IF(N(B201)&gt;0,1-N(C201)/(B201*Config!$B$15),"")</f>
        <v/>
      </c>
      <c r="E201" s="43"/>
      <c r="F201" s="43"/>
      <c r="G201" s="43"/>
      <c r="H201" s="42" t="str">
        <f aca="false">IF(AND(ISNUMBER(E201),E201&gt;0),N(G201)/E201,"")</f>
        <v/>
      </c>
      <c r="I201" s="43"/>
      <c r="J201" s="43"/>
      <c r="K201" s="43"/>
      <c r="L201" s="42" t="str">
        <f aca="false">IF(AND(ISNUMBER(I201),I201&gt;0),N(K201)/I201,"")</f>
        <v/>
      </c>
      <c r="M201" s="43"/>
      <c r="N201" s="43"/>
      <c r="O201" s="43"/>
      <c r="P201" s="42" t="str">
        <f aca="false">IF(AND(ISNUMBER(M201),M201&gt;0),N(O201)/M201,"")</f>
        <v/>
      </c>
      <c r="Q201" s="43"/>
      <c r="R201" s="43"/>
      <c r="S201" s="42" t="str">
        <f aca="false">IF(AND(ISNUMBER(Q201),Q201&gt;0),N(R201)/Q201,"")</f>
        <v/>
      </c>
      <c r="T201" s="43"/>
      <c r="U201" s="43"/>
      <c r="V201" s="42" t="str">
        <f aca="false">IF(AND(ISNUMBER(T201),T201&gt;0),N(U201)/T201,"")</f>
        <v/>
      </c>
      <c r="W201" s="41"/>
      <c r="X201" s="43"/>
      <c r="Y201" s="41"/>
      <c r="Z201" s="41"/>
      <c r="AA201" s="44"/>
      <c r="AB201" s="44"/>
      <c r="AC201" s="45"/>
      <c r="AD201" s="46"/>
      <c r="AE201" s="46"/>
    </row>
    <row r="202" customFormat="false" ht="15" hidden="false" customHeight="false" outlineLevel="0" collapsed="false">
      <c r="A202" s="40"/>
      <c r="B202" s="41"/>
      <c r="C202" s="41"/>
      <c r="D202" s="42" t="str">
        <f aca="false">IF(N(B202)&gt;0,1-N(C202)/(B202*Config!$B$15),"")</f>
        <v/>
      </c>
      <c r="E202" s="43"/>
      <c r="F202" s="43"/>
      <c r="G202" s="43"/>
      <c r="H202" s="42" t="str">
        <f aca="false">IF(AND(ISNUMBER(E202),E202&gt;0),N(G202)/E202,"")</f>
        <v/>
      </c>
      <c r="I202" s="43"/>
      <c r="J202" s="43"/>
      <c r="K202" s="43"/>
      <c r="L202" s="42" t="str">
        <f aca="false">IF(AND(ISNUMBER(I202),I202&gt;0),N(K202)/I202,"")</f>
        <v/>
      </c>
      <c r="M202" s="43"/>
      <c r="N202" s="43"/>
      <c r="O202" s="43"/>
      <c r="P202" s="42" t="str">
        <f aca="false">IF(AND(ISNUMBER(M202),M202&gt;0),N(O202)/M202,"")</f>
        <v/>
      </c>
      <c r="Q202" s="43"/>
      <c r="R202" s="43"/>
      <c r="S202" s="42" t="str">
        <f aca="false">IF(AND(ISNUMBER(Q202),Q202&gt;0),N(R202)/Q202,"")</f>
        <v/>
      </c>
      <c r="T202" s="43"/>
      <c r="U202" s="43"/>
      <c r="V202" s="42" t="str">
        <f aca="false">IF(AND(ISNUMBER(T202),T202&gt;0),N(U202)/T202,"")</f>
        <v/>
      </c>
      <c r="W202" s="41"/>
      <c r="X202" s="43"/>
      <c r="Y202" s="41"/>
      <c r="Z202" s="41"/>
      <c r="AA202" s="44"/>
      <c r="AB202" s="44"/>
      <c r="AC202" s="45"/>
      <c r="AD202" s="46"/>
      <c r="AE202" s="46"/>
    </row>
    <row r="203" customFormat="false" ht="15" hidden="false" customHeight="false" outlineLevel="0" collapsed="false">
      <c r="A203" s="40"/>
      <c r="B203" s="41"/>
      <c r="C203" s="41"/>
      <c r="D203" s="42" t="str">
        <f aca="false">IF(N(B203)&gt;0,1-N(C203)/(B203*Config!$B$15),"")</f>
        <v/>
      </c>
      <c r="E203" s="43"/>
      <c r="F203" s="43"/>
      <c r="G203" s="43"/>
      <c r="H203" s="42" t="str">
        <f aca="false">IF(AND(ISNUMBER(E203),E203&gt;0),N(G203)/E203,"")</f>
        <v/>
      </c>
      <c r="I203" s="43"/>
      <c r="J203" s="43"/>
      <c r="K203" s="43"/>
      <c r="L203" s="42" t="str">
        <f aca="false">IF(AND(ISNUMBER(I203),I203&gt;0),N(K203)/I203,"")</f>
        <v/>
      </c>
      <c r="M203" s="43"/>
      <c r="N203" s="43"/>
      <c r="O203" s="43"/>
      <c r="P203" s="42" t="str">
        <f aca="false">IF(AND(ISNUMBER(M203),M203&gt;0),N(O203)/M203,"")</f>
        <v/>
      </c>
      <c r="Q203" s="43"/>
      <c r="R203" s="43"/>
      <c r="S203" s="42" t="str">
        <f aca="false">IF(AND(ISNUMBER(Q203),Q203&gt;0),N(R203)/Q203,"")</f>
        <v/>
      </c>
      <c r="T203" s="43"/>
      <c r="U203" s="43"/>
      <c r="V203" s="42" t="str">
        <f aca="false">IF(AND(ISNUMBER(T203),T203&gt;0),N(U203)/T203,"")</f>
        <v/>
      </c>
      <c r="W203" s="41"/>
      <c r="X203" s="43"/>
      <c r="Y203" s="41"/>
      <c r="Z203" s="41"/>
      <c r="AA203" s="44"/>
      <c r="AB203" s="44"/>
      <c r="AC203" s="45"/>
      <c r="AD203" s="46"/>
      <c r="AE203" s="46"/>
    </row>
    <row r="204" customFormat="false" ht="15" hidden="false" customHeight="false" outlineLevel="0" collapsed="false">
      <c r="A204" s="40"/>
      <c r="B204" s="41"/>
      <c r="C204" s="41"/>
      <c r="D204" s="42" t="str">
        <f aca="false">IF(N(B204)&gt;0,1-N(C204)/(B204*Config!$B$15),"")</f>
        <v/>
      </c>
      <c r="E204" s="43"/>
      <c r="F204" s="43"/>
      <c r="G204" s="43"/>
      <c r="H204" s="42" t="str">
        <f aca="false">IF(AND(ISNUMBER(E204),E204&gt;0),N(G204)/E204,"")</f>
        <v/>
      </c>
      <c r="I204" s="43"/>
      <c r="J204" s="43"/>
      <c r="K204" s="43"/>
      <c r="L204" s="42" t="str">
        <f aca="false">IF(AND(ISNUMBER(I204),I204&gt;0),N(K204)/I204,"")</f>
        <v/>
      </c>
      <c r="M204" s="43"/>
      <c r="N204" s="43"/>
      <c r="O204" s="43"/>
      <c r="P204" s="42" t="str">
        <f aca="false">IF(AND(ISNUMBER(M204),M204&gt;0),N(O204)/M204,"")</f>
        <v/>
      </c>
      <c r="Q204" s="43"/>
      <c r="R204" s="43"/>
      <c r="S204" s="42" t="str">
        <f aca="false">IF(AND(ISNUMBER(Q204),Q204&gt;0),N(R204)/Q204,"")</f>
        <v/>
      </c>
      <c r="T204" s="43"/>
      <c r="U204" s="43"/>
      <c r="V204" s="42" t="str">
        <f aca="false">IF(AND(ISNUMBER(T204),T204&gt;0),N(U204)/T204,"")</f>
        <v/>
      </c>
      <c r="W204" s="41"/>
      <c r="X204" s="43"/>
      <c r="Y204" s="41"/>
      <c r="Z204" s="41"/>
      <c r="AA204" s="44"/>
      <c r="AB204" s="44"/>
      <c r="AC204" s="45"/>
      <c r="AD204" s="46"/>
      <c r="AE204" s="46"/>
    </row>
    <row r="205" customFormat="false" ht="15" hidden="false" customHeight="false" outlineLevel="0" collapsed="false">
      <c r="A205" s="40"/>
      <c r="B205" s="41"/>
      <c r="C205" s="41"/>
      <c r="D205" s="42" t="str">
        <f aca="false">IF(N(B205)&gt;0,1-N(C205)/(B205*Config!$B$15),"")</f>
        <v/>
      </c>
      <c r="E205" s="43"/>
      <c r="F205" s="43"/>
      <c r="G205" s="43"/>
      <c r="H205" s="42" t="str">
        <f aca="false">IF(AND(ISNUMBER(E205),E205&gt;0),N(G205)/E205,"")</f>
        <v/>
      </c>
      <c r="I205" s="43"/>
      <c r="J205" s="43"/>
      <c r="K205" s="43"/>
      <c r="L205" s="42" t="str">
        <f aca="false">IF(AND(ISNUMBER(I205),I205&gt;0),N(K205)/I205,"")</f>
        <v/>
      </c>
      <c r="M205" s="43"/>
      <c r="N205" s="43"/>
      <c r="O205" s="43"/>
      <c r="P205" s="42" t="str">
        <f aca="false">IF(AND(ISNUMBER(M205),M205&gt;0),N(O205)/M205,"")</f>
        <v/>
      </c>
      <c r="Q205" s="43"/>
      <c r="R205" s="43"/>
      <c r="S205" s="42" t="str">
        <f aca="false">IF(AND(ISNUMBER(Q205),Q205&gt;0),N(R205)/Q205,"")</f>
        <v/>
      </c>
      <c r="T205" s="43"/>
      <c r="U205" s="43"/>
      <c r="V205" s="42" t="str">
        <f aca="false">IF(AND(ISNUMBER(T205),T205&gt;0),N(U205)/T205,"")</f>
        <v/>
      </c>
      <c r="W205" s="41"/>
      <c r="X205" s="43"/>
      <c r="Y205" s="41"/>
      <c r="Z205" s="41"/>
      <c r="AA205" s="44"/>
      <c r="AB205" s="44"/>
      <c r="AC205" s="45"/>
      <c r="AD205" s="46"/>
      <c r="AE205" s="46"/>
    </row>
    <row r="206" customFormat="false" ht="15" hidden="false" customHeight="false" outlineLevel="0" collapsed="false">
      <c r="A206" s="40"/>
      <c r="B206" s="41"/>
      <c r="C206" s="41"/>
      <c r="D206" s="42" t="str">
        <f aca="false">IF(N(B206)&gt;0,1-N(C206)/(B206*Config!$B$15),"")</f>
        <v/>
      </c>
      <c r="E206" s="43"/>
      <c r="F206" s="43"/>
      <c r="G206" s="43"/>
      <c r="H206" s="42" t="str">
        <f aca="false">IF(AND(ISNUMBER(E206),E206&gt;0),N(G206)/E206,"")</f>
        <v/>
      </c>
      <c r="I206" s="43"/>
      <c r="J206" s="43"/>
      <c r="K206" s="43"/>
      <c r="L206" s="42" t="str">
        <f aca="false">IF(AND(ISNUMBER(I206),I206&gt;0),N(K206)/I206,"")</f>
        <v/>
      </c>
      <c r="M206" s="43"/>
      <c r="N206" s="43"/>
      <c r="O206" s="43"/>
      <c r="P206" s="42" t="str">
        <f aca="false">IF(AND(ISNUMBER(M206),M206&gt;0),N(O206)/M206,"")</f>
        <v/>
      </c>
      <c r="Q206" s="43"/>
      <c r="R206" s="43"/>
      <c r="S206" s="42" t="str">
        <f aca="false">IF(AND(ISNUMBER(Q206),Q206&gt;0),N(R206)/Q206,"")</f>
        <v/>
      </c>
      <c r="T206" s="43"/>
      <c r="U206" s="43"/>
      <c r="V206" s="42" t="str">
        <f aca="false">IF(AND(ISNUMBER(T206),T206&gt;0),N(U206)/T206,"")</f>
        <v/>
      </c>
      <c r="W206" s="41"/>
      <c r="X206" s="43"/>
      <c r="Y206" s="41"/>
      <c r="Z206" s="41"/>
      <c r="AA206" s="44"/>
      <c r="AB206" s="44"/>
      <c r="AC206" s="45"/>
      <c r="AD206" s="46"/>
      <c r="AE206" s="46"/>
    </row>
    <row r="207" customFormat="false" ht="15" hidden="false" customHeight="false" outlineLevel="0" collapsed="false">
      <c r="A207" s="40"/>
      <c r="B207" s="41"/>
      <c r="C207" s="41"/>
      <c r="D207" s="42" t="str">
        <f aca="false">IF(N(B207)&gt;0,1-N(C207)/(B207*Config!$B$15),"")</f>
        <v/>
      </c>
      <c r="E207" s="43"/>
      <c r="F207" s="43"/>
      <c r="G207" s="43"/>
      <c r="H207" s="42" t="str">
        <f aca="false">IF(AND(ISNUMBER(E207),E207&gt;0),N(G207)/E207,"")</f>
        <v/>
      </c>
      <c r="I207" s="43"/>
      <c r="J207" s="43"/>
      <c r="K207" s="43"/>
      <c r="L207" s="42" t="str">
        <f aca="false">IF(AND(ISNUMBER(I207),I207&gt;0),N(K207)/I207,"")</f>
        <v/>
      </c>
      <c r="M207" s="43"/>
      <c r="N207" s="43"/>
      <c r="O207" s="43"/>
      <c r="P207" s="42" t="str">
        <f aca="false">IF(AND(ISNUMBER(M207),M207&gt;0),N(O207)/M207,"")</f>
        <v/>
      </c>
      <c r="Q207" s="43"/>
      <c r="R207" s="43"/>
      <c r="S207" s="42" t="str">
        <f aca="false">IF(AND(ISNUMBER(Q207),Q207&gt;0),N(R207)/Q207,"")</f>
        <v/>
      </c>
      <c r="T207" s="43"/>
      <c r="U207" s="43"/>
      <c r="V207" s="42" t="str">
        <f aca="false">IF(AND(ISNUMBER(T207),T207&gt;0),N(U207)/T207,"")</f>
        <v/>
      </c>
      <c r="W207" s="41"/>
      <c r="X207" s="43"/>
      <c r="Y207" s="41"/>
      <c r="Z207" s="41"/>
      <c r="AA207" s="44"/>
      <c r="AB207" s="44"/>
      <c r="AC207" s="45"/>
      <c r="AD207" s="46"/>
      <c r="AE207" s="46"/>
    </row>
    <row r="208" customFormat="false" ht="15" hidden="false" customHeight="false" outlineLevel="0" collapsed="false">
      <c r="A208" s="40"/>
      <c r="B208" s="41"/>
      <c r="C208" s="41"/>
      <c r="D208" s="42" t="str">
        <f aca="false">IF(N(B208)&gt;0,1-N(C208)/(B208*Config!$B$15),"")</f>
        <v/>
      </c>
      <c r="E208" s="43"/>
      <c r="F208" s="43"/>
      <c r="G208" s="43"/>
      <c r="H208" s="42" t="str">
        <f aca="false">IF(AND(ISNUMBER(E208),E208&gt;0),N(G208)/E208,"")</f>
        <v/>
      </c>
      <c r="I208" s="43"/>
      <c r="J208" s="43"/>
      <c r="K208" s="43"/>
      <c r="L208" s="42" t="str">
        <f aca="false">IF(AND(ISNUMBER(I208),I208&gt;0),N(K208)/I208,"")</f>
        <v/>
      </c>
      <c r="M208" s="43"/>
      <c r="N208" s="43"/>
      <c r="O208" s="43"/>
      <c r="P208" s="42" t="str">
        <f aca="false">IF(AND(ISNUMBER(M208),M208&gt;0),N(O208)/M208,"")</f>
        <v/>
      </c>
      <c r="Q208" s="43"/>
      <c r="R208" s="43"/>
      <c r="S208" s="42" t="str">
        <f aca="false">IF(AND(ISNUMBER(Q208),Q208&gt;0),N(R208)/Q208,"")</f>
        <v/>
      </c>
      <c r="T208" s="43"/>
      <c r="U208" s="43"/>
      <c r="V208" s="42" t="str">
        <f aca="false">IF(AND(ISNUMBER(T208),T208&gt;0),N(U208)/T208,"")</f>
        <v/>
      </c>
      <c r="W208" s="41"/>
      <c r="X208" s="43"/>
      <c r="Y208" s="41"/>
      <c r="Z208" s="41"/>
      <c r="AA208" s="44"/>
      <c r="AB208" s="44"/>
      <c r="AC208" s="45"/>
      <c r="AD208" s="46"/>
      <c r="AE208" s="46"/>
    </row>
    <row r="209" customFormat="false" ht="15" hidden="false" customHeight="false" outlineLevel="0" collapsed="false">
      <c r="A209" s="40"/>
      <c r="B209" s="41"/>
      <c r="C209" s="41"/>
      <c r="D209" s="42" t="str">
        <f aca="false">IF(N(B209)&gt;0,1-N(C209)/(B209*Config!$B$15),"")</f>
        <v/>
      </c>
      <c r="E209" s="43"/>
      <c r="F209" s="43"/>
      <c r="G209" s="43"/>
      <c r="H209" s="42" t="str">
        <f aca="false">IF(AND(ISNUMBER(E209),E209&gt;0),N(G209)/E209,"")</f>
        <v/>
      </c>
      <c r="I209" s="43"/>
      <c r="J209" s="43"/>
      <c r="K209" s="43"/>
      <c r="L209" s="42" t="str">
        <f aca="false">IF(AND(ISNUMBER(I209),I209&gt;0),N(K209)/I209,"")</f>
        <v/>
      </c>
      <c r="M209" s="43"/>
      <c r="N209" s="43"/>
      <c r="O209" s="43"/>
      <c r="P209" s="42" t="str">
        <f aca="false">IF(AND(ISNUMBER(M209),M209&gt;0),N(O209)/M209,"")</f>
        <v/>
      </c>
      <c r="Q209" s="43"/>
      <c r="R209" s="43"/>
      <c r="S209" s="42" t="str">
        <f aca="false">IF(AND(ISNUMBER(Q209),Q209&gt;0),N(R209)/Q209,"")</f>
        <v/>
      </c>
      <c r="T209" s="43"/>
      <c r="U209" s="43"/>
      <c r="V209" s="42" t="str">
        <f aca="false">IF(AND(ISNUMBER(T209),T209&gt;0),N(U209)/T209,"")</f>
        <v/>
      </c>
      <c r="W209" s="41"/>
      <c r="X209" s="43"/>
      <c r="Y209" s="41"/>
      <c r="Z209" s="41"/>
      <c r="AA209" s="44"/>
      <c r="AB209" s="44"/>
      <c r="AC209" s="45"/>
      <c r="AD209" s="46"/>
      <c r="AE209" s="46"/>
    </row>
    <row r="210" customFormat="false" ht="15" hidden="false" customHeight="false" outlineLevel="0" collapsed="false">
      <c r="A210" s="40"/>
      <c r="B210" s="41"/>
      <c r="C210" s="41"/>
      <c r="D210" s="42" t="str">
        <f aca="false">IF(N(B210)&gt;0,1-N(C210)/(B210*Config!$B$15),"")</f>
        <v/>
      </c>
      <c r="E210" s="43"/>
      <c r="F210" s="43"/>
      <c r="G210" s="43"/>
      <c r="H210" s="42" t="str">
        <f aca="false">IF(AND(ISNUMBER(E210),E210&gt;0),N(G210)/E210,"")</f>
        <v/>
      </c>
      <c r="I210" s="43"/>
      <c r="J210" s="43"/>
      <c r="K210" s="43"/>
      <c r="L210" s="42" t="str">
        <f aca="false">IF(AND(ISNUMBER(I210),I210&gt;0),N(K210)/I210,"")</f>
        <v/>
      </c>
      <c r="M210" s="43"/>
      <c r="N210" s="43"/>
      <c r="O210" s="43"/>
      <c r="P210" s="42" t="str">
        <f aca="false">IF(AND(ISNUMBER(M210),M210&gt;0),N(O210)/M210,"")</f>
        <v/>
      </c>
      <c r="Q210" s="43"/>
      <c r="R210" s="43"/>
      <c r="S210" s="42" t="str">
        <f aca="false">IF(AND(ISNUMBER(Q210),Q210&gt;0),N(R210)/Q210,"")</f>
        <v/>
      </c>
      <c r="T210" s="43"/>
      <c r="U210" s="43"/>
      <c r="V210" s="42" t="str">
        <f aca="false">IF(AND(ISNUMBER(T210),T210&gt;0),N(U210)/T210,"")</f>
        <v/>
      </c>
      <c r="W210" s="41"/>
      <c r="X210" s="43"/>
      <c r="Y210" s="41"/>
      <c r="Z210" s="41"/>
      <c r="AA210" s="44"/>
      <c r="AB210" s="44"/>
      <c r="AC210" s="45"/>
      <c r="AD210" s="46"/>
      <c r="AE210" s="46"/>
    </row>
    <row r="211" customFormat="false" ht="15" hidden="false" customHeight="false" outlineLevel="0" collapsed="false">
      <c r="A211" s="40"/>
      <c r="B211" s="41"/>
      <c r="C211" s="41"/>
      <c r="D211" s="42" t="str">
        <f aca="false">IF(N(B211)&gt;0,1-N(C211)/(B211*Config!$B$15),"")</f>
        <v/>
      </c>
      <c r="E211" s="43"/>
      <c r="F211" s="43"/>
      <c r="G211" s="43"/>
      <c r="H211" s="42" t="str">
        <f aca="false">IF(AND(ISNUMBER(E211),E211&gt;0),N(G211)/E211,"")</f>
        <v/>
      </c>
      <c r="I211" s="43"/>
      <c r="J211" s="43"/>
      <c r="K211" s="43"/>
      <c r="L211" s="42" t="str">
        <f aca="false">IF(AND(ISNUMBER(I211),I211&gt;0),N(K211)/I211,"")</f>
        <v/>
      </c>
      <c r="M211" s="43"/>
      <c r="N211" s="43"/>
      <c r="O211" s="43"/>
      <c r="P211" s="42" t="str">
        <f aca="false">IF(AND(ISNUMBER(M211),M211&gt;0),N(O211)/M211,"")</f>
        <v/>
      </c>
      <c r="Q211" s="43"/>
      <c r="R211" s="43"/>
      <c r="S211" s="42" t="str">
        <f aca="false">IF(AND(ISNUMBER(Q211),Q211&gt;0),N(R211)/Q211,"")</f>
        <v/>
      </c>
      <c r="T211" s="43"/>
      <c r="U211" s="43"/>
      <c r="V211" s="42" t="str">
        <f aca="false">IF(AND(ISNUMBER(T211),T211&gt;0),N(U211)/T211,"")</f>
        <v/>
      </c>
      <c r="W211" s="41"/>
      <c r="X211" s="43"/>
      <c r="Y211" s="41"/>
      <c r="Z211" s="41"/>
      <c r="AA211" s="44"/>
      <c r="AB211" s="44"/>
      <c r="AC211" s="45"/>
      <c r="AD211" s="46"/>
      <c r="AE211" s="46"/>
    </row>
    <row r="212" customFormat="false" ht="15" hidden="false" customHeight="false" outlineLevel="0" collapsed="false">
      <c r="A212" s="40"/>
      <c r="B212" s="41"/>
      <c r="C212" s="41"/>
      <c r="D212" s="42" t="str">
        <f aca="false">IF(N(B212)&gt;0,1-N(C212)/(B212*Config!$B$15),"")</f>
        <v/>
      </c>
      <c r="E212" s="43"/>
      <c r="F212" s="43"/>
      <c r="G212" s="43"/>
      <c r="H212" s="42" t="str">
        <f aca="false">IF(AND(ISNUMBER(E212),E212&gt;0),N(G212)/E212,"")</f>
        <v/>
      </c>
      <c r="I212" s="43"/>
      <c r="J212" s="43"/>
      <c r="K212" s="43"/>
      <c r="L212" s="42" t="str">
        <f aca="false">IF(AND(ISNUMBER(I212),I212&gt;0),N(K212)/I212,"")</f>
        <v/>
      </c>
      <c r="M212" s="43"/>
      <c r="N212" s="43"/>
      <c r="O212" s="43"/>
      <c r="P212" s="42" t="str">
        <f aca="false">IF(AND(ISNUMBER(M212),M212&gt;0),N(O212)/M212,"")</f>
        <v/>
      </c>
      <c r="Q212" s="43"/>
      <c r="R212" s="43"/>
      <c r="S212" s="42" t="str">
        <f aca="false">IF(AND(ISNUMBER(Q212),Q212&gt;0),N(R212)/Q212,"")</f>
        <v/>
      </c>
      <c r="T212" s="43"/>
      <c r="U212" s="43"/>
      <c r="V212" s="42" t="str">
        <f aca="false">IF(AND(ISNUMBER(T212),T212&gt;0),N(U212)/T212,"")</f>
        <v/>
      </c>
      <c r="W212" s="41"/>
      <c r="X212" s="43"/>
      <c r="Y212" s="41"/>
      <c r="Z212" s="41"/>
      <c r="AA212" s="44"/>
      <c r="AB212" s="44"/>
      <c r="AC212" s="45"/>
      <c r="AD212" s="46"/>
      <c r="AE212" s="46"/>
    </row>
    <row r="213" customFormat="false" ht="15" hidden="false" customHeight="false" outlineLevel="0" collapsed="false">
      <c r="A213" s="40"/>
      <c r="B213" s="41"/>
      <c r="C213" s="41"/>
      <c r="D213" s="42" t="str">
        <f aca="false">IF(N(B213)&gt;0,1-N(C213)/(B213*Config!$B$15),"")</f>
        <v/>
      </c>
      <c r="E213" s="43"/>
      <c r="F213" s="43"/>
      <c r="G213" s="43"/>
      <c r="H213" s="42" t="str">
        <f aca="false">IF(AND(ISNUMBER(E213),E213&gt;0),N(G213)/E213,"")</f>
        <v/>
      </c>
      <c r="I213" s="43"/>
      <c r="J213" s="43"/>
      <c r="K213" s="43"/>
      <c r="L213" s="42" t="str">
        <f aca="false">IF(AND(ISNUMBER(I213),I213&gt;0),N(K213)/I213,"")</f>
        <v/>
      </c>
      <c r="M213" s="43"/>
      <c r="N213" s="43"/>
      <c r="O213" s="43"/>
      <c r="P213" s="42" t="str">
        <f aca="false">IF(AND(ISNUMBER(M213),M213&gt;0),N(O213)/M213,"")</f>
        <v/>
      </c>
      <c r="Q213" s="43"/>
      <c r="R213" s="43"/>
      <c r="S213" s="42" t="str">
        <f aca="false">IF(AND(ISNUMBER(Q213),Q213&gt;0),N(R213)/Q213,"")</f>
        <v/>
      </c>
      <c r="T213" s="43"/>
      <c r="U213" s="43"/>
      <c r="V213" s="42" t="str">
        <f aca="false">IF(AND(ISNUMBER(T213),T213&gt;0),N(U213)/T213,"")</f>
        <v/>
      </c>
      <c r="W213" s="41"/>
      <c r="X213" s="43"/>
      <c r="Y213" s="41"/>
      <c r="Z213" s="41"/>
      <c r="AA213" s="44"/>
      <c r="AB213" s="44"/>
      <c r="AC213" s="45"/>
      <c r="AD213" s="46"/>
      <c r="AE213" s="46"/>
    </row>
    <row r="214" customFormat="false" ht="15" hidden="false" customHeight="false" outlineLevel="0" collapsed="false">
      <c r="A214" s="40"/>
      <c r="B214" s="41"/>
      <c r="C214" s="41"/>
      <c r="D214" s="42" t="str">
        <f aca="false">IF(N(B214)&gt;0,1-N(C214)/(B214*Config!$B$15),"")</f>
        <v/>
      </c>
      <c r="E214" s="43"/>
      <c r="F214" s="43"/>
      <c r="G214" s="43"/>
      <c r="H214" s="42" t="str">
        <f aca="false">IF(AND(ISNUMBER(E214),E214&gt;0),N(G214)/E214,"")</f>
        <v/>
      </c>
      <c r="I214" s="43"/>
      <c r="J214" s="43"/>
      <c r="K214" s="43"/>
      <c r="L214" s="42" t="str">
        <f aca="false">IF(AND(ISNUMBER(I214),I214&gt;0),N(K214)/I214,"")</f>
        <v/>
      </c>
      <c r="M214" s="43"/>
      <c r="N214" s="43"/>
      <c r="O214" s="43"/>
      <c r="P214" s="42" t="str">
        <f aca="false">IF(AND(ISNUMBER(M214),M214&gt;0),N(O214)/M214,"")</f>
        <v/>
      </c>
      <c r="Q214" s="43"/>
      <c r="R214" s="43"/>
      <c r="S214" s="42" t="str">
        <f aca="false">IF(AND(ISNUMBER(Q214),Q214&gt;0),N(R214)/Q214,"")</f>
        <v/>
      </c>
      <c r="T214" s="43"/>
      <c r="U214" s="43"/>
      <c r="V214" s="42" t="str">
        <f aca="false">IF(AND(ISNUMBER(T214),T214&gt;0),N(U214)/T214,"")</f>
        <v/>
      </c>
      <c r="W214" s="41"/>
      <c r="X214" s="43"/>
      <c r="Y214" s="41"/>
      <c r="Z214" s="41"/>
      <c r="AA214" s="44"/>
      <c r="AB214" s="44"/>
      <c r="AC214" s="45"/>
      <c r="AD214" s="46"/>
      <c r="AE214" s="46"/>
    </row>
    <row r="215" customFormat="false" ht="15" hidden="false" customHeight="false" outlineLevel="0" collapsed="false">
      <c r="A215" s="40"/>
      <c r="B215" s="41"/>
      <c r="C215" s="41"/>
      <c r="D215" s="42" t="str">
        <f aca="false">IF(N(B215)&gt;0,1-N(C215)/(B215*Config!$B$15),"")</f>
        <v/>
      </c>
      <c r="E215" s="43"/>
      <c r="F215" s="43"/>
      <c r="G215" s="43"/>
      <c r="H215" s="42" t="str">
        <f aca="false">IF(AND(ISNUMBER(E215),E215&gt;0),N(G215)/E215,"")</f>
        <v/>
      </c>
      <c r="I215" s="43"/>
      <c r="J215" s="43"/>
      <c r="K215" s="43"/>
      <c r="L215" s="42" t="str">
        <f aca="false">IF(AND(ISNUMBER(I215),I215&gt;0),N(K215)/I215,"")</f>
        <v/>
      </c>
      <c r="M215" s="43"/>
      <c r="N215" s="43"/>
      <c r="O215" s="43"/>
      <c r="P215" s="42" t="str">
        <f aca="false">IF(AND(ISNUMBER(M215),M215&gt;0),N(O215)/M215,"")</f>
        <v/>
      </c>
      <c r="Q215" s="43"/>
      <c r="R215" s="43"/>
      <c r="S215" s="42" t="str">
        <f aca="false">IF(AND(ISNUMBER(Q215),Q215&gt;0),N(R215)/Q215,"")</f>
        <v/>
      </c>
      <c r="T215" s="43"/>
      <c r="U215" s="43"/>
      <c r="V215" s="42" t="str">
        <f aca="false">IF(AND(ISNUMBER(T215),T215&gt;0),N(U215)/T215,"")</f>
        <v/>
      </c>
      <c r="W215" s="41"/>
      <c r="X215" s="43"/>
      <c r="Y215" s="41"/>
      <c r="Z215" s="41"/>
      <c r="AA215" s="44"/>
      <c r="AB215" s="44"/>
      <c r="AC215" s="45"/>
      <c r="AD215" s="46"/>
      <c r="AE215" s="46"/>
    </row>
    <row r="216" customFormat="false" ht="15" hidden="false" customHeight="false" outlineLevel="0" collapsed="false">
      <c r="A216" s="40"/>
      <c r="B216" s="41"/>
      <c r="C216" s="41"/>
      <c r="D216" s="42" t="str">
        <f aca="false">IF(N(B216)&gt;0,1-N(C216)/(B216*Config!$B$15),"")</f>
        <v/>
      </c>
      <c r="E216" s="43"/>
      <c r="F216" s="43"/>
      <c r="G216" s="43"/>
      <c r="H216" s="42" t="str">
        <f aca="false">IF(AND(ISNUMBER(E216),E216&gt;0),N(G216)/E216,"")</f>
        <v/>
      </c>
      <c r="I216" s="43"/>
      <c r="J216" s="43"/>
      <c r="K216" s="43"/>
      <c r="L216" s="42" t="str">
        <f aca="false">IF(AND(ISNUMBER(I216),I216&gt;0),N(K216)/I216,"")</f>
        <v/>
      </c>
      <c r="M216" s="43"/>
      <c r="N216" s="43"/>
      <c r="O216" s="43"/>
      <c r="P216" s="42" t="str">
        <f aca="false">IF(AND(ISNUMBER(M216),M216&gt;0),N(O216)/M216,"")</f>
        <v/>
      </c>
      <c r="Q216" s="43"/>
      <c r="R216" s="43"/>
      <c r="S216" s="42" t="str">
        <f aca="false">IF(AND(ISNUMBER(Q216),Q216&gt;0),N(R216)/Q216,"")</f>
        <v/>
      </c>
      <c r="T216" s="43"/>
      <c r="U216" s="43"/>
      <c r="V216" s="42" t="str">
        <f aca="false">IF(AND(ISNUMBER(T216),T216&gt;0),N(U216)/T216,"")</f>
        <v/>
      </c>
      <c r="W216" s="41"/>
      <c r="X216" s="43"/>
      <c r="Y216" s="41"/>
      <c r="Z216" s="41"/>
      <c r="AA216" s="44"/>
      <c r="AB216" s="44"/>
      <c r="AC216" s="45"/>
      <c r="AD216" s="46"/>
      <c r="AE216" s="46"/>
    </row>
    <row r="217" customFormat="false" ht="15" hidden="false" customHeight="false" outlineLevel="0" collapsed="false">
      <c r="A217" s="40"/>
      <c r="B217" s="41"/>
      <c r="C217" s="41"/>
      <c r="D217" s="42" t="str">
        <f aca="false">IF(N(B217)&gt;0,1-N(C217)/(B217*Config!$B$15),"")</f>
        <v/>
      </c>
      <c r="E217" s="43"/>
      <c r="F217" s="43"/>
      <c r="G217" s="43"/>
      <c r="H217" s="42" t="str">
        <f aca="false">IF(AND(ISNUMBER(E217),E217&gt;0),N(G217)/E217,"")</f>
        <v/>
      </c>
      <c r="I217" s="43"/>
      <c r="J217" s="43"/>
      <c r="K217" s="43"/>
      <c r="L217" s="42" t="str">
        <f aca="false">IF(AND(ISNUMBER(I217),I217&gt;0),N(K217)/I217,"")</f>
        <v/>
      </c>
      <c r="M217" s="43"/>
      <c r="N217" s="43"/>
      <c r="O217" s="43"/>
      <c r="P217" s="42" t="str">
        <f aca="false">IF(AND(ISNUMBER(M217),M217&gt;0),N(O217)/M217,"")</f>
        <v/>
      </c>
      <c r="Q217" s="43"/>
      <c r="R217" s="43"/>
      <c r="S217" s="42" t="str">
        <f aca="false">IF(AND(ISNUMBER(Q217),Q217&gt;0),N(R217)/Q217,"")</f>
        <v/>
      </c>
      <c r="T217" s="43"/>
      <c r="U217" s="43"/>
      <c r="V217" s="42" t="str">
        <f aca="false">IF(AND(ISNUMBER(T217),T217&gt;0),N(U217)/T217,"")</f>
        <v/>
      </c>
      <c r="W217" s="41"/>
      <c r="X217" s="43"/>
      <c r="Y217" s="41"/>
      <c r="Z217" s="41"/>
      <c r="AA217" s="44"/>
      <c r="AB217" s="44"/>
      <c r="AC217" s="45"/>
      <c r="AD217" s="46"/>
      <c r="AE217" s="46"/>
    </row>
    <row r="218" customFormat="false" ht="15" hidden="false" customHeight="false" outlineLevel="0" collapsed="false">
      <c r="A218" s="40"/>
      <c r="B218" s="41"/>
      <c r="C218" s="41"/>
      <c r="D218" s="42" t="str">
        <f aca="false">IF(N(B218)&gt;0,1-N(C218)/(B218*Config!$B$15),"")</f>
        <v/>
      </c>
      <c r="E218" s="43"/>
      <c r="F218" s="43"/>
      <c r="G218" s="43"/>
      <c r="H218" s="42" t="str">
        <f aca="false">IF(AND(ISNUMBER(E218),E218&gt;0),N(G218)/E218,"")</f>
        <v/>
      </c>
      <c r="I218" s="43"/>
      <c r="J218" s="43"/>
      <c r="K218" s="43"/>
      <c r="L218" s="42" t="str">
        <f aca="false">IF(AND(ISNUMBER(I218),I218&gt;0),N(K218)/I218,"")</f>
        <v/>
      </c>
      <c r="M218" s="43"/>
      <c r="N218" s="43"/>
      <c r="O218" s="43"/>
      <c r="P218" s="42" t="str">
        <f aca="false">IF(AND(ISNUMBER(M218),M218&gt;0),N(O218)/M218,"")</f>
        <v/>
      </c>
      <c r="Q218" s="43"/>
      <c r="R218" s="43"/>
      <c r="S218" s="42" t="str">
        <f aca="false">IF(AND(ISNUMBER(Q218),Q218&gt;0),N(R218)/Q218,"")</f>
        <v/>
      </c>
      <c r="T218" s="43"/>
      <c r="U218" s="43"/>
      <c r="V218" s="42" t="str">
        <f aca="false">IF(AND(ISNUMBER(T218),T218&gt;0),N(U218)/T218,"")</f>
        <v/>
      </c>
      <c r="W218" s="41"/>
      <c r="X218" s="43"/>
      <c r="Y218" s="41"/>
      <c r="Z218" s="41"/>
      <c r="AA218" s="44"/>
      <c r="AB218" s="44"/>
      <c r="AC218" s="45"/>
      <c r="AD218" s="46"/>
      <c r="AE218" s="46"/>
    </row>
    <row r="219" customFormat="false" ht="15" hidden="false" customHeight="false" outlineLevel="0" collapsed="false">
      <c r="A219" s="40"/>
      <c r="B219" s="41"/>
      <c r="C219" s="41"/>
      <c r="D219" s="42" t="str">
        <f aca="false">IF(N(B219)&gt;0,1-N(C219)/(B219*Config!$B$15),"")</f>
        <v/>
      </c>
      <c r="E219" s="43"/>
      <c r="F219" s="43"/>
      <c r="G219" s="43"/>
      <c r="H219" s="42" t="str">
        <f aca="false">IF(AND(ISNUMBER(E219),E219&gt;0),N(G219)/E219,"")</f>
        <v/>
      </c>
      <c r="I219" s="43"/>
      <c r="J219" s="43"/>
      <c r="K219" s="43"/>
      <c r="L219" s="42" t="str">
        <f aca="false">IF(AND(ISNUMBER(I219),I219&gt;0),N(K219)/I219,"")</f>
        <v/>
      </c>
      <c r="M219" s="43"/>
      <c r="N219" s="43"/>
      <c r="O219" s="43"/>
      <c r="P219" s="42" t="str">
        <f aca="false">IF(AND(ISNUMBER(M219),M219&gt;0),N(O219)/M219,"")</f>
        <v/>
      </c>
      <c r="Q219" s="43"/>
      <c r="R219" s="43"/>
      <c r="S219" s="42" t="str">
        <f aca="false">IF(AND(ISNUMBER(Q219),Q219&gt;0),N(R219)/Q219,"")</f>
        <v/>
      </c>
      <c r="T219" s="43"/>
      <c r="U219" s="43"/>
      <c r="V219" s="42" t="str">
        <f aca="false">IF(AND(ISNUMBER(T219),T219&gt;0),N(U219)/T219,"")</f>
        <v/>
      </c>
      <c r="W219" s="41"/>
      <c r="X219" s="43"/>
      <c r="Y219" s="41"/>
      <c r="Z219" s="41"/>
      <c r="AA219" s="44"/>
      <c r="AB219" s="44"/>
      <c r="AC219" s="45"/>
      <c r="AD219" s="46"/>
      <c r="AE219" s="46"/>
    </row>
    <row r="220" customFormat="false" ht="15" hidden="false" customHeight="false" outlineLevel="0" collapsed="false">
      <c r="A220" s="40"/>
      <c r="B220" s="41"/>
      <c r="C220" s="41"/>
      <c r="D220" s="42" t="str">
        <f aca="false">IF(N(B220)&gt;0,1-N(C220)/(B220*Config!$B$15),"")</f>
        <v/>
      </c>
      <c r="E220" s="43"/>
      <c r="F220" s="43"/>
      <c r="G220" s="43"/>
      <c r="H220" s="42" t="str">
        <f aca="false">IF(AND(ISNUMBER(E220),E220&gt;0),N(G220)/E220,"")</f>
        <v/>
      </c>
      <c r="I220" s="43"/>
      <c r="J220" s="43"/>
      <c r="K220" s="43"/>
      <c r="L220" s="42" t="str">
        <f aca="false">IF(AND(ISNUMBER(I220),I220&gt;0),N(K220)/I220,"")</f>
        <v/>
      </c>
      <c r="M220" s="43"/>
      <c r="N220" s="43"/>
      <c r="O220" s="43"/>
      <c r="P220" s="42" t="str">
        <f aca="false">IF(AND(ISNUMBER(M220),M220&gt;0),N(O220)/M220,"")</f>
        <v/>
      </c>
      <c r="Q220" s="43"/>
      <c r="R220" s="43"/>
      <c r="S220" s="42" t="str">
        <f aca="false">IF(AND(ISNUMBER(Q220),Q220&gt;0),N(R220)/Q220,"")</f>
        <v/>
      </c>
      <c r="T220" s="43"/>
      <c r="U220" s="43"/>
      <c r="V220" s="42" t="str">
        <f aca="false">IF(AND(ISNUMBER(T220),T220&gt;0),N(U220)/T220,"")</f>
        <v/>
      </c>
      <c r="W220" s="41"/>
      <c r="X220" s="43"/>
      <c r="Y220" s="41"/>
      <c r="Z220" s="41"/>
      <c r="AA220" s="44"/>
      <c r="AB220" s="44"/>
      <c r="AC220" s="45"/>
      <c r="AD220" s="46"/>
      <c r="AE220" s="46"/>
    </row>
    <row r="221" customFormat="false" ht="15" hidden="false" customHeight="false" outlineLevel="0" collapsed="false">
      <c r="A221" s="40"/>
      <c r="B221" s="41"/>
      <c r="C221" s="41"/>
      <c r="D221" s="42" t="str">
        <f aca="false">IF(N(B221)&gt;0,1-N(C221)/(B221*Config!$B$15),"")</f>
        <v/>
      </c>
      <c r="E221" s="43"/>
      <c r="F221" s="43"/>
      <c r="G221" s="43"/>
      <c r="H221" s="42" t="str">
        <f aca="false">IF(AND(ISNUMBER(E221),E221&gt;0),N(G221)/E221,"")</f>
        <v/>
      </c>
      <c r="I221" s="43"/>
      <c r="J221" s="43"/>
      <c r="K221" s="43"/>
      <c r="L221" s="42" t="str">
        <f aca="false">IF(AND(ISNUMBER(I221),I221&gt;0),N(K221)/I221,"")</f>
        <v/>
      </c>
      <c r="M221" s="43"/>
      <c r="N221" s="43"/>
      <c r="O221" s="43"/>
      <c r="P221" s="42" t="str">
        <f aca="false">IF(AND(ISNUMBER(M221),M221&gt;0),N(O221)/M221,"")</f>
        <v/>
      </c>
      <c r="Q221" s="43"/>
      <c r="R221" s="43"/>
      <c r="S221" s="42" t="str">
        <f aca="false">IF(AND(ISNUMBER(Q221),Q221&gt;0),N(R221)/Q221,"")</f>
        <v/>
      </c>
      <c r="T221" s="43"/>
      <c r="U221" s="43"/>
      <c r="V221" s="42" t="str">
        <f aca="false">IF(AND(ISNUMBER(T221),T221&gt;0),N(U221)/T221,"")</f>
        <v/>
      </c>
      <c r="W221" s="41"/>
      <c r="X221" s="43"/>
      <c r="Y221" s="41"/>
      <c r="Z221" s="41"/>
      <c r="AA221" s="44"/>
      <c r="AB221" s="44"/>
      <c r="AC221" s="45"/>
      <c r="AD221" s="46"/>
      <c r="AE221" s="46"/>
    </row>
    <row r="222" customFormat="false" ht="15" hidden="false" customHeight="false" outlineLevel="0" collapsed="false">
      <c r="A222" s="40"/>
      <c r="B222" s="41"/>
      <c r="C222" s="41"/>
      <c r="D222" s="42" t="str">
        <f aca="false">IF(N(B222)&gt;0,1-N(C222)/(B222*Config!$B$15),"")</f>
        <v/>
      </c>
      <c r="E222" s="43"/>
      <c r="F222" s="43"/>
      <c r="G222" s="43"/>
      <c r="H222" s="42" t="str">
        <f aca="false">IF(AND(ISNUMBER(E222),E222&gt;0),N(G222)/E222,"")</f>
        <v/>
      </c>
      <c r="I222" s="43"/>
      <c r="J222" s="43"/>
      <c r="K222" s="43"/>
      <c r="L222" s="42" t="str">
        <f aca="false">IF(AND(ISNUMBER(I222),I222&gt;0),N(K222)/I222,"")</f>
        <v/>
      </c>
      <c r="M222" s="43"/>
      <c r="N222" s="43"/>
      <c r="O222" s="43"/>
      <c r="P222" s="42" t="str">
        <f aca="false">IF(AND(ISNUMBER(M222),M222&gt;0),N(O222)/M222,"")</f>
        <v/>
      </c>
      <c r="Q222" s="43"/>
      <c r="R222" s="43"/>
      <c r="S222" s="42" t="str">
        <f aca="false">IF(AND(ISNUMBER(Q222),Q222&gt;0),N(R222)/Q222,"")</f>
        <v/>
      </c>
      <c r="T222" s="43"/>
      <c r="U222" s="43"/>
      <c r="V222" s="42" t="str">
        <f aca="false">IF(AND(ISNUMBER(T222),T222&gt;0),N(U222)/T222,"")</f>
        <v/>
      </c>
      <c r="W222" s="41"/>
      <c r="X222" s="43"/>
      <c r="Y222" s="41"/>
      <c r="Z222" s="41"/>
      <c r="AA222" s="44"/>
      <c r="AB222" s="44"/>
      <c r="AC222" s="45"/>
      <c r="AD222" s="46"/>
      <c r="AE222" s="46"/>
    </row>
    <row r="223" customFormat="false" ht="15" hidden="false" customHeight="false" outlineLevel="0" collapsed="false">
      <c r="A223" s="40"/>
      <c r="B223" s="41"/>
      <c r="C223" s="41"/>
      <c r="D223" s="42" t="str">
        <f aca="false">IF(N(B223)&gt;0,1-N(C223)/(B223*Config!$B$15),"")</f>
        <v/>
      </c>
      <c r="E223" s="43"/>
      <c r="F223" s="43"/>
      <c r="G223" s="43"/>
      <c r="H223" s="42" t="str">
        <f aca="false">IF(AND(ISNUMBER(E223),E223&gt;0),N(G223)/E223,"")</f>
        <v/>
      </c>
      <c r="I223" s="43"/>
      <c r="J223" s="43"/>
      <c r="K223" s="43"/>
      <c r="L223" s="42" t="str">
        <f aca="false">IF(AND(ISNUMBER(I223),I223&gt;0),N(K223)/I223,"")</f>
        <v/>
      </c>
      <c r="M223" s="43"/>
      <c r="N223" s="43"/>
      <c r="O223" s="43"/>
      <c r="P223" s="42" t="str">
        <f aca="false">IF(AND(ISNUMBER(M223),M223&gt;0),N(O223)/M223,"")</f>
        <v/>
      </c>
      <c r="Q223" s="43"/>
      <c r="R223" s="43"/>
      <c r="S223" s="42" t="str">
        <f aca="false">IF(AND(ISNUMBER(Q223),Q223&gt;0),N(R223)/Q223,"")</f>
        <v/>
      </c>
      <c r="T223" s="43"/>
      <c r="U223" s="43"/>
      <c r="V223" s="42" t="str">
        <f aca="false">IF(AND(ISNUMBER(T223),T223&gt;0),N(U223)/T223,"")</f>
        <v/>
      </c>
      <c r="W223" s="41"/>
      <c r="X223" s="43"/>
      <c r="Y223" s="41"/>
      <c r="Z223" s="41"/>
      <c r="AA223" s="44"/>
      <c r="AB223" s="44"/>
      <c r="AC223" s="45"/>
      <c r="AD223" s="46"/>
      <c r="AE223" s="46"/>
    </row>
    <row r="224" customFormat="false" ht="15" hidden="false" customHeight="false" outlineLevel="0" collapsed="false">
      <c r="A224" s="40"/>
      <c r="B224" s="41"/>
      <c r="C224" s="41"/>
      <c r="D224" s="42" t="str">
        <f aca="false">IF(N(B224)&gt;0,1-N(C224)/(B224*Config!$B$15),"")</f>
        <v/>
      </c>
      <c r="E224" s="43"/>
      <c r="F224" s="43"/>
      <c r="G224" s="43"/>
      <c r="H224" s="42" t="str">
        <f aca="false">IF(AND(ISNUMBER(E224),E224&gt;0),N(G224)/E224,"")</f>
        <v/>
      </c>
      <c r="I224" s="43"/>
      <c r="J224" s="43"/>
      <c r="K224" s="43"/>
      <c r="L224" s="42" t="str">
        <f aca="false">IF(AND(ISNUMBER(I224),I224&gt;0),N(K224)/I224,"")</f>
        <v/>
      </c>
      <c r="M224" s="43"/>
      <c r="N224" s="43"/>
      <c r="O224" s="43"/>
      <c r="P224" s="42" t="str">
        <f aca="false">IF(AND(ISNUMBER(M224),M224&gt;0),N(O224)/M224,"")</f>
        <v/>
      </c>
      <c r="Q224" s="43"/>
      <c r="R224" s="43"/>
      <c r="S224" s="42" t="str">
        <f aca="false">IF(AND(ISNUMBER(Q224),Q224&gt;0),N(R224)/Q224,"")</f>
        <v/>
      </c>
      <c r="T224" s="43"/>
      <c r="U224" s="43"/>
      <c r="V224" s="42" t="str">
        <f aca="false">IF(AND(ISNUMBER(T224),T224&gt;0),N(U224)/T224,"")</f>
        <v/>
      </c>
      <c r="W224" s="41"/>
      <c r="X224" s="43"/>
      <c r="Y224" s="41"/>
      <c r="Z224" s="41"/>
      <c r="AA224" s="44"/>
      <c r="AB224" s="44"/>
      <c r="AC224" s="45"/>
      <c r="AD224" s="46"/>
      <c r="AE224" s="46"/>
    </row>
    <row r="225" customFormat="false" ht="15" hidden="false" customHeight="false" outlineLevel="0" collapsed="false">
      <c r="A225" s="40"/>
      <c r="B225" s="41"/>
      <c r="C225" s="41"/>
      <c r="D225" s="42" t="str">
        <f aca="false">IF(N(B225)&gt;0,1-N(C225)/(B225*Config!$B$15),"")</f>
        <v/>
      </c>
      <c r="E225" s="43"/>
      <c r="F225" s="43"/>
      <c r="G225" s="43"/>
      <c r="H225" s="42" t="str">
        <f aca="false">IF(AND(ISNUMBER(E225),E225&gt;0),N(G225)/E225,"")</f>
        <v/>
      </c>
      <c r="I225" s="43"/>
      <c r="J225" s="43"/>
      <c r="K225" s="43"/>
      <c r="L225" s="42" t="str">
        <f aca="false">IF(AND(ISNUMBER(I225),I225&gt;0),N(K225)/I225,"")</f>
        <v/>
      </c>
      <c r="M225" s="43"/>
      <c r="N225" s="43"/>
      <c r="O225" s="43"/>
      <c r="P225" s="42" t="str">
        <f aca="false">IF(AND(ISNUMBER(M225),M225&gt;0),N(O225)/M225,"")</f>
        <v/>
      </c>
      <c r="Q225" s="43"/>
      <c r="R225" s="43"/>
      <c r="S225" s="42" t="str">
        <f aca="false">IF(AND(ISNUMBER(Q225),Q225&gt;0),N(R225)/Q225,"")</f>
        <v/>
      </c>
      <c r="T225" s="43"/>
      <c r="U225" s="43"/>
      <c r="V225" s="42" t="str">
        <f aca="false">IF(AND(ISNUMBER(T225),T225&gt;0),N(U225)/T225,"")</f>
        <v/>
      </c>
      <c r="W225" s="41"/>
      <c r="X225" s="43"/>
      <c r="Y225" s="41"/>
      <c r="Z225" s="41"/>
      <c r="AA225" s="44"/>
      <c r="AB225" s="44"/>
      <c r="AC225" s="45"/>
      <c r="AD225" s="46"/>
      <c r="AE225" s="46"/>
    </row>
    <row r="226" customFormat="false" ht="15" hidden="false" customHeight="false" outlineLevel="0" collapsed="false">
      <c r="A226" s="40"/>
      <c r="B226" s="41"/>
      <c r="C226" s="41"/>
      <c r="D226" s="42" t="str">
        <f aca="false">IF(N(B226)&gt;0,1-N(C226)/(B226*Config!$B$15),"")</f>
        <v/>
      </c>
      <c r="E226" s="43"/>
      <c r="F226" s="43"/>
      <c r="G226" s="43"/>
      <c r="H226" s="42" t="str">
        <f aca="false">IF(AND(ISNUMBER(E226),E226&gt;0),N(G226)/E226,"")</f>
        <v/>
      </c>
      <c r="I226" s="43"/>
      <c r="J226" s="43"/>
      <c r="K226" s="43"/>
      <c r="L226" s="42" t="str">
        <f aca="false">IF(AND(ISNUMBER(I226),I226&gt;0),N(K226)/I226,"")</f>
        <v/>
      </c>
      <c r="M226" s="43"/>
      <c r="N226" s="43"/>
      <c r="O226" s="43"/>
      <c r="P226" s="42" t="str">
        <f aca="false">IF(AND(ISNUMBER(M226),M226&gt;0),N(O226)/M226,"")</f>
        <v/>
      </c>
      <c r="Q226" s="43"/>
      <c r="R226" s="43"/>
      <c r="S226" s="42" t="str">
        <f aca="false">IF(AND(ISNUMBER(Q226),Q226&gt;0),N(R226)/Q226,"")</f>
        <v/>
      </c>
      <c r="T226" s="43"/>
      <c r="U226" s="43"/>
      <c r="V226" s="42" t="str">
        <f aca="false">IF(AND(ISNUMBER(T226),T226&gt;0),N(U226)/T226,"")</f>
        <v/>
      </c>
      <c r="W226" s="41"/>
      <c r="X226" s="43"/>
      <c r="Y226" s="41"/>
      <c r="Z226" s="41"/>
      <c r="AA226" s="44"/>
      <c r="AB226" s="44"/>
      <c r="AC226" s="45"/>
      <c r="AD226" s="46"/>
      <c r="AE226" s="46"/>
    </row>
    <row r="227" customFormat="false" ht="15" hidden="false" customHeight="false" outlineLevel="0" collapsed="false">
      <c r="A227" s="40"/>
      <c r="B227" s="41"/>
      <c r="C227" s="41"/>
      <c r="D227" s="42" t="str">
        <f aca="false">IF(N(B227)&gt;0,1-N(C227)/(B227*Config!$B$15),"")</f>
        <v/>
      </c>
      <c r="E227" s="43"/>
      <c r="F227" s="43"/>
      <c r="G227" s="43"/>
      <c r="H227" s="42" t="str">
        <f aca="false">IF(AND(ISNUMBER(E227),E227&gt;0),N(G227)/E227,"")</f>
        <v/>
      </c>
      <c r="I227" s="43"/>
      <c r="J227" s="43"/>
      <c r="K227" s="43"/>
      <c r="L227" s="42" t="str">
        <f aca="false">IF(AND(ISNUMBER(I227),I227&gt;0),N(K227)/I227,"")</f>
        <v/>
      </c>
      <c r="M227" s="43"/>
      <c r="N227" s="43"/>
      <c r="O227" s="43"/>
      <c r="P227" s="42" t="str">
        <f aca="false">IF(AND(ISNUMBER(M227),M227&gt;0),N(O227)/M227,"")</f>
        <v/>
      </c>
      <c r="Q227" s="43"/>
      <c r="R227" s="43"/>
      <c r="S227" s="42" t="str">
        <f aca="false">IF(AND(ISNUMBER(Q227),Q227&gt;0),N(R227)/Q227,"")</f>
        <v/>
      </c>
      <c r="T227" s="43"/>
      <c r="U227" s="43"/>
      <c r="V227" s="42" t="str">
        <f aca="false">IF(AND(ISNUMBER(T227),T227&gt;0),N(U227)/T227,"")</f>
        <v/>
      </c>
      <c r="W227" s="41"/>
      <c r="X227" s="43"/>
      <c r="Y227" s="41"/>
      <c r="Z227" s="41"/>
      <c r="AA227" s="44"/>
      <c r="AB227" s="44"/>
      <c r="AC227" s="45"/>
      <c r="AD227" s="46"/>
      <c r="AE227" s="46"/>
    </row>
    <row r="228" customFormat="false" ht="15" hidden="false" customHeight="false" outlineLevel="0" collapsed="false">
      <c r="A228" s="40"/>
      <c r="B228" s="41"/>
      <c r="C228" s="41"/>
      <c r="D228" s="42" t="str">
        <f aca="false">IF(N(B228)&gt;0,1-N(C228)/(B228*Config!$B$15),"")</f>
        <v/>
      </c>
      <c r="E228" s="43"/>
      <c r="F228" s="43"/>
      <c r="G228" s="43"/>
      <c r="H228" s="42" t="str">
        <f aca="false">IF(AND(ISNUMBER(E228),E228&gt;0),N(G228)/E228,"")</f>
        <v/>
      </c>
      <c r="I228" s="43"/>
      <c r="J228" s="43"/>
      <c r="K228" s="43"/>
      <c r="L228" s="42" t="str">
        <f aca="false">IF(AND(ISNUMBER(I228),I228&gt;0),N(K228)/I228,"")</f>
        <v/>
      </c>
      <c r="M228" s="43"/>
      <c r="N228" s="43"/>
      <c r="O228" s="43"/>
      <c r="P228" s="42" t="str">
        <f aca="false">IF(AND(ISNUMBER(M228),M228&gt;0),N(O228)/M228,"")</f>
        <v/>
      </c>
      <c r="Q228" s="43"/>
      <c r="R228" s="43"/>
      <c r="S228" s="42" t="str">
        <f aca="false">IF(AND(ISNUMBER(Q228),Q228&gt;0),N(R228)/Q228,"")</f>
        <v/>
      </c>
      <c r="T228" s="43"/>
      <c r="U228" s="43"/>
      <c r="V228" s="42" t="str">
        <f aca="false">IF(AND(ISNUMBER(T228),T228&gt;0),N(U228)/T228,"")</f>
        <v/>
      </c>
      <c r="W228" s="41"/>
      <c r="X228" s="43"/>
      <c r="Y228" s="41"/>
      <c r="Z228" s="41"/>
      <c r="AA228" s="44"/>
      <c r="AB228" s="44"/>
      <c r="AC228" s="45"/>
      <c r="AD228" s="46"/>
      <c r="AE228" s="46"/>
    </row>
    <row r="229" customFormat="false" ht="15" hidden="false" customHeight="false" outlineLevel="0" collapsed="false">
      <c r="A229" s="40"/>
      <c r="B229" s="41"/>
      <c r="C229" s="41"/>
      <c r="D229" s="42" t="str">
        <f aca="false">IF(N(B229)&gt;0,1-N(C229)/(B229*Config!$B$15),"")</f>
        <v/>
      </c>
      <c r="E229" s="43"/>
      <c r="F229" s="43"/>
      <c r="G229" s="43"/>
      <c r="H229" s="42" t="str">
        <f aca="false">IF(AND(ISNUMBER(E229),E229&gt;0),N(G229)/E229,"")</f>
        <v/>
      </c>
      <c r="I229" s="43"/>
      <c r="J229" s="43"/>
      <c r="K229" s="43"/>
      <c r="L229" s="42" t="str">
        <f aca="false">IF(AND(ISNUMBER(I229),I229&gt;0),N(K229)/I229,"")</f>
        <v/>
      </c>
      <c r="M229" s="43"/>
      <c r="N229" s="43"/>
      <c r="O229" s="43"/>
      <c r="P229" s="42" t="str">
        <f aca="false">IF(AND(ISNUMBER(M229),M229&gt;0),N(O229)/M229,"")</f>
        <v/>
      </c>
      <c r="Q229" s="43"/>
      <c r="R229" s="43"/>
      <c r="S229" s="42" t="str">
        <f aca="false">IF(AND(ISNUMBER(Q229),Q229&gt;0),N(R229)/Q229,"")</f>
        <v/>
      </c>
      <c r="T229" s="43"/>
      <c r="U229" s="43"/>
      <c r="V229" s="42" t="str">
        <f aca="false">IF(AND(ISNUMBER(T229),T229&gt;0),N(U229)/T229,"")</f>
        <v/>
      </c>
      <c r="W229" s="41"/>
      <c r="X229" s="43"/>
      <c r="Y229" s="41"/>
      <c r="Z229" s="41"/>
      <c r="AA229" s="44"/>
      <c r="AB229" s="44"/>
      <c r="AC229" s="45"/>
      <c r="AD229" s="46"/>
      <c r="AE229" s="46"/>
    </row>
    <row r="230" customFormat="false" ht="15" hidden="false" customHeight="false" outlineLevel="0" collapsed="false">
      <c r="A230" s="40"/>
      <c r="B230" s="41"/>
      <c r="C230" s="41"/>
      <c r="D230" s="42" t="str">
        <f aca="false">IF(N(B230)&gt;0,1-N(C230)/(B230*Config!$B$15),"")</f>
        <v/>
      </c>
      <c r="E230" s="43"/>
      <c r="F230" s="43"/>
      <c r="G230" s="43"/>
      <c r="H230" s="42" t="str">
        <f aca="false">IF(AND(ISNUMBER(E230),E230&gt;0),N(G230)/E230,"")</f>
        <v/>
      </c>
      <c r="I230" s="43"/>
      <c r="J230" s="43"/>
      <c r="K230" s="43"/>
      <c r="L230" s="42" t="str">
        <f aca="false">IF(AND(ISNUMBER(I230),I230&gt;0),N(K230)/I230,"")</f>
        <v/>
      </c>
      <c r="M230" s="43"/>
      <c r="N230" s="43"/>
      <c r="O230" s="43"/>
      <c r="P230" s="42" t="str">
        <f aca="false">IF(AND(ISNUMBER(M230),M230&gt;0),N(O230)/M230,"")</f>
        <v/>
      </c>
      <c r="Q230" s="43"/>
      <c r="R230" s="43"/>
      <c r="S230" s="42" t="str">
        <f aca="false">IF(AND(ISNUMBER(Q230),Q230&gt;0),N(R230)/Q230,"")</f>
        <v/>
      </c>
      <c r="T230" s="43"/>
      <c r="U230" s="43"/>
      <c r="V230" s="42" t="str">
        <f aca="false">IF(AND(ISNUMBER(T230),T230&gt;0),N(U230)/T230,"")</f>
        <v/>
      </c>
      <c r="W230" s="41"/>
      <c r="X230" s="43"/>
      <c r="Y230" s="41"/>
      <c r="Z230" s="41"/>
      <c r="AA230" s="44"/>
      <c r="AB230" s="44"/>
      <c r="AC230" s="45"/>
      <c r="AD230" s="46"/>
      <c r="AE230" s="46"/>
    </row>
    <row r="231" customFormat="false" ht="15" hidden="false" customHeight="false" outlineLevel="0" collapsed="false">
      <c r="A231" s="40"/>
      <c r="B231" s="41"/>
      <c r="C231" s="41"/>
      <c r="D231" s="42" t="str">
        <f aca="false">IF(N(B231)&gt;0,1-N(C231)/(B231*Config!$B$15),"")</f>
        <v/>
      </c>
      <c r="E231" s="43"/>
      <c r="F231" s="43"/>
      <c r="G231" s="43"/>
      <c r="H231" s="42" t="str">
        <f aca="false">IF(AND(ISNUMBER(E231),E231&gt;0),N(G231)/E231,"")</f>
        <v/>
      </c>
      <c r="I231" s="43"/>
      <c r="J231" s="43"/>
      <c r="K231" s="43"/>
      <c r="L231" s="42" t="str">
        <f aca="false">IF(AND(ISNUMBER(I231),I231&gt;0),N(K231)/I231,"")</f>
        <v/>
      </c>
      <c r="M231" s="43"/>
      <c r="N231" s="43"/>
      <c r="O231" s="43"/>
      <c r="P231" s="42" t="str">
        <f aca="false">IF(AND(ISNUMBER(M231),M231&gt;0),N(O231)/M231,"")</f>
        <v/>
      </c>
      <c r="Q231" s="43"/>
      <c r="R231" s="43"/>
      <c r="S231" s="42" t="str">
        <f aca="false">IF(AND(ISNUMBER(Q231),Q231&gt;0),N(R231)/Q231,"")</f>
        <v/>
      </c>
      <c r="T231" s="43"/>
      <c r="U231" s="43"/>
      <c r="V231" s="42" t="str">
        <f aca="false">IF(AND(ISNUMBER(T231),T231&gt;0),N(U231)/T231,"")</f>
        <v/>
      </c>
      <c r="W231" s="41"/>
      <c r="X231" s="43"/>
      <c r="Y231" s="41"/>
      <c r="Z231" s="41"/>
      <c r="AA231" s="44"/>
      <c r="AB231" s="44"/>
      <c r="AC231" s="45"/>
      <c r="AD231" s="46"/>
      <c r="AE231" s="46"/>
    </row>
    <row r="232" customFormat="false" ht="15" hidden="false" customHeight="false" outlineLevel="0" collapsed="false">
      <c r="A232" s="40"/>
      <c r="B232" s="41"/>
      <c r="C232" s="41"/>
      <c r="D232" s="42" t="str">
        <f aca="false">IF(N(B232)&gt;0,1-N(C232)/(B232*Config!$B$15),"")</f>
        <v/>
      </c>
      <c r="E232" s="43"/>
      <c r="F232" s="43"/>
      <c r="G232" s="43"/>
      <c r="H232" s="42" t="str">
        <f aca="false">IF(AND(ISNUMBER(E232),E232&gt;0),N(G232)/E232,"")</f>
        <v/>
      </c>
      <c r="I232" s="43"/>
      <c r="J232" s="43"/>
      <c r="K232" s="43"/>
      <c r="L232" s="42" t="str">
        <f aca="false">IF(AND(ISNUMBER(I232),I232&gt;0),N(K232)/I232,"")</f>
        <v/>
      </c>
      <c r="M232" s="43"/>
      <c r="N232" s="43"/>
      <c r="O232" s="43"/>
      <c r="P232" s="42" t="str">
        <f aca="false">IF(AND(ISNUMBER(M232),M232&gt;0),N(O232)/M232,"")</f>
        <v/>
      </c>
      <c r="Q232" s="43"/>
      <c r="R232" s="43"/>
      <c r="S232" s="42" t="str">
        <f aca="false">IF(AND(ISNUMBER(Q232),Q232&gt;0),N(R232)/Q232,"")</f>
        <v/>
      </c>
      <c r="T232" s="43"/>
      <c r="U232" s="43"/>
      <c r="V232" s="42" t="str">
        <f aca="false">IF(AND(ISNUMBER(T232),T232&gt;0),N(U232)/T232,"")</f>
        <v/>
      </c>
      <c r="W232" s="41"/>
      <c r="X232" s="43"/>
      <c r="Y232" s="41"/>
      <c r="Z232" s="41"/>
      <c r="AA232" s="44"/>
      <c r="AB232" s="44"/>
      <c r="AC232" s="45"/>
      <c r="AD232" s="46"/>
      <c r="AE232" s="46"/>
    </row>
    <row r="233" customFormat="false" ht="15" hidden="false" customHeight="false" outlineLevel="0" collapsed="false">
      <c r="A233" s="40"/>
      <c r="B233" s="41"/>
      <c r="C233" s="41"/>
      <c r="D233" s="42" t="str">
        <f aca="false">IF(N(B233)&gt;0,1-N(C233)/(B233*Config!$B$15),"")</f>
        <v/>
      </c>
      <c r="E233" s="43"/>
      <c r="F233" s="43"/>
      <c r="G233" s="43"/>
      <c r="H233" s="42" t="str">
        <f aca="false">IF(AND(ISNUMBER(E233),E233&gt;0),N(G233)/E233,"")</f>
        <v/>
      </c>
      <c r="I233" s="43"/>
      <c r="J233" s="43"/>
      <c r="K233" s="43"/>
      <c r="L233" s="42" t="str">
        <f aca="false">IF(AND(ISNUMBER(I233),I233&gt;0),N(K233)/I233,"")</f>
        <v/>
      </c>
      <c r="M233" s="43"/>
      <c r="N233" s="43"/>
      <c r="O233" s="43"/>
      <c r="P233" s="42" t="str">
        <f aca="false">IF(AND(ISNUMBER(M233),M233&gt;0),N(O233)/M233,"")</f>
        <v/>
      </c>
      <c r="Q233" s="43"/>
      <c r="R233" s="43"/>
      <c r="S233" s="42" t="str">
        <f aca="false">IF(AND(ISNUMBER(Q233),Q233&gt;0),N(R233)/Q233,"")</f>
        <v/>
      </c>
      <c r="T233" s="43"/>
      <c r="U233" s="43"/>
      <c r="V233" s="42" t="str">
        <f aca="false">IF(AND(ISNUMBER(T233),T233&gt;0),N(U233)/T233,"")</f>
        <v/>
      </c>
      <c r="W233" s="41"/>
      <c r="X233" s="43"/>
      <c r="Y233" s="41"/>
      <c r="Z233" s="41"/>
      <c r="AA233" s="44"/>
      <c r="AB233" s="44"/>
      <c r="AC233" s="45"/>
      <c r="AD233" s="46"/>
      <c r="AE233" s="46"/>
    </row>
    <row r="234" customFormat="false" ht="15" hidden="false" customHeight="false" outlineLevel="0" collapsed="false">
      <c r="A234" s="40"/>
      <c r="B234" s="41"/>
      <c r="C234" s="41"/>
      <c r="D234" s="42" t="str">
        <f aca="false">IF(N(B234)&gt;0,1-N(C234)/(B234*Config!$B$15),"")</f>
        <v/>
      </c>
      <c r="E234" s="43"/>
      <c r="F234" s="43"/>
      <c r="G234" s="43"/>
      <c r="H234" s="42" t="str">
        <f aca="false">IF(AND(ISNUMBER(E234),E234&gt;0),N(G234)/E234,"")</f>
        <v/>
      </c>
      <c r="I234" s="43"/>
      <c r="J234" s="43"/>
      <c r="K234" s="43"/>
      <c r="L234" s="42" t="str">
        <f aca="false">IF(AND(ISNUMBER(I234),I234&gt;0),N(K234)/I234,"")</f>
        <v/>
      </c>
      <c r="M234" s="43"/>
      <c r="N234" s="43"/>
      <c r="O234" s="43"/>
      <c r="P234" s="42" t="str">
        <f aca="false">IF(AND(ISNUMBER(M234),M234&gt;0),N(O234)/M234,"")</f>
        <v/>
      </c>
      <c r="Q234" s="43"/>
      <c r="R234" s="43"/>
      <c r="S234" s="42" t="str">
        <f aca="false">IF(AND(ISNUMBER(Q234),Q234&gt;0),N(R234)/Q234,"")</f>
        <v/>
      </c>
      <c r="T234" s="43"/>
      <c r="U234" s="43"/>
      <c r="V234" s="42" t="str">
        <f aca="false">IF(AND(ISNUMBER(T234),T234&gt;0),N(U234)/T234,"")</f>
        <v/>
      </c>
      <c r="W234" s="41"/>
      <c r="X234" s="43"/>
      <c r="Y234" s="41"/>
      <c r="Z234" s="41"/>
      <c r="AA234" s="44"/>
      <c r="AB234" s="44"/>
      <c r="AC234" s="45"/>
      <c r="AD234" s="46"/>
      <c r="AE234" s="46"/>
    </row>
    <row r="235" customFormat="false" ht="15" hidden="false" customHeight="false" outlineLevel="0" collapsed="false">
      <c r="A235" s="40"/>
      <c r="B235" s="41"/>
      <c r="C235" s="41"/>
      <c r="D235" s="42" t="str">
        <f aca="false">IF(N(B235)&gt;0,1-N(C235)/(B235*Config!$B$15),"")</f>
        <v/>
      </c>
      <c r="E235" s="43"/>
      <c r="F235" s="43"/>
      <c r="G235" s="43"/>
      <c r="H235" s="42" t="str">
        <f aca="false">IF(AND(ISNUMBER(E235),E235&gt;0),N(G235)/E235,"")</f>
        <v/>
      </c>
      <c r="I235" s="43"/>
      <c r="J235" s="43"/>
      <c r="K235" s="43"/>
      <c r="L235" s="42" t="str">
        <f aca="false">IF(AND(ISNUMBER(I235),I235&gt;0),N(K235)/I235,"")</f>
        <v/>
      </c>
      <c r="M235" s="43"/>
      <c r="N235" s="43"/>
      <c r="O235" s="43"/>
      <c r="P235" s="42" t="str">
        <f aca="false">IF(AND(ISNUMBER(M235),M235&gt;0),N(O235)/M235,"")</f>
        <v/>
      </c>
      <c r="Q235" s="43"/>
      <c r="R235" s="43"/>
      <c r="S235" s="42" t="str">
        <f aca="false">IF(AND(ISNUMBER(Q235),Q235&gt;0),N(R235)/Q235,"")</f>
        <v/>
      </c>
      <c r="T235" s="43"/>
      <c r="U235" s="43"/>
      <c r="V235" s="42" t="str">
        <f aca="false">IF(AND(ISNUMBER(T235),T235&gt;0),N(U235)/T235,"")</f>
        <v/>
      </c>
      <c r="W235" s="41"/>
      <c r="X235" s="43"/>
      <c r="Y235" s="41"/>
      <c r="Z235" s="41"/>
      <c r="AA235" s="44"/>
      <c r="AB235" s="44"/>
      <c r="AC235" s="45"/>
      <c r="AD235" s="46"/>
      <c r="AE235" s="46"/>
    </row>
    <row r="236" customFormat="false" ht="15" hidden="false" customHeight="false" outlineLevel="0" collapsed="false">
      <c r="A236" s="40"/>
      <c r="B236" s="41"/>
      <c r="C236" s="41"/>
      <c r="D236" s="42" t="str">
        <f aca="false">IF(N(B236)&gt;0,1-N(C236)/(B236*Config!$B$15),"")</f>
        <v/>
      </c>
      <c r="E236" s="43"/>
      <c r="F236" s="43"/>
      <c r="G236" s="43"/>
      <c r="H236" s="42" t="str">
        <f aca="false">IF(AND(ISNUMBER(E236),E236&gt;0),N(G236)/E236,"")</f>
        <v/>
      </c>
      <c r="I236" s="43"/>
      <c r="J236" s="43"/>
      <c r="K236" s="43"/>
      <c r="L236" s="42" t="str">
        <f aca="false">IF(AND(ISNUMBER(I236),I236&gt;0),N(K236)/I236,"")</f>
        <v/>
      </c>
      <c r="M236" s="43"/>
      <c r="N236" s="43"/>
      <c r="O236" s="43"/>
      <c r="P236" s="42" t="str">
        <f aca="false">IF(AND(ISNUMBER(M236),M236&gt;0),N(O236)/M236,"")</f>
        <v/>
      </c>
      <c r="Q236" s="43"/>
      <c r="R236" s="43"/>
      <c r="S236" s="42" t="str">
        <f aca="false">IF(AND(ISNUMBER(Q236),Q236&gt;0),N(R236)/Q236,"")</f>
        <v/>
      </c>
      <c r="T236" s="43"/>
      <c r="U236" s="43"/>
      <c r="V236" s="42" t="str">
        <f aca="false">IF(AND(ISNUMBER(T236),T236&gt;0),N(U236)/T236,"")</f>
        <v/>
      </c>
      <c r="W236" s="41"/>
      <c r="X236" s="43"/>
      <c r="Y236" s="41"/>
      <c r="Z236" s="41"/>
      <c r="AA236" s="44"/>
      <c r="AB236" s="44"/>
      <c r="AC236" s="45"/>
      <c r="AD236" s="46"/>
      <c r="AE236" s="46"/>
    </row>
    <row r="237" customFormat="false" ht="15" hidden="false" customHeight="false" outlineLevel="0" collapsed="false">
      <c r="A237" s="40"/>
      <c r="B237" s="41"/>
      <c r="C237" s="41"/>
      <c r="D237" s="42" t="str">
        <f aca="false">IF(N(B237)&gt;0,1-N(C237)/(B237*Config!$B$15),"")</f>
        <v/>
      </c>
      <c r="E237" s="43"/>
      <c r="F237" s="43"/>
      <c r="G237" s="43"/>
      <c r="H237" s="42" t="str">
        <f aca="false">IF(AND(ISNUMBER(E237),E237&gt;0),N(G237)/E237,"")</f>
        <v/>
      </c>
      <c r="I237" s="43"/>
      <c r="J237" s="43"/>
      <c r="K237" s="43"/>
      <c r="L237" s="42" t="str">
        <f aca="false">IF(AND(ISNUMBER(I237),I237&gt;0),N(K237)/I237,"")</f>
        <v/>
      </c>
      <c r="M237" s="43"/>
      <c r="N237" s="43"/>
      <c r="O237" s="43"/>
      <c r="P237" s="42" t="str">
        <f aca="false">IF(AND(ISNUMBER(M237),M237&gt;0),N(O237)/M237,"")</f>
        <v/>
      </c>
      <c r="Q237" s="43"/>
      <c r="R237" s="43"/>
      <c r="S237" s="42" t="str">
        <f aca="false">IF(AND(ISNUMBER(Q237),Q237&gt;0),N(R237)/Q237,"")</f>
        <v/>
      </c>
      <c r="T237" s="43"/>
      <c r="U237" s="43"/>
      <c r="V237" s="42" t="str">
        <f aca="false">IF(AND(ISNUMBER(T237),T237&gt;0),N(U237)/T237,"")</f>
        <v/>
      </c>
      <c r="W237" s="41"/>
      <c r="X237" s="43"/>
      <c r="Y237" s="41"/>
      <c r="Z237" s="41"/>
      <c r="AA237" s="44"/>
      <c r="AB237" s="44"/>
      <c r="AC237" s="45"/>
      <c r="AD237" s="46"/>
      <c r="AE237" s="46"/>
    </row>
    <row r="238" customFormat="false" ht="15" hidden="false" customHeight="false" outlineLevel="0" collapsed="false">
      <c r="A238" s="40"/>
      <c r="B238" s="41"/>
      <c r="C238" s="41"/>
      <c r="D238" s="42" t="str">
        <f aca="false">IF(N(B238)&gt;0,1-N(C238)/(B238*Config!$B$15),"")</f>
        <v/>
      </c>
      <c r="E238" s="43"/>
      <c r="F238" s="43"/>
      <c r="G238" s="43"/>
      <c r="H238" s="42" t="str">
        <f aca="false">IF(AND(ISNUMBER(E238),E238&gt;0),N(G238)/E238,"")</f>
        <v/>
      </c>
      <c r="I238" s="43"/>
      <c r="J238" s="43"/>
      <c r="K238" s="43"/>
      <c r="L238" s="42" t="str">
        <f aca="false">IF(AND(ISNUMBER(I238),I238&gt;0),N(K238)/I238,"")</f>
        <v/>
      </c>
      <c r="M238" s="43"/>
      <c r="N238" s="43"/>
      <c r="O238" s="43"/>
      <c r="P238" s="42" t="str">
        <f aca="false">IF(AND(ISNUMBER(M238),M238&gt;0),N(O238)/M238,"")</f>
        <v/>
      </c>
      <c r="Q238" s="43"/>
      <c r="R238" s="43"/>
      <c r="S238" s="42" t="str">
        <f aca="false">IF(AND(ISNUMBER(Q238),Q238&gt;0),N(R238)/Q238,"")</f>
        <v/>
      </c>
      <c r="T238" s="43"/>
      <c r="U238" s="43"/>
      <c r="V238" s="42" t="str">
        <f aca="false">IF(AND(ISNUMBER(T238),T238&gt;0),N(U238)/T238,"")</f>
        <v/>
      </c>
      <c r="W238" s="41"/>
      <c r="X238" s="43"/>
      <c r="Y238" s="41"/>
      <c r="Z238" s="41"/>
      <c r="AA238" s="44"/>
      <c r="AB238" s="44"/>
      <c r="AC238" s="45"/>
      <c r="AD238" s="46"/>
      <c r="AE238" s="46"/>
    </row>
    <row r="239" customFormat="false" ht="15" hidden="false" customHeight="false" outlineLevel="0" collapsed="false">
      <c r="A239" s="40"/>
      <c r="B239" s="41"/>
      <c r="C239" s="41"/>
      <c r="D239" s="42" t="str">
        <f aca="false">IF(N(B239)&gt;0,1-N(C239)/(B239*Config!$B$15),"")</f>
        <v/>
      </c>
      <c r="E239" s="43"/>
      <c r="F239" s="43"/>
      <c r="G239" s="43"/>
      <c r="H239" s="42" t="str">
        <f aca="false">IF(AND(ISNUMBER(E239),E239&gt;0),N(G239)/E239,"")</f>
        <v/>
      </c>
      <c r="I239" s="43"/>
      <c r="J239" s="43"/>
      <c r="K239" s="43"/>
      <c r="L239" s="42" t="str">
        <f aca="false">IF(AND(ISNUMBER(I239),I239&gt;0),N(K239)/I239,"")</f>
        <v/>
      </c>
      <c r="M239" s="43"/>
      <c r="N239" s="43"/>
      <c r="O239" s="43"/>
      <c r="P239" s="42" t="str">
        <f aca="false">IF(AND(ISNUMBER(M239),M239&gt;0),N(O239)/M239,"")</f>
        <v/>
      </c>
      <c r="Q239" s="43"/>
      <c r="R239" s="43"/>
      <c r="S239" s="42" t="str">
        <f aca="false">IF(AND(ISNUMBER(Q239),Q239&gt;0),N(R239)/Q239,"")</f>
        <v/>
      </c>
      <c r="T239" s="43"/>
      <c r="U239" s="43"/>
      <c r="V239" s="42" t="str">
        <f aca="false">IF(AND(ISNUMBER(T239),T239&gt;0),N(U239)/T239,"")</f>
        <v/>
      </c>
      <c r="W239" s="41"/>
      <c r="X239" s="43"/>
      <c r="Y239" s="41"/>
      <c r="Z239" s="41"/>
      <c r="AA239" s="44"/>
      <c r="AB239" s="44"/>
      <c r="AC239" s="45"/>
      <c r="AD239" s="46"/>
      <c r="AE239" s="46"/>
    </row>
    <row r="240" customFormat="false" ht="15" hidden="false" customHeight="false" outlineLevel="0" collapsed="false">
      <c r="A240" s="40"/>
      <c r="B240" s="41"/>
      <c r="C240" s="41"/>
      <c r="D240" s="42" t="str">
        <f aca="false">IF(N(B240)&gt;0,1-N(C240)/(B240*Config!$B$15),"")</f>
        <v/>
      </c>
      <c r="E240" s="43"/>
      <c r="F240" s="43"/>
      <c r="G240" s="43"/>
      <c r="H240" s="42" t="str">
        <f aca="false">IF(AND(ISNUMBER(E240),E240&gt;0),N(G240)/E240,"")</f>
        <v/>
      </c>
      <c r="I240" s="43"/>
      <c r="J240" s="43"/>
      <c r="K240" s="43"/>
      <c r="L240" s="42" t="str">
        <f aca="false">IF(AND(ISNUMBER(I240),I240&gt;0),N(K240)/I240,"")</f>
        <v/>
      </c>
      <c r="M240" s="43"/>
      <c r="N240" s="43"/>
      <c r="O240" s="43"/>
      <c r="P240" s="42" t="str">
        <f aca="false">IF(AND(ISNUMBER(M240),M240&gt;0),N(O240)/M240,"")</f>
        <v/>
      </c>
      <c r="Q240" s="43"/>
      <c r="R240" s="43"/>
      <c r="S240" s="42" t="str">
        <f aca="false">IF(AND(ISNUMBER(Q240),Q240&gt;0),N(R240)/Q240,"")</f>
        <v/>
      </c>
      <c r="T240" s="43"/>
      <c r="U240" s="43"/>
      <c r="V240" s="42" t="str">
        <f aca="false">IF(AND(ISNUMBER(T240),T240&gt;0),N(U240)/T240,"")</f>
        <v/>
      </c>
      <c r="W240" s="41"/>
      <c r="X240" s="43"/>
      <c r="Y240" s="41"/>
      <c r="Z240" s="41"/>
      <c r="AA240" s="44"/>
      <c r="AB240" s="44"/>
      <c r="AC240" s="45"/>
      <c r="AD240" s="46"/>
      <c r="AE240" s="46"/>
    </row>
    <row r="241" customFormat="false" ht="15" hidden="false" customHeight="false" outlineLevel="0" collapsed="false">
      <c r="A241" s="40"/>
      <c r="B241" s="41"/>
      <c r="C241" s="41"/>
      <c r="D241" s="42" t="str">
        <f aca="false">IF(N(B241)&gt;0,1-N(C241)/(B241*Config!$B$15),"")</f>
        <v/>
      </c>
      <c r="E241" s="43"/>
      <c r="F241" s="43"/>
      <c r="G241" s="43"/>
      <c r="H241" s="42" t="str">
        <f aca="false">IF(AND(ISNUMBER(E241),E241&gt;0),N(G241)/E241,"")</f>
        <v/>
      </c>
      <c r="I241" s="43"/>
      <c r="J241" s="43"/>
      <c r="K241" s="43"/>
      <c r="L241" s="42" t="str">
        <f aca="false">IF(AND(ISNUMBER(I241),I241&gt;0),N(K241)/I241,"")</f>
        <v/>
      </c>
      <c r="M241" s="43"/>
      <c r="N241" s="43"/>
      <c r="O241" s="43"/>
      <c r="P241" s="42" t="str">
        <f aca="false">IF(AND(ISNUMBER(M241),M241&gt;0),N(O241)/M241,"")</f>
        <v/>
      </c>
      <c r="Q241" s="43"/>
      <c r="R241" s="43"/>
      <c r="S241" s="42" t="str">
        <f aca="false">IF(AND(ISNUMBER(Q241),Q241&gt;0),N(R241)/Q241,"")</f>
        <v/>
      </c>
      <c r="T241" s="43"/>
      <c r="U241" s="43"/>
      <c r="V241" s="42" t="str">
        <f aca="false">IF(AND(ISNUMBER(T241),T241&gt;0),N(U241)/T241,"")</f>
        <v/>
      </c>
      <c r="W241" s="41"/>
      <c r="X241" s="43"/>
      <c r="Y241" s="41"/>
      <c r="Z241" s="41"/>
      <c r="AA241" s="44"/>
      <c r="AB241" s="44"/>
      <c r="AC241" s="45"/>
      <c r="AD241" s="46"/>
      <c r="AE241" s="46"/>
    </row>
    <row r="242" customFormat="false" ht="15" hidden="false" customHeight="false" outlineLevel="0" collapsed="false">
      <c r="A242" s="40"/>
      <c r="B242" s="41"/>
      <c r="C242" s="41"/>
      <c r="D242" s="42" t="str">
        <f aca="false">IF(N(B242)&gt;0,1-N(C242)/(B242*Config!$B$15),"")</f>
        <v/>
      </c>
      <c r="E242" s="43"/>
      <c r="F242" s="43"/>
      <c r="G242" s="43"/>
      <c r="H242" s="42" t="str">
        <f aca="false">IF(AND(ISNUMBER(E242),E242&gt;0),N(G242)/E242,"")</f>
        <v/>
      </c>
      <c r="I242" s="43"/>
      <c r="J242" s="43"/>
      <c r="K242" s="43"/>
      <c r="L242" s="42" t="str">
        <f aca="false">IF(AND(ISNUMBER(I242),I242&gt;0),N(K242)/I242,"")</f>
        <v/>
      </c>
      <c r="M242" s="43"/>
      <c r="N242" s="43"/>
      <c r="O242" s="43"/>
      <c r="P242" s="42" t="str">
        <f aca="false">IF(AND(ISNUMBER(M242),M242&gt;0),N(O242)/M242,"")</f>
        <v/>
      </c>
      <c r="Q242" s="43"/>
      <c r="R242" s="43"/>
      <c r="S242" s="42" t="str">
        <f aca="false">IF(AND(ISNUMBER(Q242),Q242&gt;0),N(R242)/Q242,"")</f>
        <v/>
      </c>
      <c r="T242" s="43"/>
      <c r="U242" s="43"/>
      <c r="V242" s="42" t="str">
        <f aca="false">IF(AND(ISNUMBER(T242),T242&gt;0),N(U242)/T242,"")</f>
        <v/>
      </c>
      <c r="W242" s="41"/>
      <c r="X242" s="43"/>
      <c r="Y242" s="41"/>
      <c r="Z242" s="41"/>
      <c r="AA242" s="44"/>
      <c r="AB242" s="44"/>
      <c r="AC242" s="45"/>
      <c r="AD242" s="46"/>
      <c r="AE242" s="46"/>
    </row>
    <row r="243" customFormat="false" ht="15" hidden="false" customHeight="false" outlineLevel="0" collapsed="false">
      <c r="A243" s="40"/>
      <c r="B243" s="41"/>
      <c r="C243" s="41"/>
      <c r="D243" s="42" t="str">
        <f aca="false">IF(N(B243)&gt;0,1-N(C243)/(B243*Config!$B$15),"")</f>
        <v/>
      </c>
      <c r="E243" s="43"/>
      <c r="F243" s="43"/>
      <c r="G243" s="43"/>
      <c r="H243" s="42" t="str">
        <f aca="false">IF(AND(ISNUMBER(E243),E243&gt;0),N(G243)/E243,"")</f>
        <v/>
      </c>
      <c r="I243" s="43"/>
      <c r="J243" s="43"/>
      <c r="K243" s="43"/>
      <c r="L243" s="42" t="str">
        <f aca="false">IF(AND(ISNUMBER(I243),I243&gt;0),N(K243)/I243,"")</f>
        <v/>
      </c>
      <c r="M243" s="43"/>
      <c r="N243" s="43"/>
      <c r="O243" s="43"/>
      <c r="P243" s="42" t="str">
        <f aca="false">IF(AND(ISNUMBER(M243),M243&gt;0),N(O243)/M243,"")</f>
        <v/>
      </c>
      <c r="Q243" s="43"/>
      <c r="R243" s="43"/>
      <c r="S243" s="42" t="str">
        <f aca="false">IF(AND(ISNUMBER(Q243),Q243&gt;0),N(R243)/Q243,"")</f>
        <v/>
      </c>
      <c r="T243" s="43"/>
      <c r="U243" s="43"/>
      <c r="V243" s="42" t="str">
        <f aca="false">IF(AND(ISNUMBER(T243),T243&gt;0),N(U243)/T243,"")</f>
        <v/>
      </c>
      <c r="W243" s="41"/>
      <c r="X243" s="43"/>
      <c r="Y243" s="41"/>
      <c r="Z243" s="41"/>
      <c r="AA243" s="44"/>
      <c r="AB243" s="44"/>
      <c r="AC243" s="45"/>
      <c r="AD243" s="46"/>
      <c r="AE243" s="46"/>
    </row>
    <row r="244" customFormat="false" ht="15" hidden="false" customHeight="false" outlineLevel="0" collapsed="false">
      <c r="A244" s="40"/>
      <c r="B244" s="41"/>
      <c r="C244" s="41"/>
      <c r="D244" s="42" t="str">
        <f aca="false">IF(N(B244)&gt;0,1-N(C244)/(B244*Config!$B$15),"")</f>
        <v/>
      </c>
      <c r="E244" s="43"/>
      <c r="F244" s="43"/>
      <c r="G244" s="43"/>
      <c r="H244" s="42" t="str">
        <f aca="false">IF(AND(ISNUMBER(E244),E244&gt;0),N(G244)/E244,"")</f>
        <v/>
      </c>
      <c r="I244" s="43"/>
      <c r="J244" s="43"/>
      <c r="K244" s="43"/>
      <c r="L244" s="42" t="str">
        <f aca="false">IF(AND(ISNUMBER(I244),I244&gt;0),N(K244)/I244,"")</f>
        <v/>
      </c>
      <c r="M244" s="43"/>
      <c r="N244" s="43"/>
      <c r="O244" s="43"/>
      <c r="P244" s="42" t="str">
        <f aca="false">IF(AND(ISNUMBER(M244),M244&gt;0),N(O244)/M244,"")</f>
        <v/>
      </c>
      <c r="Q244" s="43"/>
      <c r="R244" s="43"/>
      <c r="S244" s="42" t="str">
        <f aca="false">IF(AND(ISNUMBER(Q244),Q244&gt;0),N(R244)/Q244,"")</f>
        <v/>
      </c>
      <c r="T244" s="43"/>
      <c r="U244" s="43"/>
      <c r="V244" s="42" t="str">
        <f aca="false">IF(AND(ISNUMBER(T244),T244&gt;0),N(U244)/T244,"")</f>
        <v/>
      </c>
      <c r="W244" s="41"/>
      <c r="X244" s="43"/>
      <c r="Y244" s="41"/>
      <c r="Z244" s="41"/>
      <c r="AA244" s="44"/>
      <c r="AB244" s="44"/>
      <c r="AC244" s="45"/>
      <c r="AD244" s="46"/>
      <c r="AE244" s="46"/>
    </row>
    <row r="245" customFormat="false" ht="15" hidden="false" customHeight="false" outlineLevel="0" collapsed="false">
      <c r="A245" s="40"/>
      <c r="B245" s="41"/>
      <c r="C245" s="41"/>
      <c r="D245" s="42" t="str">
        <f aca="false">IF(N(B245)&gt;0,1-N(C245)/(B245*Config!$B$15),"")</f>
        <v/>
      </c>
      <c r="E245" s="43"/>
      <c r="F245" s="43"/>
      <c r="G245" s="43"/>
      <c r="H245" s="42" t="str">
        <f aca="false">IF(AND(ISNUMBER(E245),E245&gt;0),N(G245)/E245,"")</f>
        <v/>
      </c>
      <c r="I245" s="43"/>
      <c r="J245" s="43"/>
      <c r="K245" s="43"/>
      <c r="L245" s="42" t="str">
        <f aca="false">IF(AND(ISNUMBER(I245),I245&gt;0),N(K245)/I245,"")</f>
        <v/>
      </c>
      <c r="M245" s="43"/>
      <c r="N245" s="43"/>
      <c r="O245" s="43"/>
      <c r="P245" s="42" t="str">
        <f aca="false">IF(AND(ISNUMBER(M245),M245&gt;0),N(O245)/M245,"")</f>
        <v/>
      </c>
      <c r="Q245" s="43"/>
      <c r="R245" s="43"/>
      <c r="S245" s="42" t="str">
        <f aca="false">IF(AND(ISNUMBER(Q245),Q245&gt;0),N(R245)/Q245,"")</f>
        <v/>
      </c>
      <c r="T245" s="43"/>
      <c r="U245" s="43"/>
      <c r="V245" s="42" t="str">
        <f aca="false">IF(AND(ISNUMBER(T245),T245&gt;0),N(U245)/T245,"")</f>
        <v/>
      </c>
      <c r="W245" s="41"/>
      <c r="X245" s="43"/>
      <c r="Y245" s="41"/>
      <c r="Z245" s="41"/>
      <c r="AA245" s="44"/>
      <c r="AB245" s="44"/>
      <c r="AC245" s="45"/>
      <c r="AD245" s="46"/>
      <c r="AE245" s="46"/>
    </row>
    <row r="246" customFormat="false" ht="15" hidden="false" customHeight="false" outlineLevel="0" collapsed="false">
      <c r="A246" s="40"/>
      <c r="B246" s="41"/>
      <c r="C246" s="41"/>
      <c r="D246" s="42" t="str">
        <f aca="false">IF(N(B246)&gt;0,1-N(C246)/(B246*Config!$B$15),"")</f>
        <v/>
      </c>
      <c r="E246" s="43"/>
      <c r="F246" s="43"/>
      <c r="G246" s="43"/>
      <c r="H246" s="42" t="str">
        <f aca="false">IF(AND(ISNUMBER(E246),E246&gt;0),N(G246)/E246,"")</f>
        <v/>
      </c>
      <c r="I246" s="43"/>
      <c r="J246" s="43"/>
      <c r="K246" s="43"/>
      <c r="L246" s="42" t="str">
        <f aca="false">IF(AND(ISNUMBER(I246),I246&gt;0),N(K246)/I246,"")</f>
        <v/>
      </c>
      <c r="M246" s="43"/>
      <c r="N246" s="43"/>
      <c r="O246" s="43"/>
      <c r="P246" s="42" t="str">
        <f aca="false">IF(AND(ISNUMBER(M246),M246&gt;0),N(O246)/M246,"")</f>
        <v/>
      </c>
      <c r="Q246" s="43"/>
      <c r="R246" s="43"/>
      <c r="S246" s="42" t="str">
        <f aca="false">IF(AND(ISNUMBER(Q246),Q246&gt;0),N(R246)/Q246,"")</f>
        <v/>
      </c>
      <c r="T246" s="43"/>
      <c r="U246" s="43"/>
      <c r="V246" s="42" t="str">
        <f aca="false">IF(AND(ISNUMBER(T246),T246&gt;0),N(U246)/T246,"")</f>
        <v/>
      </c>
      <c r="W246" s="41"/>
      <c r="X246" s="43"/>
      <c r="Y246" s="41"/>
      <c r="Z246" s="41"/>
      <c r="AA246" s="44"/>
      <c r="AB246" s="44"/>
      <c r="AC246" s="45"/>
      <c r="AD246" s="46"/>
      <c r="AE246" s="46"/>
    </row>
    <row r="247" customFormat="false" ht="15" hidden="false" customHeight="false" outlineLevel="0" collapsed="false">
      <c r="A247" s="40"/>
      <c r="B247" s="41"/>
      <c r="C247" s="41"/>
      <c r="D247" s="42" t="str">
        <f aca="false">IF(N(B247)&gt;0,1-N(C247)/(B247*Config!$B$15),"")</f>
        <v/>
      </c>
      <c r="E247" s="43"/>
      <c r="F247" s="43"/>
      <c r="G247" s="43"/>
      <c r="H247" s="42" t="str">
        <f aca="false">IF(AND(ISNUMBER(E247),E247&gt;0),N(G247)/E247,"")</f>
        <v/>
      </c>
      <c r="I247" s="43"/>
      <c r="J247" s="43"/>
      <c r="K247" s="43"/>
      <c r="L247" s="42" t="str">
        <f aca="false">IF(AND(ISNUMBER(I247),I247&gt;0),N(K247)/I247,"")</f>
        <v/>
      </c>
      <c r="M247" s="43"/>
      <c r="N247" s="43"/>
      <c r="O247" s="43"/>
      <c r="P247" s="42" t="str">
        <f aca="false">IF(AND(ISNUMBER(M247),M247&gt;0),N(O247)/M247,"")</f>
        <v/>
      </c>
      <c r="Q247" s="43"/>
      <c r="R247" s="43"/>
      <c r="S247" s="42" t="str">
        <f aca="false">IF(AND(ISNUMBER(Q247),Q247&gt;0),N(R247)/Q247,"")</f>
        <v/>
      </c>
      <c r="T247" s="43"/>
      <c r="U247" s="43"/>
      <c r="V247" s="42" t="str">
        <f aca="false">IF(AND(ISNUMBER(T247),T247&gt;0),N(U247)/T247,"")</f>
        <v/>
      </c>
      <c r="W247" s="41"/>
      <c r="X247" s="43"/>
      <c r="Y247" s="41"/>
      <c r="Z247" s="41"/>
      <c r="AA247" s="44"/>
      <c r="AB247" s="44"/>
      <c r="AC247" s="45"/>
      <c r="AD247" s="46"/>
      <c r="AE247" s="46"/>
    </row>
    <row r="248" customFormat="false" ht="15" hidden="false" customHeight="false" outlineLevel="0" collapsed="false">
      <c r="A248" s="40"/>
      <c r="B248" s="41"/>
      <c r="C248" s="41"/>
      <c r="D248" s="42" t="str">
        <f aca="false">IF(N(B248)&gt;0,1-N(C248)/(B248*Config!$B$15),"")</f>
        <v/>
      </c>
      <c r="E248" s="43"/>
      <c r="F248" s="43"/>
      <c r="G248" s="43"/>
      <c r="H248" s="42" t="str">
        <f aca="false">IF(AND(ISNUMBER(E248),E248&gt;0),N(G248)/E248,"")</f>
        <v/>
      </c>
      <c r="I248" s="43"/>
      <c r="J248" s="43"/>
      <c r="K248" s="43"/>
      <c r="L248" s="42" t="str">
        <f aca="false">IF(AND(ISNUMBER(I248),I248&gt;0),N(K248)/I248,"")</f>
        <v/>
      </c>
      <c r="M248" s="43"/>
      <c r="N248" s="43"/>
      <c r="O248" s="43"/>
      <c r="P248" s="42" t="str">
        <f aca="false">IF(AND(ISNUMBER(M248),M248&gt;0),N(O248)/M248,"")</f>
        <v/>
      </c>
      <c r="Q248" s="43"/>
      <c r="R248" s="43"/>
      <c r="S248" s="42" t="str">
        <f aca="false">IF(AND(ISNUMBER(Q248),Q248&gt;0),N(R248)/Q248,"")</f>
        <v/>
      </c>
      <c r="T248" s="43"/>
      <c r="U248" s="43"/>
      <c r="V248" s="42" t="str">
        <f aca="false">IF(AND(ISNUMBER(T248),T248&gt;0),N(U248)/T248,"")</f>
        <v/>
      </c>
      <c r="W248" s="41"/>
      <c r="X248" s="43"/>
      <c r="Y248" s="41"/>
      <c r="Z248" s="41"/>
      <c r="AA248" s="44"/>
      <c r="AB248" s="44"/>
      <c r="AC248" s="45"/>
      <c r="AD248" s="46"/>
      <c r="AE248" s="46"/>
    </row>
    <row r="249" customFormat="false" ht="15" hidden="false" customHeight="false" outlineLevel="0" collapsed="false">
      <c r="A249" s="40"/>
      <c r="B249" s="41"/>
      <c r="C249" s="41"/>
      <c r="D249" s="42" t="str">
        <f aca="false">IF(N(B249)&gt;0,1-N(C249)/(B249*Config!$B$15),"")</f>
        <v/>
      </c>
      <c r="E249" s="43"/>
      <c r="F249" s="43"/>
      <c r="G249" s="43"/>
      <c r="H249" s="42" t="str">
        <f aca="false">IF(AND(ISNUMBER(E249),E249&gt;0),N(G249)/E249,"")</f>
        <v/>
      </c>
      <c r="I249" s="43"/>
      <c r="J249" s="43"/>
      <c r="K249" s="43"/>
      <c r="L249" s="42" t="str">
        <f aca="false">IF(AND(ISNUMBER(I249),I249&gt;0),N(K249)/I249,"")</f>
        <v/>
      </c>
      <c r="M249" s="43"/>
      <c r="N249" s="43"/>
      <c r="O249" s="43"/>
      <c r="P249" s="42" t="str">
        <f aca="false">IF(AND(ISNUMBER(M249),M249&gt;0),N(O249)/M249,"")</f>
        <v/>
      </c>
      <c r="Q249" s="43"/>
      <c r="R249" s="43"/>
      <c r="S249" s="42" t="str">
        <f aca="false">IF(AND(ISNUMBER(Q249),Q249&gt;0),N(R249)/Q249,"")</f>
        <v/>
      </c>
      <c r="T249" s="43"/>
      <c r="U249" s="43"/>
      <c r="V249" s="42" t="str">
        <f aca="false">IF(AND(ISNUMBER(T249),T249&gt;0),N(U249)/T249,"")</f>
        <v/>
      </c>
      <c r="W249" s="41"/>
      <c r="X249" s="43"/>
      <c r="Y249" s="41"/>
      <c r="Z249" s="41"/>
      <c r="AA249" s="44"/>
      <c r="AB249" s="44"/>
      <c r="AC249" s="45"/>
      <c r="AD249" s="46"/>
      <c r="AE249" s="46"/>
    </row>
    <row r="250" customFormat="false" ht="15" hidden="false" customHeight="false" outlineLevel="0" collapsed="false">
      <c r="A250" s="40"/>
      <c r="B250" s="41"/>
      <c r="C250" s="41"/>
      <c r="D250" s="42" t="str">
        <f aca="false">IF(N(B250)&gt;0,1-N(C250)/(B250*Config!$B$15),"")</f>
        <v/>
      </c>
      <c r="E250" s="43"/>
      <c r="F250" s="43"/>
      <c r="G250" s="43"/>
      <c r="H250" s="42" t="str">
        <f aca="false">IF(AND(ISNUMBER(E250),E250&gt;0),N(G250)/E250,"")</f>
        <v/>
      </c>
      <c r="I250" s="43"/>
      <c r="J250" s="43"/>
      <c r="K250" s="43"/>
      <c r="L250" s="42" t="str">
        <f aca="false">IF(AND(ISNUMBER(I250),I250&gt;0),N(K250)/I250,"")</f>
        <v/>
      </c>
      <c r="M250" s="43"/>
      <c r="N250" s="43"/>
      <c r="O250" s="43"/>
      <c r="P250" s="42" t="str">
        <f aca="false">IF(AND(ISNUMBER(M250),M250&gt;0),N(O250)/M250,"")</f>
        <v/>
      </c>
      <c r="Q250" s="43"/>
      <c r="R250" s="43"/>
      <c r="S250" s="42" t="str">
        <f aca="false">IF(AND(ISNUMBER(Q250),Q250&gt;0),N(R250)/Q250,"")</f>
        <v/>
      </c>
      <c r="T250" s="43"/>
      <c r="U250" s="43"/>
      <c r="V250" s="42" t="str">
        <f aca="false">IF(AND(ISNUMBER(T250),T250&gt;0),N(U250)/T250,"")</f>
        <v/>
      </c>
      <c r="W250" s="41"/>
      <c r="X250" s="43"/>
      <c r="Y250" s="41"/>
      <c r="Z250" s="41"/>
      <c r="AA250" s="44"/>
      <c r="AB250" s="44"/>
      <c r="AC250" s="45"/>
      <c r="AD250" s="46"/>
      <c r="AE250" s="46"/>
    </row>
    <row r="251" customFormat="false" ht="15" hidden="false" customHeight="false" outlineLevel="0" collapsed="false">
      <c r="A251" s="40"/>
      <c r="B251" s="41"/>
      <c r="C251" s="41"/>
      <c r="D251" s="42" t="str">
        <f aca="false">IF(N(B251)&gt;0,1-N(C251)/(B251*Config!$B$15),"")</f>
        <v/>
      </c>
      <c r="E251" s="43"/>
      <c r="F251" s="43"/>
      <c r="G251" s="43"/>
      <c r="H251" s="42" t="str">
        <f aca="false">IF(AND(ISNUMBER(E251),E251&gt;0),N(G251)/E251,"")</f>
        <v/>
      </c>
      <c r="I251" s="43"/>
      <c r="J251" s="43"/>
      <c r="K251" s="43"/>
      <c r="L251" s="42" t="str">
        <f aca="false">IF(AND(ISNUMBER(I251),I251&gt;0),N(K251)/I251,"")</f>
        <v/>
      </c>
      <c r="M251" s="43"/>
      <c r="N251" s="43"/>
      <c r="O251" s="43"/>
      <c r="P251" s="42" t="str">
        <f aca="false">IF(AND(ISNUMBER(M251),M251&gt;0),N(O251)/M251,"")</f>
        <v/>
      </c>
      <c r="Q251" s="43"/>
      <c r="R251" s="43"/>
      <c r="S251" s="42" t="str">
        <f aca="false">IF(AND(ISNUMBER(Q251),Q251&gt;0),N(R251)/Q251,"")</f>
        <v/>
      </c>
      <c r="T251" s="43"/>
      <c r="U251" s="43"/>
      <c r="V251" s="42" t="str">
        <f aca="false">IF(AND(ISNUMBER(T251),T251&gt;0),N(U251)/T251,"")</f>
        <v/>
      </c>
      <c r="W251" s="41"/>
      <c r="X251" s="43"/>
      <c r="Y251" s="41"/>
      <c r="Z251" s="41"/>
      <c r="AA251" s="44"/>
      <c r="AB251" s="44"/>
      <c r="AC251" s="45"/>
      <c r="AD251" s="46"/>
      <c r="AE251" s="46"/>
    </row>
    <row r="252" customFormat="false" ht="15" hidden="false" customHeight="false" outlineLevel="0" collapsed="false">
      <c r="A252" s="40"/>
      <c r="B252" s="41"/>
      <c r="C252" s="41"/>
      <c r="D252" s="42" t="str">
        <f aca="false">IF(N(B252)&gt;0,1-N(C252)/(B252*Config!$B$15),"")</f>
        <v/>
      </c>
      <c r="E252" s="43"/>
      <c r="F252" s="43"/>
      <c r="G252" s="43"/>
      <c r="H252" s="42" t="str">
        <f aca="false">IF(AND(ISNUMBER(E252),E252&gt;0),N(G252)/E252,"")</f>
        <v/>
      </c>
      <c r="I252" s="43"/>
      <c r="J252" s="43"/>
      <c r="K252" s="43"/>
      <c r="L252" s="42" t="str">
        <f aca="false">IF(AND(ISNUMBER(I252),I252&gt;0),N(K252)/I252,"")</f>
        <v/>
      </c>
      <c r="M252" s="43"/>
      <c r="N252" s="43"/>
      <c r="O252" s="43"/>
      <c r="P252" s="42" t="str">
        <f aca="false">IF(AND(ISNUMBER(M252),M252&gt;0),N(O252)/M252,"")</f>
        <v/>
      </c>
      <c r="Q252" s="43"/>
      <c r="R252" s="43"/>
      <c r="S252" s="42" t="str">
        <f aca="false">IF(AND(ISNUMBER(Q252),Q252&gt;0),N(R252)/Q252,"")</f>
        <v/>
      </c>
      <c r="T252" s="43"/>
      <c r="U252" s="43"/>
      <c r="V252" s="42" t="str">
        <f aca="false">IF(AND(ISNUMBER(T252),T252&gt;0),N(U252)/T252,"")</f>
        <v/>
      </c>
      <c r="W252" s="41"/>
      <c r="X252" s="43"/>
      <c r="Y252" s="41"/>
      <c r="Z252" s="41"/>
      <c r="AA252" s="44"/>
      <c r="AB252" s="44"/>
      <c r="AC252" s="45"/>
      <c r="AD252" s="46"/>
      <c r="AE252" s="46"/>
    </row>
    <row r="253" customFormat="false" ht="15" hidden="false" customHeight="false" outlineLevel="0" collapsed="false">
      <c r="A253" s="40"/>
      <c r="B253" s="41"/>
      <c r="C253" s="41"/>
      <c r="D253" s="42" t="str">
        <f aca="false">IF(N(B253)&gt;0,1-N(C253)/(B253*Config!$B$15),"")</f>
        <v/>
      </c>
      <c r="E253" s="43"/>
      <c r="F253" s="43"/>
      <c r="G253" s="43"/>
      <c r="H253" s="42" t="str">
        <f aca="false">IF(AND(ISNUMBER(E253),E253&gt;0),N(G253)/E253,"")</f>
        <v/>
      </c>
      <c r="I253" s="43"/>
      <c r="J253" s="43"/>
      <c r="K253" s="43"/>
      <c r="L253" s="42" t="str">
        <f aca="false">IF(AND(ISNUMBER(I253),I253&gt;0),N(K253)/I253,"")</f>
        <v/>
      </c>
      <c r="M253" s="43"/>
      <c r="N253" s="43"/>
      <c r="O253" s="43"/>
      <c r="P253" s="42" t="str">
        <f aca="false">IF(AND(ISNUMBER(M253),M253&gt;0),N(O253)/M253,"")</f>
        <v/>
      </c>
      <c r="Q253" s="43"/>
      <c r="R253" s="43"/>
      <c r="S253" s="42" t="str">
        <f aca="false">IF(AND(ISNUMBER(Q253),Q253&gt;0),N(R253)/Q253,"")</f>
        <v/>
      </c>
      <c r="T253" s="43"/>
      <c r="U253" s="43"/>
      <c r="V253" s="42" t="str">
        <f aca="false">IF(AND(ISNUMBER(T253),T253&gt;0),N(U253)/T253,"")</f>
        <v/>
      </c>
      <c r="W253" s="41"/>
      <c r="X253" s="43"/>
      <c r="Y253" s="41"/>
      <c r="Z253" s="41"/>
      <c r="AA253" s="44"/>
      <c r="AB253" s="44"/>
      <c r="AC253" s="45"/>
      <c r="AD253" s="46"/>
      <c r="AE253" s="46"/>
    </row>
    <row r="254" customFormat="false" ht="15" hidden="false" customHeight="false" outlineLevel="0" collapsed="false">
      <c r="A254" s="40"/>
      <c r="B254" s="41"/>
      <c r="C254" s="41"/>
      <c r="D254" s="42" t="str">
        <f aca="false">IF(N(B254)&gt;0,1-N(C254)/(B254*Config!$B$15),"")</f>
        <v/>
      </c>
      <c r="E254" s="43"/>
      <c r="F254" s="43"/>
      <c r="G254" s="43"/>
      <c r="H254" s="42" t="str">
        <f aca="false">IF(AND(ISNUMBER(E254),E254&gt;0),N(G254)/E254,"")</f>
        <v/>
      </c>
      <c r="I254" s="43"/>
      <c r="J254" s="43"/>
      <c r="K254" s="43"/>
      <c r="L254" s="42" t="str">
        <f aca="false">IF(AND(ISNUMBER(I254),I254&gt;0),N(K254)/I254,"")</f>
        <v/>
      </c>
      <c r="M254" s="43"/>
      <c r="N254" s="43"/>
      <c r="O254" s="43"/>
      <c r="P254" s="42" t="str">
        <f aca="false">IF(AND(ISNUMBER(M254),M254&gt;0),N(O254)/M254,"")</f>
        <v/>
      </c>
      <c r="Q254" s="43"/>
      <c r="R254" s="43"/>
      <c r="S254" s="42" t="str">
        <f aca="false">IF(AND(ISNUMBER(Q254),Q254&gt;0),N(R254)/Q254,"")</f>
        <v/>
      </c>
      <c r="T254" s="43"/>
      <c r="U254" s="43"/>
      <c r="V254" s="42" t="str">
        <f aca="false">IF(AND(ISNUMBER(T254),T254&gt;0),N(U254)/T254,"")</f>
        <v/>
      </c>
      <c r="W254" s="41"/>
      <c r="X254" s="43"/>
      <c r="Y254" s="41"/>
      <c r="Z254" s="41"/>
      <c r="AA254" s="44"/>
      <c r="AB254" s="44"/>
      <c r="AC254" s="45"/>
      <c r="AD254" s="46"/>
      <c r="AE254" s="46"/>
    </row>
    <row r="255" customFormat="false" ht="15" hidden="false" customHeight="false" outlineLevel="0" collapsed="false">
      <c r="A255" s="40"/>
      <c r="B255" s="41"/>
      <c r="C255" s="41"/>
      <c r="D255" s="42" t="str">
        <f aca="false">IF(N(B255)&gt;0,1-N(C255)/(B255*Config!$B$15),"")</f>
        <v/>
      </c>
      <c r="E255" s="43"/>
      <c r="F255" s="43"/>
      <c r="G255" s="43"/>
      <c r="H255" s="42" t="str">
        <f aca="false">IF(AND(ISNUMBER(E255),E255&gt;0),N(G255)/E255,"")</f>
        <v/>
      </c>
      <c r="I255" s="43"/>
      <c r="J255" s="43"/>
      <c r="K255" s="43"/>
      <c r="L255" s="42" t="str">
        <f aca="false">IF(AND(ISNUMBER(I255),I255&gt;0),N(K255)/I255,"")</f>
        <v/>
      </c>
      <c r="M255" s="43"/>
      <c r="N255" s="43"/>
      <c r="O255" s="43"/>
      <c r="P255" s="42" t="str">
        <f aca="false">IF(AND(ISNUMBER(M255),M255&gt;0),N(O255)/M255,"")</f>
        <v/>
      </c>
      <c r="Q255" s="43"/>
      <c r="R255" s="43"/>
      <c r="S255" s="42" t="str">
        <f aca="false">IF(AND(ISNUMBER(Q255),Q255&gt;0),N(R255)/Q255,"")</f>
        <v/>
      </c>
      <c r="T255" s="43"/>
      <c r="U255" s="43"/>
      <c r="V255" s="42" t="str">
        <f aca="false">IF(AND(ISNUMBER(T255),T255&gt;0),N(U255)/T255,"")</f>
        <v/>
      </c>
      <c r="W255" s="41"/>
      <c r="X255" s="43"/>
      <c r="Y255" s="41"/>
      <c r="Z255" s="41"/>
      <c r="AA255" s="44"/>
      <c r="AB255" s="44"/>
      <c r="AC255" s="45"/>
      <c r="AD255" s="46"/>
      <c r="AE255" s="46"/>
    </row>
    <row r="256" customFormat="false" ht="15" hidden="false" customHeight="false" outlineLevel="0" collapsed="false">
      <c r="A256" s="40"/>
      <c r="B256" s="41"/>
      <c r="C256" s="41"/>
      <c r="D256" s="42" t="str">
        <f aca="false">IF(N(B256)&gt;0,1-N(C256)/(B256*Config!$B$15),"")</f>
        <v/>
      </c>
      <c r="E256" s="43"/>
      <c r="F256" s="43"/>
      <c r="G256" s="43"/>
      <c r="H256" s="42" t="str">
        <f aca="false">IF(AND(ISNUMBER(E256),E256&gt;0),N(G256)/E256,"")</f>
        <v/>
      </c>
      <c r="I256" s="43"/>
      <c r="J256" s="43"/>
      <c r="K256" s="43"/>
      <c r="L256" s="42" t="str">
        <f aca="false">IF(AND(ISNUMBER(I256),I256&gt;0),N(K256)/I256,"")</f>
        <v/>
      </c>
      <c r="M256" s="43"/>
      <c r="N256" s="43"/>
      <c r="O256" s="43"/>
      <c r="P256" s="42" t="str">
        <f aca="false">IF(AND(ISNUMBER(M256),M256&gt;0),N(O256)/M256,"")</f>
        <v/>
      </c>
      <c r="Q256" s="43"/>
      <c r="R256" s="43"/>
      <c r="S256" s="42" t="str">
        <f aca="false">IF(AND(ISNUMBER(Q256),Q256&gt;0),N(R256)/Q256,"")</f>
        <v/>
      </c>
      <c r="T256" s="43"/>
      <c r="U256" s="43"/>
      <c r="V256" s="42" t="str">
        <f aca="false">IF(AND(ISNUMBER(T256),T256&gt;0),N(U256)/T256,"")</f>
        <v/>
      </c>
      <c r="W256" s="41"/>
      <c r="X256" s="43"/>
      <c r="Y256" s="41"/>
      <c r="Z256" s="41"/>
      <c r="AA256" s="44"/>
      <c r="AB256" s="44"/>
      <c r="AC256" s="45"/>
      <c r="AD256" s="46"/>
      <c r="AE256" s="46"/>
    </row>
    <row r="257" customFormat="false" ht="15" hidden="false" customHeight="false" outlineLevel="0" collapsed="false">
      <c r="A257" s="40"/>
      <c r="B257" s="41"/>
      <c r="C257" s="41"/>
      <c r="D257" s="42" t="str">
        <f aca="false">IF(N(B257)&gt;0,1-N(C257)/(B257*Config!$B$15),"")</f>
        <v/>
      </c>
      <c r="E257" s="43"/>
      <c r="F257" s="43"/>
      <c r="G257" s="43"/>
      <c r="H257" s="42" t="str">
        <f aca="false">IF(AND(ISNUMBER(E257),E257&gt;0),N(G257)/E257,"")</f>
        <v/>
      </c>
      <c r="I257" s="43"/>
      <c r="J257" s="43"/>
      <c r="K257" s="43"/>
      <c r="L257" s="42" t="str">
        <f aca="false">IF(AND(ISNUMBER(I257),I257&gt;0),N(K257)/I257,"")</f>
        <v/>
      </c>
      <c r="M257" s="43"/>
      <c r="N257" s="43"/>
      <c r="O257" s="43"/>
      <c r="P257" s="42" t="str">
        <f aca="false">IF(AND(ISNUMBER(M257),M257&gt;0),N(O257)/M257,"")</f>
        <v/>
      </c>
      <c r="Q257" s="43"/>
      <c r="R257" s="43"/>
      <c r="S257" s="42" t="str">
        <f aca="false">IF(AND(ISNUMBER(Q257),Q257&gt;0),N(R257)/Q257,"")</f>
        <v/>
      </c>
      <c r="T257" s="43"/>
      <c r="U257" s="43"/>
      <c r="V257" s="42" t="str">
        <f aca="false">IF(AND(ISNUMBER(T257),T257&gt;0),N(U257)/T257,"")</f>
        <v/>
      </c>
      <c r="W257" s="41"/>
      <c r="X257" s="43"/>
      <c r="Y257" s="41"/>
      <c r="Z257" s="41"/>
      <c r="AA257" s="44"/>
      <c r="AB257" s="44"/>
      <c r="AC257" s="45"/>
      <c r="AD257" s="46"/>
      <c r="AE257" s="46"/>
    </row>
    <row r="258" customFormat="false" ht="15" hidden="false" customHeight="false" outlineLevel="0" collapsed="false">
      <c r="A258" s="40"/>
      <c r="B258" s="41"/>
      <c r="C258" s="41"/>
      <c r="D258" s="42" t="str">
        <f aca="false">IF(N(B258)&gt;0,1-N(C258)/(B258*Config!$B$15),"")</f>
        <v/>
      </c>
      <c r="E258" s="43"/>
      <c r="F258" s="43"/>
      <c r="G258" s="43"/>
      <c r="H258" s="42" t="str">
        <f aca="false">IF(AND(ISNUMBER(E258),E258&gt;0),N(G258)/E258,"")</f>
        <v/>
      </c>
      <c r="I258" s="43"/>
      <c r="J258" s="43"/>
      <c r="K258" s="43"/>
      <c r="L258" s="42" t="str">
        <f aca="false">IF(AND(ISNUMBER(I258),I258&gt;0),N(K258)/I258,"")</f>
        <v/>
      </c>
      <c r="M258" s="43"/>
      <c r="N258" s="43"/>
      <c r="O258" s="43"/>
      <c r="P258" s="42" t="str">
        <f aca="false">IF(AND(ISNUMBER(M258),M258&gt;0),N(O258)/M258,"")</f>
        <v/>
      </c>
      <c r="Q258" s="43"/>
      <c r="R258" s="43"/>
      <c r="S258" s="42" t="str">
        <f aca="false">IF(AND(ISNUMBER(Q258),Q258&gt;0),N(R258)/Q258,"")</f>
        <v/>
      </c>
      <c r="T258" s="43"/>
      <c r="U258" s="43"/>
      <c r="V258" s="42" t="str">
        <f aca="false">IF(AND(ISNUMBER(T258),T258&gt;0),N(U258)/T258,"")</f>
        <v/>
      </c>
      <c r="W258" s="41"/>
      <c r="X258" s="43"/>
      <c r="Y258" s="41"/>
      <c r="Z258" s="41"/>
      <c r="AA258" s="44"/>
      <c r="AB258" s="44"/>
      <c r="AC258" s="45"/>
      <c r="AD258" s="46"/>
      <c r="AE258" s="46"/>
    </row>
    <row r="259" customFormat="false" ht="15" hidden="false" customHeight="false" outlineLevel="0" collapsed="false">
      <c r="A259" s="40"/>
      <c r="B259" s="41"/>
      <c r="C259" s="41"/>
      <c r="D259" s="42" t="str">
        <f aca="false">IF(N(B259)&gt;0,1-N(C259)/(B259*Config!$B$15),"")</f>
        <v/>
      </c>
      <c r="E259" s="43"/>
      <c r="F259" s="43"/>
      <c r="G259" s="43"/>
      <c r="H259" s="42" t="str">
        <f aca="false">IF(AND(ISNUMBER(E259),E259&gt;0),N(G259)/E259,"")</f>
        <v/>
      </c>
      <c r="I259" s="43"/>
      <c r="J259" s="43"/>
      <c r="K259" s="43"/>
      <c r="L259" s="42" t="str">
        <f aca="false">IF(AND(ISNUMBER(I259),I259&gt;0),N(K259)/I259,"")</f>
        <v/>
      </c>
      <c r="M259" s="43"/>
      <c r="N259" s="43"/>
      <c r="O259" s="43"/>
      <c r="P259" s="42" t="str">
        <f aca="false">IF(AND(ISNUMBER(M259),M259&gt;0),N(O259)/M259,"")</f>
        <v/>
      </c>
      <c r="Q259" s="43"/>
      <c r="R259" s="43"/>
      <c r="S259" s="42" t="str">
        <f aca="false">IF(AND(ISNUMBER(Q259),Q259&gt;0),N(R259)/Q259,"")</f>
        <v/>
      </c>
      <c r="T259" s="43"/>
      <c r="U259" s="43"/>
      <c r="V259" s="42" t="str">
        <f aca="false">IF(AND(ISNUMBER(T259),T259&gt;0),N(U259)/T259,"")</f>
        <v/>
      </c>
      <c r="W259" s="41"/>
      <c r="X259" s="43"/>
      <c r="Y259" s="41"/>
      <c r="Z259" s="41"/>
      <c r="AA259" s="44"/>
      <c r="AB259" s="44"/>
      <c r="AC259" s="45"/>
      <c r="AD259" s="46"/>
      <c r="AE259" s="46"/>
    </row>
    <row r="260" customFormat="false" ht="15" hidden="false" customHeight="false" outlineLevel="0" collapsed="false">
      <c r="A260" s="40"/>
      <c r="B260" s="41"/>
      <c r="C260" s="41"/>
      <c r="D260" s="42" t="str">
        <f aca="false">IF(N(B260)&gt;0,1-N(C260)/(B260*Config!$B$15),"")</f>
        <v/>
      </c>
      <c r="E260" s="43"/>
      <c r="F260" s="43"/>
      <c r="G260" s="43"/>
      <c r="H260" s="42" t="str">
        <f aca="false">IF(AND(ISNUMBER(E260),E260&gt;0),N(G260)/E260,"")</f>
        <v/>
      </c>
      <c r="I260" s="43"/>
      <c r="J260" s="43"/>
      <c r="K260" s="43"/>
      <c r="L260" s="42" t="str">
        <f aca="false">IF(AND(ISNUMBER(I260),I260&gt;0),N(K260)/I260,"")</f>
        <v/>
      </c>
      <c r="M260" s="43"/>
      <c r="N260" s="43"/>
      <c r="O260" s="43"/>
      <c r="P260" s="42" t="str">
        <f aca="false">IF(AND(ISNUMBER(M260),M260&gt;0),N(O260)/M260,"")</f>
        <v/>
      </c>
      <c r="Q260" s="43"/>
      <c r="R260" s="43"/>
      <c r="S260" s="42" t="str">
        <f aca="false">IF(AND(ISNUMBER(Q260),Q260&gt;0),N(R260)/Q260,"")</f>
        <v/>
      </c>
      <c r="T260" s="43"/>
      <c r="U260" s="43"/>
      <c r="V260" s="42" t="str">
        <f aca="false">IF(AND(ISNUMBER(T260),T260&gt;0),N(U260)/T260,"")</f>
        <v/>
      </c>
      <c r="W260" s="41"/>
      <c r="X260" s="43"/>
      <c r="Y260" s="41"/>
      <c r="Z260" s="41"/>
      <c r="AA260" s="44"/>
      <c r="AB260" s="44"/>
      <c r="AC260" s="45"/>
      <c r="AD260" s="46"/>
      <c r="AE260" s="46"/>
    </row>
    <row r="261" customFormat="false" ht="15" hidden="false" customHeight="false" outlineLevel="0" collapsed="false">
      <c r="A261" s="40"/>
      <c r="B261" s="41"/>
      <c r="C261" s="41"/>
      <c r="D261" s="42" t="str">
        <f aca="false">IF(N(B261)&gt;0,1-N(C261)/(B261*Config!$B$15),"")</f>
        <v/>
      </c>
      <c r="E261" s="43"/>
      <c r="F261" s="43"/>
      <c r="G261" s="43"/>
      <c r="H261" s="42" t="str">
        <f aca="false">IF(AND(ISNUMBER(E261),E261&gt;0),N(G261)/E261,"")</f>
        <v/>
      </c>
      <c r="I261" s="43"/>
      <c r="J261" s="43"/>
      <c r="K261" s="43"/>
      <c r="L261" s="42" t="str">
        <f aca="false">IF(AND(ISNUMBER(I261),I261&gt;0),N(K261)/I261,"")</f>
        <v/>
      </c>
      <c r="M261" s="43"/>
      <c r="N261" s="43"/>
      <c r="O261" s="43"/>
      <c r="P261" s="42" t="str">
        <f aca="false">IF(AND(ISNUMBER(M261),M261&gt;0),N(O261)/M261,"")</f>
        <v/>
      </c>
      <c r="Q261" s="43"/>
      <c r="R261" s="43"/>
      <c r="S261" s="42" t="str">
        <f aca="false">IF(AND(ISNUMBER(Q261),Q261&gt;0),N(R261)/Q261,"")</f>
        <v/>
      </c>
      <c r="T261" s="43"/>
      <c r="U261" s="43"/>
      <c r="V261" s="42" t="str">
        <f aca="false">IF(AND(ISNUMBER(T261),T261&gt;0),N(U261)/T261,"")</f>
        <v/>
      </c>
      <c r="W261" s="41"/>
      <c r="X261" s="43"/>
      <c r="Y261" s="41"/>
      <c r="Z261" s="41"/>
      <c r="AA261" s="44"/>
      <c r="AB261" s="44"/>
      <c r="AC261" s="45"/>
      <c r="AD261" s="46"/>
      <c r="AE261" s="46"/>
    </row>
    <row r="262" customFormat="false" ht="15" hidden="false" customHeight="false" outlineLevel="0" collapsed="false">
      <c r="A262" s="40"/>
      <c r="B262" s="41"/>
      <c r="C262" s="41"/>
      <c r="D262" s="42" t="str">
        <f aca="false">IF(N(B262)&gt;0,1-N(C262)/(B262*Config!$B$15),"")</f>
        <v/>
      </c>
      <c r="E262" s="43"/>
      <c r="F262" s="43"/>
      <c r="G262" s="43"/>
      <c r="H262" s="42" t="str">
        <f aca="false">IF(AND(ISNUMBER(E262),E262&gt;0),N(G262)/E262,"")</f>
        <v/>
      </c>
      <c r="I262" s="43"/>
      <c r="J262" s="43"/>
      <c r="K262" s="43"/>
      <c r="L262" s="42" t="str">
        <f aca="false">IF(AND(ISNUMBER(I262),I262&gt;0),N(K262)/I262,"")</f>
        <v/>
      </c>
      <c r="M262" s="43"/>
      <c r="N262" s="43"/>
      <c r="O262" s="43"/>
      <c r="P262" s="42" t="str">
        <f aca="false">IF(AND(ISNUMBER(M262),M262&gt;0),N(O262)/M262,"")</f>
        <v/>
      </c>
      <c r="Q262" s="43"/>
      <c r="R262" s="43"/>
      <c r="S262" s="42" t="str">
        <f aca="false">IF(AND(ISNUMBER(Q262),Q262&gt;0),N(R262)/Q262,"")</f>
        <v/>
      </c>
      <c r="T262" s="43"/>
      <c r="U262" s="43"/>
      <c r="V262" s="42" t="str">
        <f aca="false">IF(AND(ISNUMBER(T262),T262&gt;0),N(U262)/T262,"")</f>
        <v/>
      </c>
      <c r="W262" s="41"/>
      <c r="X262" s="43"/>
      <c r="Y262" s="41"/>
      <c r="Z262" s="41"/>
      <c r="AA262" s="44"/>
      <c r="AB262" s="44"/>
      <c r="AC262" s="45"/>
      <c r="AD262" s="46"/>
      <c r="AE262" s="46"/>
    </row>
    <row r="263" customFormat="false" ht="15" hidden="false" customHeight="false" outlineLevel="0" collapsed="false">
      <c r="A263" s="40"/>
      <c r="B263" s="41"/>
      <c r="C263" s="41"/>
      <c r="D263" s="42" t="str">
        <f aca="false">IF(N(B263)&gt;0,1-N(C263)/(B263*Config!$B$15),"")</f>
        <v/>
      </c>
      <c r="E263" s="43"/>
      <c r="F263" s="43"/>
      <c r="G263" s="43"/>
      <c r="H263" s="42" t="str">
        <f aca="false">IF(AND(ISNUMBER(E263),E263&gt;0),N(G263)/E263,"")</f>
        <v/>
      </c>
      <c r="I263" s="43"/>
      <c r="J263" s="43"/>
      <c r="K263" s="43"/>
      <c r="L263" s="42" t="str">
        <f aca="false">IF(AND(ISNUMBER(I263),I263&gt;0),N(K263)/I263,"")</f>
        <v/>
      </c>
      <c r="M263" s="43"/>
      <c r="N263" s="43"/>
      <c r="O263" s="43"/>
      <c r="P263" s="42" t="str">
        <f aca="false">IF(AND(ISNUMBER(M263),M263&gt;0),N(O263)/M263,"")</f>
        <v/>
      </c>
      <c r="Q263" s="43"/>
      <c r="R263" s="43"/>
      <c r="S263" s="42" t="str">
        <f aca="false">IF(AND(ISNUMBER(Q263),Q263&gt;0),N(R263)/Q263,"")</f>
        <v/>
      </c>
      <c r="T263" s="43"/>
      <c r="U263" s="43"/>
      <c r="V263" s="42" t="str">
        <f aca="false">IF(AND(ISNUMBER(T263),T263&gt;0),N(U263)/T263,"")</f>
        <v/>
      </c>
      <c r="W263" s="41"/>
      <c r="X263" s="43"/>
      <c r="Y263" s="41"/>
      <c r="Z263" s="41"/>
      <c r="AA263" s="44"/>
      <c r="AB263" s="44"/>
      <c r="AC263" s="45"/>
      <c r="AD263" s="46"/>
      <c r="AE263" s="46"/>
    </row>
    <row r="264" customFormat="false" ht="15" hidden="false" customHeight="false" outlineLevel="0" collapsed="false">
      <c r="A264" s="40"/>
      <c r="B264" s="41"/>
      <c r="C264" s="41"/>
      <c r="D264" s="42" t="str">
        <f aca="false">IF(N(B264)&gt;0,1-N(C264)/(B264*Config!$B$15),"")</f>
        <v/>
      </c>
      <c r="E264" s="43"/>
      <c r="F264" s="43"/>
      <c r="G264" s="43"/>
      <c r="H264" s="42" t="str">
        <f aca="false">IF(AND(ISNUMBER(E264),E264&gt;0),N(G264)/E264,"")</f>
        <v/>
      </c>
      <c r="I264" s="43"/>
      <c r="J264" s="43"/>
      <c r="K264" s="43"/>
      <c r="L264" s="42" t="str">
        <f aca="false">IF(AND(ISNUMBER(I264),I264&gt;0),N(K264)/I264,"")</f>
        <v/>
      </c>
      <c r="M264" s="43"/>
      <c r="N264" s="43"/>
      <c r="O264" s="43"/>
      <c r="P264" s="42" t="str">
        <f aca="false">IF(AND(ISNUMBER(M264),M264&gt;0),N(O264)/M264,"")</f>
        <v/>
      </c>
      <c r="Q264" s="43"/>
      <c r="R264" s="43"/>
      <c r="S264" s="42" t="str">
        <f aca="false">IF(AND(ISNUMBER(Q264),Q264&gt;0),N(R264)/Q264,"")</f>
        <v/>
      </c>
      <c r="T264" s="43"/>
      <c r="U264" s="43"/>
      <c r="V264" s="42" t="str">
        <f aca="false">IF(AND(ISNUMBER(T264),T264&gt;0),N(U264)/T264,"")</f>
        <v/>
      </c>
      <c r="W264" s="41"/>
      <c r="X264" s="43"/>
      <c r="Y264" s="41"/>
      <c r="Z264" s="41"/>
      <c r="AA264" s="44"/>
      <c r="AB264" s="44"/>
      <c r="AC264" s="45"/>
      <c r="AD264" s="46"/>
      <c r="AE264" s="46"/>
    </row>
    <row r="265" customFormat="false" ht="15" hidden="false" customHeight="false" outlineLevel="0" collapsed="false">
      <c r="A265" s="40"/>
      <c r="B265" s="41"/>
      <c r="C265" s="41"/>
      <c r="D265" s="42" t="str">
        <f aca="false">IF(N(B265)&gt;0,1-N(C265)/(B265*Config!$B$15),"")</f>
        <v/>
      </c>
      <c r="E265" s="43"/>
      <c r="F265" s="43"/>
      <c r="G265" s="43"/>
      <c r="H265" s="42" t="str">
        <f aca="false">IF(AND(ISNUMBER(E265),E265&gt;0),N(G265)/E265,"")</f>
        <v/>
      </c>
      <c r="I265" s="43"/>
      <c r="J265" s="43"/>
      <c r="K265" s="43"/>
      <c r="L265" s="42" t="str">
        <f aca="false">IF(AND(ISNUMBER(I265),I265&gt;0),N(K265)/I265,"")</f>
        <v/>
      </c>
      <c r="M265" s="43"/>
      <c r="N265" s="43"/>
      <c r="O265" s="43"/>
      <c r="P265" s="42" t="str">
        <f aca="false">IF(AND(ISNUMBER(M265),M265&gt;0),N(O265)/M265,"")</f>
        <v/>
      </c>
      <c r="Q265" s="43"/>
      <c r="R265" s="43"/>
      <c r="S265" s="42" t="str">
        <f aca="false">IF(AND(ISNUMBER(Q265),Q265&gt;0),N(R265)/Q265,"")</f>
        <v/>
      </c>
      <c r="T265" s="43"/>
      <c r="U265" s="43"/>
      <c r="V265" s="42" t="str">
        <f aca="false">IF(AND(ISNUMBER(T265),T265&gt;0),N(U265)/T265,"")</f>
        <v/>
      </c>
      <c r="W265" s="41"/>
      <c r="X265" s="43"/>
      <c r="Y265" s="41"/>
      <c r="Z265" s="41"/>
      <c r="AA265" s="44"/>
      <c r="AB265" s="44"/>
      <c r="AC265" s="45"/>
      <c r="AD265" s="46"/>
      <c r="AE265" s="46"/>
    </row>
    <row r="266" customFormat="false" ht="15" hidden="false" customHeight="false" outlineLevel="0" collapsed="false">
      <c r="A266" s="40"/>
      <c r="B266" s="41"/>
      <c r="C266" s="41"/>
      <c r="D266" s="42" t="str">
        <f aca="false">IF(N(B266)&gt;0,1-N(C266)/(B266*Config!$B$15),"")</f>
        <v/>
      </c>
      <c r="E266" s="43"/>
      <c r="F266" s="43"/>
      <c r="G266" s="43"/>
      <c r="H266" s="42" t="str">
        <f aca="false">IF(AND(ISNUMBER(E266),E266&gt;0),N(G266)/E266,"")</f>
        <v/>
      </c>
      <c r="I266" s="43"/>
      <c r="J266" s="43"/>
      <c r="K266" s="43"/>
      <c r="L266" s="42" t="str">
        <f aca="false">IF(AND(ISNUMBER(I266),I266&gt;0),N(K266)/I266,"")</f>
        <v/>
      </c>
      <c r="M266" s="43"/>
      <c r="N266" s="43"/>
      <c r="O266" s="43"/>
      <c r="P266" s="42" t="str">
        <f aca="false">IF(AND(ISNUMBER(M266),M266&gt;0),N(O266)/M266,"")</f>
        <v/>
      </c>
      <c r="Q266" s="43"/>
      <c r="R266" s="43"/>
      <c r="S266" s="42" t="str">
        <f aca="false">IF(AND(ISNUMBER(Q266),Q266&gt;0),N(R266)/Q266,"")</f>
        <v/>
      </c>
      <c r="T266" s="43"/>
      <c r="U266" s="43"/>
      <c r="V266" s="42" t="str">
        <f aca="false">IF(AND(ISNUMBER(T266),T266&gt;0),N(U266)/T266,"")</f>
        <v/>
      </c>
      <c r="W266" s="41"/>
      <c r="X266" s="43"/>
      <c r="Y266" s="41"/>
      <c r="Z266" s="41"/>
      <c r="AA266" s="44"/>
      <c r="AB266" s="44"/>
      <c r="AC266" s="45"/>
      <c r="AD266" s="46"/>
      <c r="AE266" s="46"/>
    </row>
    <row r="267" customFormat="false" ht="15" hidden="false" customHeight="false" outlineLevel="0" collapsed="false">
      <c r="A267" s="40"/>
      <c r="B267" s="41"/>
      <c r="C267" s="41"/>
      <c r="D267" s="42" t="str">
        <f aca="false">IF(N(B267)&gt;0,1-N(C267)/(B267*Config!$B$15),"")</f>
        <v/>
      </c>
      <c r="E267" s="43"/>
      <c r="F267" s="43"/>
      <c r="G267" s="43"/>
      <c r="H267" s="42" t="str">
        <f aca="false">IF(AND(ISNUMBER(E267),E267&gt;0),N(G267)/E267,"")</f>
        <v/>
      </c>
      <c r="I267" s="43"/>
      <c r="J267" s="43"/>
      <c r="K267" s="43"/>
      <c r="L267" s="42" t="str">
        <f aca="false">IF(AND(ISNUMBER(I267),I267&gt;0),N(K267)/I267,"")</f>
        <v/>
      </c>
      <c r="M267" s="43"/>
      <c r="N267" s="43"/>
      <c r="O267" s="43"/>
      <c r="P267" s="42" t="str">
        <f aca="false">IF(AND(ISNUMBER(M267),M267&gt;0),N(O267)/M267,"")</f>
        <v/>
      </c>
      <c r="Q267" s="43"/>
      <c r="R267" s="43"/>
      <c r="S267" s="42" t="str">
        <f aca="false">IF(AND(ISNUMBER(Q267),Q267&gt;0),N(R267)/Q267,"")</f>
        <v/>
      </c>
      <c r="T267" s="43"/>
      <c r="U267" s="43"/>
      <c r="V267" s="42" t="str">
        <f aca="false">IF(AND(ISNUMBER(T267),T267&gt;0),N(U267)/T267,"")</f>
        <v/>
      </c>
      <c r="W267" s="41"/>
      <c r="X267" s="43"/>
      <c r="Y267" s="41"/>
      <c r="Z267" s="41"/>
      <c r="AA267" s="44"/>
      <c r="AB267" s="44"/>
      <c r="AC267" s="45"/>
      <c r="AD267" s="46"/>
      <c r="AE267" s="46"/>
    </row>
    <row r="268" customFormat="false" ht="15" hidden="false" customHeight="false" outlineLevel="0" collapsed="false">
      <c r="A268" s="40"/>
      <c r="B268" s="41"/>
      <c r="C268" s="41"/>
      <c r="D268" s="42" t="str">
        <f aca="false">IF(N(B268)&gt;0,1-N(C268)/(B268*Config!$B$15),"")</f>
        <v/>
      </c>
      <c r="E268" s="43"/>
      <c r="F268" s="43"/>
      <c r="G268" s="43"/>
      <c r="H268" s="42" t="str">
        <f aca="false">IF(AND(ISNUMBER(E268),E268&gt;0),N(G268)/E268,"")</f>
        <v/>
      </c>
      <c r="I268" s="43"/>
      <c r="J268" s="43"/>
      <c r="K268" s="43"/>
      <c r="L268" s="42" t="str">
        <f aca="false">IF(AND(ISNUMBER(I268),I268&gt;0),N(K268)/I268,"")</f>
        <v/>
      </c>
      <c r="M268" s="43"/>
      <c r="N268" s="43"/>
      <c r="O268" s="43"/>
      <c r="P268" s="42" t="str">
        <f aca="false">IF(AND(ISNUMBER(M268),M268&gt;0),N(O268)/M268,"")</f>
        <v/>
      </c>
      <c r="Q268" s="43"/>
      <c r="R268" s="43"/>
      <c r="S268" s="42" t="str">
        <f aca="false">IF(AND(ISNUMBER(Q268),Q268&gt;0),N(R268)/Q268,"")</f>
        <v/>
      </c>
      <c r="T268" s="43"/>
      <c r="U268" s="43"/>
      <c r="V268" s="42" t="str">
        <f aca="false">IF(AND(ISNUMBER(T268),T268&gt;0),N(U268)/T268,"")</f>
        <v/>
      </c>
      <c r="W268" s="41"/>
      <c r="X268" s="43"/>
      <c r="Y268" s="41"/>
      <c r="Z268" s="41"/>
      <c r="AA268" s="44"/>
      <c r="AB268" s="44"/>
      <c r="AC268" s="45"/>
      <c r="AD268" s="46"/>
      <c r="AE268" s="46"/>
    </row>
    <row r="269" customFormat="false" ht="15" hidden="false" customHeight="false" outlineLevel="0" collapsed="false">
      <c r="A269" s="40"/>
      <c r="B269" s="41"/>
      <c r="C269" s="41"/>
      <c r="D269" s="42" t="str">
        <f aca="false">IF(N(B269)&gt;0,1-N(C269)/(B269*Config!$B$15),"")</f>
        <v/>
      </c>
      <c r="E269" s="43"/>
      <c r="F269" s="43"/>
      <c r="G269" s="43"/>
      <c r="H269" s="42" t="str">
        <f aca="false">IF(AND(ISNUMBER(E269),E269&gt;0),N(G269)/E269,"")</f>
        <v/>
      </c>
      <c r="I269" s="43"/>
      <c r="J269" s="43"/>
      <c r="K269" s="43"/>
      <c r="L269" s="42" t="str">
        <f aca="false">IF(AND(ISNUMBER(I269),I269&gt;0),N(K269)/I269,"")</f>
        <v/>
      </c>
      <c r="M269" s="43"/>
      <c r="N269" s="43"/>
      <c r="O269" s="43"/>
      <c r="P269" s="42" t="str">
        <f aca="false">IF(AND(ISNUMBER(M269),M269&gt;0),N(O269)/M269,"")</f>
        <v/>
      </c>
      <c r="Q269" s="43"/>
      <c r="R269" s="43"/>
      <c r="S269" s="42" t="str">
        <f aca="false">IF(AND(ISNUMBER(Q269),Q269&gt;0),N(R269)/Q269,"")</f>
        <v/>
      </c>
      <c r="T269" s="43"/>
      <c r="U269" s="43"/>
      <c r="V269" s="42" t="str">
        <f aca="false">IF(AND(ISNUMBER(T269),T269&gt;0),N(U269)/T269,"")</f>
        <v/>
      </c>
      <c r="W269" s="41"/>
      <c r="X269" s="43"/>
      <c r="Y269" s="41"/>
      <c r="Z269" s="41"/>
      <c r="AA269" s="44"/>
      <c r="AB269" s="44"/>
      <c r="AC269" s="45"/>
      <c r="AD269" s="46"/>
      <c r="AE269" s="46"/>
    </row>
    <row r="270" customFormat="false" ht="15" hidden="false" customHeight="false" outlineLevel="0" collapsed="false">
      <c r="A270" s="40"/>
      <c r="B270" s="41"/>
      <c r="C270" s="41"/>
      <c r="D270" s="42" t="str">
        <f aca="false">IF(N(B270)&gt;0,1-N(C270)/(B270*Config!$B$15),"")</f>
        <v/>
      </c>
      <c r="E270" s="43"/>
      <c r="F270" s="43"/>
      <c r="G270" s="43"/>
      <c r="H270" s="42" t="str">
        <f aca="false">IF(AND(ISNUMBER(E270),E270&gt;0),N(G270)/E270,"")</f>
        <v/>
      </c>
      <c r="I270" s="43"/>
      <c r="J270" s="43"/>
      <c r="K270" s="43"/>
      <c r="L270" s="42" t="str">
        <f aca="false">IF(AND(ISNUMBER(I270),I270&gt;0),N(K270)/I270,"")</f>
        <v/>
      </c>
      <c r="M270" s="43"/>
      <c r="N270" s="43"/>
      <c r="O270" s="43"/>
      <c r="P270" s="42" t="str">
        <f aca="false">IF(AND(ISNUMBER(M270),M270&gt;0),N(O270)/M270,"")</f>
        <v/>
      </c>
      <c r="Q270" s="43"/>
      <c r="R270" s="43"/>
      <c r="S270" s="42" t="str">
        <f aca="false">IF(AND(ISNUMBER(Q270),Q270&gt;0),N(R270)/Q270,"")</f>
        <v/>
      </c>
      <c r="T270" s="43"/>
      <c r="U270" s="43"/>
      <c r="V270" s="42" t="str">
        <f aca="false">IF(AND(ISNUMBER(T270),T270&gt;0),N(U270)/T270,"")</f>
        <v/>
      </c>
      <c r="W270" s="41"/>
      <c r="X270" s="43"/>
      <c r="Y270" s="41"/>
      <c r="Z270" s="41"/>
      <c r="AA270" s="44"/>
      <c r="AB270" s="44"/>
      <c r="AC270" s="45"/>
      <c r="AD270" s="46"/>
      <c r="AE270" s="46"/>
    </row>
    <row r="271" customFormat="false" ht="15" hidden="false" customHeight="false" outlineLevel="0" collapsed="false">
      <c r="A271" s="40"/>
      <c r="B271" s="41"/>
      <c r="C271" s="41"/>
      <c r="D271" s="42" t="str">
        <f aca="false">IF(N(B271)&gt;0,1-N(C271)/(B271*Config!$B$15),"")</f>
        <v/>
      </c>
      <c r="E271" s="43"/>
      <c r="F271" s="43"/>
      <c r="G271" s="43"/>
      <c r="H271" s="42" t="str">
        <f aca="false">IF(AND(ISNUMBER(E271),E271&gt;0),N(G271)/E271,"")</f>
        <v/>
      </c>
      <c r="I271" s="43"/>
      <c r="J271" s="43"/>
      <c r="K271" s="43"/>
      <c r="L271" s="42" t="str">
        <f aca="false">IF(AND(ISNUMBER(I271),I271&gt;0),N(K271)/I271,"")</f>
        <v/>
      </c>
      <c r="M271" s="43"/>
      <c r="N271" s="43"/>
      <c r="O271" s="43"/>
      <c r="P271" s="42" t="str">
        <f aca="false">IF(AND(ISNUMBER(M271),M271&gt;0),N(O271)/M271,"")</f>
        <v/>
      </c>
      <c r="Q271" s="43"/>
      <c r="R271" s="43"/>
      <c r="S271" s="42" t="str">
        <f aca="false">IF(AND(ISNUMBER(Q271),Q271&gt;0),N(R271)/Q271,"")</f>
        <v/>
      </c>
      <c r="T271" s="43"/>
      <c r="U271" s="43"/>
      <c r="V271" s="42" t="str">
        <f aca="false">IF(AND(ISNUMBER(T271),T271&gt;0),N(U271)/T271,"")</f>
        <v/>
      </c>
      <c r="W271" s="41"/>
      <c r="X271" s="43"/>
      <c r="Y271" s="41"/>
      <c r="Z271" s="41"/>
      <c r="AA271" s="44"/>
      <c r="AB271" s="44"/>
      <c r="AC271" s="45"/>
      <c r="AD271" s="46"/>
      <c r="AE271" s="46"/>
    </row>
    <row r="272" customFormat="false" ht="15" hidden="false" customHeight="false" outlineLevel="0" collapsed="false">
      <c r="A272" s="40"/>
      <c r="B272" s="41"/>
      <c r="C272" s="41"/>
      <c r="D272" s="42" t="str">
        <f aca="false">IF(N(B272)&gt;0,1-N(C272)/(B272*Config!$B$15),"")</f>
        <v/>
      </c>
      <c r="E272" s="43"/>
      <c r="F272" s="43"/>
      <c r="G272" s="43"/>
      <c r="H272" s="42" t="str">
        <f aca="false">IF(AND(ISNUMBER(E272),E272&gt;0),N(G272)/E272,"")</f>
        <v/>
      </c>
      <c r="I272" s="43"/>
      <c r="J272" s="43"/>
      <c r="K272" s="43"/>
      <c r="L272" s="42" t="str">
        <f aca="false">IF(AND(ISNUMBER(I272),I272&gt;0),N(K272)/I272,"")</f>
        <v/>
      </c>
      <c r="M272" s="43"/>
      <c r="N272" s="43"/>
      <c r="O272" s="43"/>
      <c r="P272" s="42" t="str">
        <f aca="false">IF(AND(ISNUMBER(M272),M272&gt;0),N(O272)/M272,"")</f>
        <v/>
      </c>
      <c r="Q272" s="43"/>
      <c r="R272" s="43"/>
      <c r="S272" s="42" t="str">
        <f aca="false">IF(AND(ISNUMBER(Q272),Q272&gt;0),N(R272)/Q272,"")</f>
        <v/>
      </c>
      <c r="T272" s="43"/>
      <c r="U272" s="43"/>
      <c r="V272" s="42" t="str">
        <f aca="false">IF(AND(ISNUMBER(T272),T272&gt;0),N(U272)/T272,"")</f>
        <v/>
      </c>
      <c r="W272" s="41"/>
      <c r="X272" s="43"/>
      <c r="Y272" s="41"/>
      <c r="Z272" s="41"/>
      <c r="AA272" s="44"/>
      <c r="AB272" s="44"/>
      <c r="AC272" s="45"/>
      <c r="AD272" s="46"/>
      <c r="AE272" s="46"/>
    </row>
    <row r="273" customFormat="false" ht="15" hidden="false" customHeight="false" outlineLevel="0" collapsed="false">
      <c r="A273" s="40"/>
      <c r="B273" s="41"/>
      <c r="C273" s="41"/>
      <c r="D273" s="42" t="str">
        <f aca="false">IF(N(B273)&gt;0,1-N(C273)/(B273*Config!$B$15),"")</f>
        <v/>
      </c>
      <c r="E273" s="43"/>
      <c r="F273" s="43"/>
      <c r="G273" s="43"/>
      <c r="H273" s="42" t="str">
        <f aca="false">IF(AND(ISNUMBER(E273),E273&gt;0),N(G273)/E273,"")</f>
        <v/>
      </c>
      <c r="I273" s="43"/>
      <c r="J273" s="43"/>
      <c r="K273" s="43"/>
      <c r="L273" s="42" t="str">
        <f aca="false">IF(AND(ISNUMBER(I273),I273&gt;0),N(K273)/I273,"")</f>
        <v/>
      </c>
      <c r="M273" s="43"/>
      <c r="N273" s="43"/>
      <c r="O273" s="43"/>
      <c r="P273" s="42" t="str">
        <f aca="false">IF(AND(ISNUMBER(M273),M273&gt;0),N(O273)/M273,"")</f>
        <v/>
      </c>
      <c r="Q273" s="43"/>
      <c r="R273" s="43"/>
      <c r="S273" s="42" t="str">
        <f aca="false">IF(AND(ISNUMBER(Q273),Q273&gt;0),N(R273)/Q273,"")</f>
        <v/>
      </c>
      <c r="T273" s="43"/>
      <c r="U273" s="43"/>
      <c r="V273" s="42" t="str">
        <f aca="false">IF(AND(ISNUMBER(T273),T273&gt;0),N(U273)/T273,"")</f>
        <v/>
      </c>
      <c r="W273" s="41"/>
      <c r="X273" s="43"/>
      <c r="Y273" s="41"/>
      <c r="Z273" s="41"/>
      <c r="AA273" s="44"/>
      <c r="AB273" s="44"/>
      <c r="AC273" s="45"/>
      <c r="AD273" s="46"/>
      <c r="AE273" s="46"/>
    </row>
    <row r="274" customFormat="false" ht="15" hidden="false" customHeight="false" outlineLevel="0" collapsed="false">
      <c r="A274" s="40"/>
      <c r="B274" s="41"/>
      <c r="C274" s="41"/>
      <c r="D274" s="42" t="str">
        <f aca="false">IF(N(B274)&gt;0,1-N(C274)/(B274*Config!$B$15),"")</f>
        <v/>
      </c>
      <c r="E274" s="43"/>
      <c r="F274" s="43"/>
      <c r="G274" s="43"/>
      <c r="H274" s="42" t="str">
        <f aca="false">IF(AND(ISNUMBER(E274),E274&gt;0),N(G274)/E274,"")</f>
        <v/>
      </c>
      <c r="I274" s="43"/>
      <c r="J274" s="43"/>
      <c r="K274" s="43"/>
      <c r="L274" s="42" t="str">
        <f aca="false">IF(AND(ISNUMBER(I274),I274&gt;0),N(K274)/I274,"")</f>
        <v/>
      </c>
      <c r="M274" s="43"/>
      <c r="N274" s="43"/>
      <c r="O274" s="43"/>
      <c r="P274" s="42" t="str">
        <f aca="false">IF(AND(ISNUMBER(M274),M274&gt;0),N(O274)/M274,"")</f>
        <v/>
      </c>
      <c r="Q274" s="43"/>
      <c r="R274" s="43"/>
      <c r="S274" s="42" t="str">
        <f aca="false">IF(AND(ISNUMBER(Q274),Q274&gt;0),N(R274)/Q274,"")</f>
        <v/>
      </c>
      <c r="T274" s="43"/>
      <c r="U274" s="43"/>
      <c r="V274" s="42" t="str">
        <f aca="false">IF(AND(ISNUMBER(T274),T274&gt;0),N(U274)/T274,"")</f>
        <v/>
      </c>
      <c r="W274" s="41"/>
      <c r="X274" s="43"/>
      <c r="Y274" s="41"/>
      <c r="Z274" s="41"/>
      <c r="AA274" s="44"/>
      <c r="AB274" s="44"/>
      <c r="AC274" s="45"/>
      <c r="AD274" s="46"/>
      <c r="AE274" s="46"/>
    </row>
    <row r="275" customFormat="false" ht="15" hidden="false" customHeight="false" outlineLevel="0" collapsed="false">
      <c r="A275" s="40"/>
      <c r="B275" s="41"/>
      <c r="C275" s="41"/>
      <c r="D275" s="42" t="str">
        <f aca="false">IF(N(B275)&gt;0,1-N(C275)/(B275*Config!$B$15),"")</f>
        <v/>
      </c>
      <c r="E275" s="43"/>
      <c r="F275" s="43"/>
      <c r="G275" s="43"/>
      <c r="H275" s="42" t="str">
        <f aca="false">IF(AND(ISNUMBER(E275),E275&gt;0),N(G275)/E275,"")</f>
        <v/>
      </c>
      <c r="I275" s="43"/>
      <c r="J275" s="43"/>
      <c r="K275" s="43"/>
      <c r="L275" s="42" t="str">
        <f aca="false">IF(AND(ISNUMBER(I275),I275&gt;0),N(K275)/I275,"")</f>
        <v/>
      </c>
      <c r="M275" s="43"/>
      <c r="N275" s="43"/>
      <c r="O275" s="43"/>
      <c r="P275" s="42" t="str">
        <f aca="false">IF(AND(ISNUMBER(M275),M275&gt;0),N(O275)/M275,"")</f>
        <v/>
      </c>
      <c r="Q275" s="43"/>
      <c r="R275" s="43"/>
      <c r="S275" s="42" t="str">
        <f aca="false">IF(AND(ISNUMBER(Q275),Q275&gt;0),N(R275)/Q275,"")</f>
        <v/>
      </c>
      <c r="T275" s="43"/>
      <c r="U275" s="43"/>
      <c r="V275" s="42" t="str">
        <f aca="false">IF(AND(ISNUMBER(T275),T275&gt;0),N(U275)/T275,"")</f>
        <v/>
      </c>
      <c r="W275" s="41"/>
      <c r="X275" s="43"/>
      <c r="Y275" s="41"/>
      <c r="Z275" s="41"/>
      <c r="AA275" s="44"/>
      <c r="AB275" s="44"/>
      <c r="AC275" s="45"/>
      <c r="AD275" s="46"/>
      <c r="AE275" s="46"/>
    </row>
    <row r="276" customFormat="false" ht="15" hidden="false" customHeight="false" outlineLevel="0" collapsed="false">
      <c r="A276" s="40"/>
      <c r="B276" s="41"/>
      <c r="C276" s="41"/>
      <c r="D276" s="42" t="str">
        <f aca="false">IF(N(B276)&gt;0,1-N(C276)/(B276*Config!$B$15),"")</f>
        <v/>
      </c>
      <c r="E276" s="43"/>
      <c r="F276" s="43"/>
      <c r="G276" s="43"/>
      <c r="H276" s="42" t="str">
        <f aca="false">IF(AND(ISNUMBER(E276),E276&gt;0),N(G276)/E276,"")</f>
        <v/>
      </c>
      <c r="I276" s="43"/>
      <c r="J276" s="43"/>
      <c r="K276" s="43"/>
      <c r="L276" s="42" t="str">
        <f aca="false">IF(AND(ISNUMBER(I276),I276&gt;0),N(K276)/I276,"")</f>
        <v/>
      </c>
      <c r="M276" s="43"/>
      <c r="N276" s="43"/>
      <c r="O276" s="43"/>
      <c r="P276" s="42" t="str">
        <f aca="false">IF(AND(ISNUMBER(M276),M276&gt;0),N(O276)/M276,"")</f>
        <v/>
      </c>
      <c r="Q276" s="43"/>
      <c r="R276" s="43"/>
      <c r="S276" s="42" t="str">
        <f aca="false">IF(AND(ISNUMBER(Q276),Q276&gt;0),N(R276)/Q276,"")</f>
        <v/>
      </c>
      <c r="T276" s="43"/>
      <c r="U276" s="43"/>
      <c r="V276" s="42" t="str">
        <f aca="false">IF(AND(ISNUMBER(T276),T276&gt;0),N(U276)/T276,"")</f>
        <v/>
      </c>
      <c r="W276" s="41"/>
      <c r="X276" s="43"/>
      <c r="Y276" s="41"/>
      <c r="Z276" s="41"/>
      <c r="AA276" s="44"/>
      <c r="AB276" s="44"/>
      <c r="AC276" s="45"/>
      <c r="AD276" s="46"/>
      <c r="AE276" s="46"/>
    </row>
    <row r="277" customFormat="false" ht="15" hidden="false" customHeight="false" outlineLevel="0" collapsed="false">
      <c r="A277" s="40"/>
      <c r="B277" s="41"/>
      <c r="C277" s="41"/>
      <c r="D277" s="42" t="str">
        <f aca="false">IF(N(B277)&gt;0,1-N(C277)/(B277*Config!$B$15),"")</f>
        <v/>
      </c>
      <c r="E277" s="43"/>
      <c r="F277" s="43"/>
      <c r="G277" s="43"/>
      <c r="H277" s="42" t="str">
        <f aca="false">IF(AND(ISNUMBER(E277),E277&gt;0),N(G277)/E277,"")</f>
        <v/>
      </c>
      <c r="I277" s="43"/>
      <c r="J277" s="43"/>
      <c r="K277" s="43"/>
      <c r="L277" s="42" t="str">
        <f aca="false">IF(AND(ISNUMBER(I277),I277&gt;0),N(K277)/I277,"")</f>
        <v/>
      </c>
      <c r="M277" s="43"/>
      <c r="N277" s="43"/>
      <c r="O277" s="43"/>
      <c r="P277" s="42" t="str">
        <f aca="false">IF(AND(ISNUMBER(M277),M277&gt;0),N(O277)/M277,"")</f>
        <v/>
      </c>
      <c r="Q277" s="43"/>
      <c r="R277" s="43"/>
      <c r="S277" s="42" t="str">
        <f aca="false">IF(AND(ISNUMBER(Q277),Q277&gt;0),N(R277)/Q277,"")</f>
        <v/>
      </c>
      <c r="T277" s="43"/>
      <c r="U277" s="43"/>
      <c r="V277" s="42" t="str">
        <f aca="false">IF(AND(ISNUMBER(T277),T277&gt;0),N(U277)/T277,"")</f>
        <v/>
      </c>
      <c r="W277" s="41"/>
      <c r="X277" s="43"/>
      <c r="Y277" s="41"/>
      <c r="Z277" s="41"/>
      <c r="AA277" s="44"/>
      <c r="AB277" s="44"/>
      <c r="AC277" s="45"/>
      <c r="AD277" s="46"/>
      <c r="AE277" s="46"/>
    </row>
    <row r="278" customFormat="false" ht="15" hidden="false" customHeight="false" outlineLevel="0" collapsed="false">
      <c r="A278" s="40"/>
      <c r="B278" s="41"/>
      <c r="C278" s="41"/>
      <c r="D278" s="42" t="str">
        <f aca="false">IF(N(B278)&gt;0,1-N(C278)/(B278*Config!$B$15),"")</f>
        <v/>
      </c>
      <c r="E278" s="43"/>
      <c r="F278" s="43"/>
      <c r="G278" s="43"/>
      <c r="H278" s="42" t="str">
        <f aca="false">IF(AND(ISNUMBER(E278),E278&gt;0),N(G278)/E278,"")</f>
        <v/>
      </c>
      <c r="I278" s="43"/>
      <c r="J278" s="43"/>
      <c r="K278" s="43"/>
      <c r="L278" s="42" t="str">
        <f aca="false">IF(AND(ISNUMBER(I278),I278&gt;0),N(K278)/I278,"")</f>
        <v/>
      </c>
      <c r="M278" s="43"/>
      <c r="N278" s="43"/>
      <c r="O278" s="43"/>
      <c r="P278" s="42" t="str">
        <f aca="false">IF(AND(ISNUMBER(M278),M278&gt;0),N(O278)/M278,"")</f>
        <v/>
      </c>
      <c r="Q278" s="43"/>
      <c r="R278" s="43"/>
      <c r="S278" s="42" t="str">
        <f aca="false">IF(AND(ISNUMBER(Q278),Q278&gt;0),N(R278)/Q278,"")</f>
        <v/>
      </c>
      <c r="T278" s="43"/>
      <c r="U278" s="43"/>
      <c r="V278" s="42" t="str">
        <f aca="false">IF(AND(ISNUMBER(T278),T278&gt;0),N(U278)/T278,"")</f>
        <v/>
      </c>
      <c r="W278" s="41"/>
      <c r="X278" s="43"/>
      <c r="Y278" s="41"/>
      <c r="Z278" s="41"/>
      <c r="AA278" s="44"/>
      <c r="AB278" s="44"/>
      <c r="AC278" s="45"/>
      <c r="AD278" s="46"/>
      <c r="AE278" s="46"/>
    </row>
    <row r="279" customFormat="false" ht="15" hidden="false" customHeight="false" outlineLevel="0" collapsed="false">
      <c r="A279" s="40"/>
      <c r="B279" s="41"/>
      <c r="C279" s="41"/>
      <c r="D279" s="42" t="str">
        <f aca="false">IF(N(B279)&gt;0,1-N(C279)/(B279*Config!$B$15),"")</f>
        <v/>
      </c>
      <c r="E279" s="43"/>
      <c r="F279" s="43"/>
      <c r="G279" s="43"/>
      <c r="H279" s="42" t="str">
        <f aca="false">IF(AND(ISNUMBER(E279),E279&gt;0),N(G279)/E279,"")</f>
        <v/>
      </c>
      <c r="I279" s="43"/>
      <c r="J279" s="43"/>
      <c r="K279" s="43"/>
      <c r="L279" s="42" t="str">
        <f aca="false">IF(AND(ISNUMBER(I279),I279&gt;0),N(K279)/I279,"")</f>
        <v/>
      </c>
      <c r="M279" s="43"/>
      <c r="N279" s="43"/>
      <c r="O279" s="43"/>
      <c r="P279" s="42" t="str">
        <f aca="false">IF(AND(ISNUMBER(M279),M279&gt;0),N(O279)/M279,"")</f>
        <v/>
      </c>
      <c r="Q279" s="43"/>
      <c r="R279" s="43"/>
      <c r="S279" s="42" t="str">
        <f aca="false">IF(AND(ISNUMBER(Q279),Q279&gt;0),N(R279)/Q279,"")</f>
        <v/>
      </c>
      <c r="T279" s="43"/>
      <c r="U279" s="43"/>
      <c r="V279" s="42" t="str">
        <f aca="false">IF(AND(ISNUMBER(T279),T279&gt;0),N(U279)/T279,"")</f>
        <v/>
      </c>
      <c r="W279" s="41"/>
      <c r="X279" s="43"/>
      <c r="Y279" s="41"/>
      <c r="Z279" s="41"/>
      <c r="AA279" s="44"/>
      <c r="AB279" s="44"/>
      <c r="AC279" s="45"/>
      <c r="AD279" s="46"/>
      <c r="AE279" s="46"/>
    </row>
    <row r="280" customFormat="false" ht="15" hidden="false" customHeight="false" outlineLevel="0" collapsed="false">
      <c r="A280" s="40"/>
      <c r="B280" s="41"/>
      <c r="C280" s="41"/>
      <c r="D280" s="42" t="str">
        <f aca="false">IF(N(B280)&gt;0,1-N(C280)/(B280*Config!$B$15),"")</f>
        <v/>
      </c>
      <c r="E280" s="43"/>
      <c r="F280" s="43"/>
      <c r="G280" s="43"/>
      <c r="H280" s="42" t="str">
        <f aca="false">IF(AND(ISNUMBER(E280),E280&gt;0),N(G280)/E280,"")</f>
        <v/>
      </c>
      <c r="I280" s="43"/>
      <c r="J280" s="43"/>
      <c r="K280" s="43"/>
      <c r="L280" s="42" t="str">
        <f aca="false">IF(AND(ISNUMBER(I280),I280&gt;0),N(K280)/I280,"")</f>
        <v/>
      </c>
      <c r="M280" s="43"/>
      <c r="N280" s="43"/>
      <c r="O280" s="43"/>
      <c r="P280" s="42" t="str">
        <f aca="false">IF(AND(ISNUMBER(M280),M280&gt;0),N(O280)/M280,"")</f>
        <v/>
      </c>
      <c r="Q280" s="43"/>
      <c r="R280" s="43"/>
      <c r="S280" s="42" t="str">
        <f aca="false">IF(AND(ISNUMBER(Q280),Q280&gt;0),N(R280)/Q280,"")</f>
        <v/>
      </c>
      <c r="T280" s="43"/>
      <c r="U280" s="43"/>
      <c r="V280" s="42" t="str">
        <f aca="false">IF(AND(ISNUMBER(T280),T280&gt;0),N(U280)/T280,"")</f>
        <v/>
      </c>
      <c r="W280" s="41"/>
      <c r="X280" s="43"/>
      <c r="Y280" s="41"/>
      <c r="Z280" s="41"/>
      <c r="AA280" s="44"/>
      <c r="AB280" s="44"/>
      <c r="AC280" s="45"/>
      <c r="AD280" s="46"/>
      <c r="AE280" s="46"/>
    </row>
    <row r="281" customFormat="false" ht="15" hidden="false" customHeight="false" outlineLevel="0" collapsed="false">
      <c r="A281" s="40"/>
      <c r="B281" s="41"/>
      <c r="C281" s="41"/>
      <c r="D281" s="42" t="str">
        <f aca="false">IF(N(B281)&gt;0,1-N(C281)/(B281*Config!$B$15),"")</f>
        <v/>
      </c>
      <c r="E281" s="43"/>
      <c r="F281" s="43"/>
      <c r="G281" s="43"/>
      <c r="H281" s="42" t="str">
        <f aca="false">IF(AND(ISNUMBER(E281),E281&gt;0),N(G281)/E281,"")</f>
        <v/>
      </c>
      <c r="I281" s="43"/>
      <c r="J281" s="43"/>
      <c r="K281" s="43"/>
      <c r="L281" s="42" t="str">
        <f aca="false">IF(AND(ISNUMBER(I281),I281&gt;0),N(K281)/I281,"")</f>
        <v/>
      </c>
      <c r="M281" s="43"/>
      <c r="N281" s="43"/>
      <c r="O281" s="43"/>
      <c r="P281" s="42" t="str">
        <f aca="false">IF(AND(ISNUMBER(M281),M281&gt;0),N(O281)/M281,"")</f>
        <v/>
      </c>
      <c r="Q281" s="43"/>
      <c r="R281" s="43"/>
      <c r="S281" s="42" t="str">
        <f aca="false">IF(AND(ISNUMBER(Q281),Q281&gt;0),N(R281)/Q281,"")</f>
        <v/>
      </c>
      <c r="T281" s="43"/>
      <c r="U281" s="43"/>
      <c r="V281" s="42" t="str">
        <f aca="false">IF(AND(ISNUMBER(T281),T281&gt;0),N(U281)/T281,"")</f>
        <v/>
      </c>
      <c r="W281" s="41"/>
      <c r="X281" s="43"/>
      <c r="Y281" s="41"/>
      <c r="Z281" s="41"/>
      <c r="AA281" s="44"/>
      <c r="AB281" s="44"/>
      <c r="AC281" s="45"/>
      <c r="AD281" s="46"/>
      <c r="AE281" s="46"/>
    </row>
    <row r="282" customFormat="false" ht="15" hidden="false" customHeight="false" outlineLevel="0" collapsed="false">
      <c r="A282" s="40"/>
      <c r="B282" s="41"/>
      <c r="C282" s="41"/>
      <c r="D282" s="42" t="str">
        <f aca="false">IF(N(B282)&gt;0,1-N(C282)/(B282*Config!$B$15),"")</f>
        <v/>
      </c>
      <c r="E282" s="43"/>
      <c r="F282" s="43"/>
      <c r="G282" s="43"/>
      <c r="H282" s="42" t="str">
        <f aca="false">IF(AND(ISNUMBER(E282),E282&gt;0),N(G282)/E282,"")</f>
        <v/>
      </c>
      <c r="I282" s="43"/>
      <c r="J282" s="43"/>
      <c r="K282" s="43"/>
      <c r="L282" s="42" t="str">
        <f aca="false">IF(AND(ISNUMBER(I282),I282&gt;0),N(K282)/I282,"")</f>
        <v/>
      </c>
      <c r="M282" s="43"/>
      <c r="N282" s="43"/>
      <c r="O282" s="43"/>
      <c r="P282" s="42" t="str">
        <f aca="false">IF(AND(ISNUMBER(M282),M282&gt;0),N(O282)/M282,"")</f>
        <v/>
      </c>
      <c r="Q282" s="43"/>
      <c r="R282" s="43"/>
      <c r="S282" s="42" t="str">
        <f aca="false">IF(AND(ISNUMBER(Q282),Q282&gt;0),N(R282)/Q282,"")</f>
        <v/>
      </c>
      <c r="T282" s="43"/>
      <c r="U282" s="43"/>
      <c r="V282" s="42" t="str">
        <f aca="false">IF(AND(ISNUMBER(T282),T282&gt;0),N(U282)/T282,"")</f>
        <v/>
      </c>
      <c r="W282" s="41"/>
      <c r="X282" s="43"/>
      <c r="Y282" s="41"/>
      <c r="Z282" s="41"/>
      <c r="AA282" s="44"/>
      <c r="AB282" s="44"/>
      <c r="AC282" s="45"/>
      <c r="AD282" s="46"/>
      <c r="AE282" s="46"/>
    </row>
    <row r="283" customFormat="false" ht="15" hidden="false" customHeight="false" outlineLevel="0" collapsed="false">
      <c r="A283" s="40"/>
      <c r="B283" s="41"/>
      <c r="C283" s="41"/>
      <c r="D283" s="42" t="str">
        <f aca="false">IF(N(B283)&gt;0,1-N(C283)/(B283*Config!$B$15),"")</f>
        <v/>
      </c>
      <c r="E283" s="43"/>
      <c r="F283" s="43"/>
      <c r="G283" s="43"/>
      <c r="H283" s="42" t="str">
        <f aca="false">IF(AND(ISNUMBER(E283),E283&gt;0),N(G283)/E283,"")</f>
        <v/>
      </c>
      <c r="I283" s="43"/>
      <c r="J283" s="43"/>
      <c r="K283" s="43"/>
      <c r="L283" s="42" t="str">
        <f aca="false">IF(AND(ISNUMBER(I283),I283&gt;0),N(K283)/I283,"")</f>
        <v/>
      </c>
      <c r="M283" s="43"/>
      <c r="N283" s="43"/>
      <c r="O283" s="43"/>
      <c r="P283" s="42" t="str">
        <f aca="false">IF(AND(ISNUMBER(M283),M283&gt;0),N(O283)/M283,"")</f>
        <v/>
      </c>
      <c r="Q283" s="43"/>
      <c r="R283" s="43"/>
      <c r="S283" s="42" t="str">
        <f aca="false">IF(AND(ISNUMBER(Q283),Q283&gt;0),N(R283)/Q283,"")</f>
        <v/>
      </c>
      <c r="T283" s="43"/>
      <c r="U283" s="43"/>
      <c r="V283" s="42" t="str">
        <f aca="false">IF(AND(ISNUMBER(T283),T283&gt;0),N(U283)/T283,"")</f>
        <v/>
      </c>
      <c r="W283" s="41"/>
      <c r="X283" s="43"/>
      <c r="Y283" s="41"/>
      <c r="Z283" s="41"/>
      <c r="AA283" s="44"/>
      <c r="AB283" s="44"/>
      <c r="AC283" s="45"/>
      <c r="AD283" s="46"/>
      <c r="AE283" s="46"/>
    </row>
    <row r="284" customFormat="false" ht="15" hidden="false" customHeight="false" outlineLevel="0" collapsed="false">
      <c r="A284" s="40"/>
      <c r="B284" s="41"/>
      <c r="C284" s="41"/>
      <c r="D284" s="42" t="str">
        <f aca="false">IF(N(B284)&gt;0,1-N(C284)/(B284*Config!$B$15),"")</f>
        <v/>
      </c>
      <c r="E284" s="43"/>
      <c r="F284" s="43"/>
      <c r="G284" s="43"/>
      <c r="H284" s="42" t="str">
        <f aca="false">IF(AND(ISNUMBER(E284),E284&gt;0),N(G284)/E284,"")</f>
        <v/>
      </c>
      <c r="I284" s="43"/>
      <c r="J284" s="43"/>
      <c r="K284" s="43"/>
      <c r="L284" s="42" t="str">
        <f aca="false">IF(AND(ISNUMBER(I284),I284&gt;0),N(K284)/I284,"")</f>
        <v/>
      </c>
      <c r="M284" s="43"/>
      <c r="N284" s="43"/>
      <c r="O284" s="43"/>
      <c r="P284" s="42" t="str">
        <f aca="false">IF(AND(ISNUMBER(M284),M284&gt;0),N(O284)/M284,"")</f>
        <v/>
      </c>
      <c r="Q284" s="43"/>
      <c r="R284" s="43"/>
      <c r="S284" s="42" t="str">
        <f aca="false">IF(AND(ISNUMBER(Q284),Q284&gt;0),N(R284)/Q284,"")</f>
        <v/>
      </c>
      <c r="T284" s="43"/>
      <c r="U284" s="43"/>
      <c r="V284" s="42" t="str">
        <f aca="false">IF(AND(ISNUMBER(T284),T284&gt;0),N(U284)/T284,"")</f>
        <v/>
      </c>
      <c r="W284" s="41"/>
      <c r="X284" s="43"/>
      <c r="Y284" s="41"/>
      <c r="Z284" s="41"/>
      <c r="AA284" s="44"/>
      <c r="AB284" s="44"/>
      <c r="AC284" s="45"/>
      <c r="AD284" s="46"/>
      <c r="AE284" s="46"/>
    </row>
    <row r="285" customFormat="false" ht="15" hidden="false" customHeight="false" outlineLevel="0" collapsed="false">
      <c r="A285" s="40"/>
      <c r="B285" s="41"/>
      <c r="C285" s="41"/>
      <c r="D285" s="42" t="str">
        <f aca="false">IF(N(B285)&gt;0,1-N(C285)/(B285*Config!$B$15),"")</f>
        <v/>
      </c>
      <c r="E285" s="43"/>
      <c r="F285" s="43"/>
      <c r="G285" s="43"/>
      <c r="H285" s="42" t="str">
        <f aca="false">IF(AND(ISNUMBER(E285),E285&gt;0),N(G285)/E285,"")</f>
        <v/>
      </c>
      <c r="I285" s="43"/>
      <c r="J285" s="43"/>
      <c r="K285" s="43"/>
      <c r="L285" s="42" t="str">
        <f aca="false">IF(AND(ISNUMBER(I285),I285&gt;0),N(K285)/I285,"")</f>
        <v/>
      </c>
      <c r="M285" s="43"/>
      <c r="N285" s="43"/>
      <c r="O285" s="43"/>
      <c r="P285" s="42" t="str">
        <f aca="false">IF(AND(ISNUMBER(M285),M285&gt;0),N(O285)/M285,"")</f>
        <v/>
      </c>
      <c r="Q285" s="43"/>
      <c r="R285" s="43"/>
      <c r="S285" s="42" t="str">
        <f aca="false">IF(AND(ISNUMBER(Q285),Q285&gt;0),N(R285)/Q285,"")</f>
        <v/>
      </c>
      <c r="T285" s="43"/>
      <c r="U285" s="43"/>
      <c r="V285" s="42" t="str">
        <f aca="false">IF(AND(ISNUMBER(T285),T285&gt;0),N(U285)/T285,"")</f>
        <v/>
      </c>
      <c r="W285" s="41"/>
      <c r="X285" s="43"/>
      <c r="Y285" s="41"/>
      <c r="Z285" s="41"/>
      <c r="AA285" s="44"/>
      <c r="AB285" s="44"/>
      <c r="AC285" s="45"/>
      <c r="AD285" s="46"/>
      <c r="AE285" s="46"/>
    </row>
    <row r="286" customFormat="false" ht="15" hidden="false" customHeight="false" outlineLevel="0" collapsed="false">
      <c r="A286" s="40"/>
      <c r="B286" s="41"/>
      <c r="C286" s="41"/>
      <c r="D286" s="42" t="str">
        <f aca="false">IF(N(B286)&gt;0,1-N(C286)/(B286*Config!$B$15),"")</f>
        <v/>
      </c>
      <c r="E286" s="43"/>
      <c r="F286" s="43"/>
      <c r="G286" s="43"/>
      <c r="H286" s="42" t="str">
        <f aca="false">IF(AND(ISNUMBER(E286),E286&gt;0),N(G286)/E286,"")</f>
        <v/>
      </c>
      <c r="I286" s="43"/>
      <c r="J286" s="43"/>
      <c r="K286" s="43"/>
      <c r="L286" s="42" t="str">
        <f aca="false">IF(AND(ISNUMBER(I286),I286&gt;0),N(K286)/I286,"")</f>
        <v/>
      </c>
      <c r="M286" s="43"/>
      <c r="N286" s="43"/>
      <c r="O286" s="43"/>
      <c r="P286" s="42" t="str">
        <f aca="false">IF(AND(ISNUMBER(M286),M286&gt;0),N(O286)/M286,"")</f>
        <v/>
      </c>
      <c r="Q286" s="43"/>
      <c r="R286" s="43"/>
      <c r="S286" s="42" t="str">
        <f aca="false">IF(AND(ISNUMBER(Q286),Q286&gt;0),N(R286)/Q286,"")</f>
        <v/>
      </c>
      <c r="T286" s="43"/>
      <c r="U286" s="43"/>
      <c r="V286" s="42" t="str">
        <f aca="false">IF(AND(ISNUMBER(T286),T286&gt;0),N(U286)/T286,"")</f>
        <v/>
      </c>
      <c r="W286" s="41"/>
      <c r="X286" s="43"/>
      <c r="Y286" s="41"/>
      <c r="Z286" s="41"/>
      <c r="AA286" s="44"/>
      <c r="AB286" s="44"/>
      <c r="AC286" s="45"/>
      <c r="AD286" s="46"/>
      <c r="AE286" s="46"/>
    </row>
    <row r="287" customFormat="false" ht="15" hidden="false" customHeight="false" outlineLevel="0" collapsed="false">
      <c r="A287" s="40"/>
      <c r="B287" s="41"/>
      <c r="C287" s="41"/>
      <c r="D287" s="42" t="str">
        <f aca="false">IF(N(B287)&gt;0,1-N(C287)/(B287*Config!$B$15),"")</f>
        <v/>
      </c>
      <c r="E287" s="43"/>
      <c r="F287" s="43"/>
      <c r="G287" s="43"/>
      <c r="H287" s="42" t="str">
        <f aca="false">IF(AND(ISNUMBER(E287),E287&gt;0),N(G287)/E287,"")</f>
        <v/>
      </c>
      <c r="I287" s="43"/>
      <c r="J287" s="43"/>
      <c r="K287" s="43"/>
      <c r="L287" s="42" t="str">
        <f aca="false">IF(AND(ISNUMBER(I287),I287&gt;0),N(K287)/I287,"")</f>
        <v/>
      </c>
      <c r="M287" s="43"/>
      <c r="N287" s="43"/>
      <c r="O287" s="43"/>
      <c r="P287" s="42" t="str">
        <f aca="false">IF(AND(ISNUMBER(M287),M287&gt;0),N(O287)/M287,"")</f>
        <v/>
      </c>
      <c r="Q287" s="43"/>
      <c r="R287" s="43"/>
      <c r="S287" s="42" t="str">
        <f aca="false">IF(AND(ISNUMBER(Q287),Q287&gt;0),N(R287)/Q287,"")</f>
        <v/>
      </c>
      <c r="T287" s="43"/>
      <c r="U287" s="43"/>
      <c r="V287" s="42" t="str">
        <f aca="false">IF(AND(ISNUMBER(T287),T287&gt;0),N(U287)/T287,"")</f>
        <v/>
      </c>
      <c r="W287" s="41"/>
      <c r="X287" s="43"/>
      <c r="Y287" s="41"/>
      <c r="Z287" s="41"/>
      <c r="AA287" s="44"/>
      <c r="AB287" s="44"/>
      <c r="AC287" s="45"/>
      <c r="AD287" s="46"/>
      <c r="AE287" s="46"/>
    </row>
    <row r="288" customFormat="false" ht="15" hidden="false" customHeight="false" outlineLevel="0" collapsed="false">
      <c r="A288" s="40"/>
      <c r="B288" s="41"/>
      <c r="C288" s="41"/>
      <c r="D288" s="42" t="str">
        <f aca="false">IF(N(B288)&gt;0,1-N(C288)/(B288*Config!$B$15),"")</f>
        <v/>
      </c>
      <c r="E288" s="43"/>
      <c r="F288" s="43"/>
      <c r="G288" s="43"/>
      <c r="H288" s="42" t="str">
        <f aca="false">IF(AND(ISNUMBER(E288),E288&gt;0),N(G288)/E288,"")</f>
        <v/>
      </c>
      <c r="I288" s="43"/>
      <c r="J288" s="43"/>
      <c r="K288" s="43"/>
      <c r="L288" s="42" t="str">
        <f aca="false">IF(AND(ISNUMBER(I288),I288&gt;0),N(K288)/I288,"")</f>
        <v/>
      </c>
      <c r="M288" s="43"/>
      <c r="N288" s="43"/>
      <c r="O288" s="43"/>
      <c r="P288" s="42" t="str">
        <f aca="false">IF(AND(ISNUMBER(M288),M288&gt;0),N(O288)/M288,"")</f>
        <v/>
      </c>
      <c r="Q288" s="43"/>
      <c r="R288" s="43"/>
      <c r="S288" s="42" t="str">
        <f aca="false">IF(AND(ISNUMBER(Q288),Q288&gt;0),N(R288)/Q288,"")</f>
        <v/>
      </c>
      <c r="T288" s="43"/>
      <c r="U288" s="43"/>
      <c r="V288" s="42" t="str">
        <f aca="false">IF(AND(ISNUMBER(T288),T288&gt;0),N(U288)/T288,"")</f>
        <v/>
      </c>
      <c r="W288" s="41"/>
      <c r="X288" s="43"/>
      <c r="Y288" s="41"/>
      <c r="Z288" s="41"/>
      <c r="AA288" s="44"/>
      <c r="AB288" s="44"/>
      <c r="AC288" s="45"/>
      <c r="AD288" s="46"/>
      <c r="AE288" s="46"/>
    </row>
    <row r="289" customFormat="false" ht="15" hidden="false" customHeight="false" outlineLevel="0" collapsed="false">
      <c r="A289" s="40"/>
      <c r="B289" s="41"/>
      <c r="C289" s="41"/>
      <c r="D289" s="42" t="str">
        <f aca="false">IF(N(B289)&gt;0,1-N(C289)/(B289*Config!$B$15),"")</f>
        <v/>
      </c>
      <c r="E289" s="43"/>
      <c r="F289" s="43"/>
      <c r="G289" s="43"/>
      <c r="H289" s="42" t="str">
        <f aca="false">IF(AND(ISNUMBER(E289),E289&gt;0),N(G289)/E289,"")</f>
        <v/>
      </c>
      <c r="I289" s="43"/>
      <c r="J289" s="43"/>
      <c r="K289" s="43"/>
      <c r="L289" s="42" t="str">
        <f aca="false">IF(AND(ISNUMBER(I289),I289&gt;0),N(K289)/I289,"")</f>
        <v/>
      </c>
      <c r="M289" s="43"/>
      <c r="N289" s="43"/>
      <c r="O289" s="43"/>
      <c r="P289" s="42" t="str">
        <f aca="false">IF(AND(ISNUMBER(M289),M289&gt;0),N(O289)/M289,"")</f>
        <v/>
      </c>
      <c r="Q289" s="43"/>
      <c r="R289" s="43"/>
      <c r="S289" s="42" t="str">
        <f aca="false">IF(AND(ISNUMBER(Q289),Q289&gt;0),N(R289)/Q289,"")</f>
        <v/>
      </c>
      <c r="T289" s="43"/>
      <c r="U289" s="43"/>
      <c r="V289" s="42" t="str">
        <f aca="false">IF(AND(ISNUMBER(T289),T289&gt;0),N(U289)/T289,"")</f>
        <v/>
      </c>
      <c r="W289" s="41"/>
      <c r="X289" s="43"/>
      <c r="Y289" s="41"/>
      <c r="Z289" s="41"/>
      <c r="AA289" s="44"/>
      <c r="AB289" s="44"/>
      <c r="AC289" s="45"/>
      <c r="AD289" s="46"/>
      <c r="AE289" s="46"/>
    </row>
    <row r="290" customFormat="false" ht="15" hidden="false" customHeight="false" outlineLevel="0" collapsed="false">
      <c r="A290" s="40"/>
      <c r="B290" s="41"/>
      <c r="C290" s="41"/>
      <c r="D290" s="42" t="str">
        <f aca="false">IF(N(B290)&gt;0,1-N(C290)/(B290*Config!$B$15),"")</f>
        <v/>
      </c>
      <c r="E290" s="43"/>
      <c r="F290" s="43"/>
      <c r="G290" s="43"/>
      <c r="H290" s="42" t="str">
        <f aca="false">IF(AND(ISNUMBER(E290),E290&gt;0),N(G290)/E290,"")</f>
        <v/>
      </c>
      <c r="I290" s="43"/>
      <c r="J290" s="43"/>
      <c r="K290" s="43"/>
      <c r="L290" s="42" t="str">
        <f aca="false">IF(AND(ISNUMBER(I290),I290&gt;0),N(K290)/I290,"")</f>
        <v/>
      </c>
      <c r="M290" s="43"/>
      <c r="N290" s="43"/>
      <c r="O290" s="43"/>
      <c r="P290" s="42" t="str">
        <f aca="false">IF(AND(ISNUMBER(M290),M290&gt;0),N(O290)/M290,"")</f>
        <v/>
      </c>
      <c r="Q290" s="43"/>
      <c r="R290" s="43"/>
      <c r="S290" s="42" t="str">
        <f aca="false">IF(AND(ISNUMBER(Q290),Q290&gt;0),N(R290)/Q290,"")</f>
        <v/>
      </c>
      <c r="T290" s="43"/>
      <c r="U290" s="43"/>
      <c r="V290" s="42" t="str">
        <f aca="false">IF(AND(ISNUMBER(T290),T290&gt;0),N(U290)/T290,"")</f>
        <v/>
      </c>
      <c r="W290" s="41"/>
      <c r="X290" s="43"/>
      <c r="Y290" s="41"/>
      <c r="Z290" s="41"/>
      <c r="AA290" s="44"/>
      <c r="AB290" s="44"/>
      <c r="AC290" s="45"/>
      <c r="AD290" s="46"/>
      <c r="AE290" s="46"/>
    </row>
    <row r="291" customFormat="false" ht="15" hidden="false" customHeight="false" outlineLevel="0" collapsed="false">
      <c r="A291" s="40"/>
      <c r="B291" s="41"/>
      <c r="C291" s="41"/>
      <c r="D291" s="42" t="str">
        <f aca="false">IF(N(B291)&gt;0,1-N(C291)/(B291*Config!$B$15),"")</f>
        <v/>
      </c>
      <c r="E291" s="43"/>
      <c r="F291" s="43"/>
      <c r="G291" s="43"/>
      <c r="H291" s="42" t="str">
        <f aca="false">IF(AND(ISNUMBER(E291),E291&gt;0),N(G291)/E291,"")</f>
        <v/>
      </c>
      <c r="I291" s="43"/>
      <c r="J291" s="43"/>
      <c r="K291" s="43"/>
      <c r="L291" s="42" t="str">
        <f aca="false">IF(AND(ISNUMBER(I291),I291&gt;0),N(K291)/I291,"")</f>
        <v/>
      </c>
      <c r="M291" s="43"/>
      <c r="N291" s="43"/>
      <c r="O291" s="43"/>
      <c r="P291" s="42" t="str">
        <f aca="false">IF(AND(ISNUMBER(M291),M291&gt;0),N(O291)/M291,"")</f>
        <v/>
      </c>
      <c r="Q291" s="43"/>
      <c r="R291" s="43"/>
      <c r="S291" s="42" t="str">
        <f aca="false">IF(AND(ISNUMBER(Q291),Q291&gt;0),N(R291)/Q291,"")</f>
        <v/>
      </c>
      <c r="T291" s="43"/>
      <c r="U291" s="43"/>
      <c r="V291" s="42" t="str">
        <f aca="false">IF(AND(ISNUMBER(T291),T291&gt;0),N(U291)/T291,"")</f>
        <v/>
      </c>
      <c r="W291" s="41"/>
      <c r="X291" s="43"/>
      <c r="Y291" s="41"/>
      <c r="Z291" s="41"/>
      <c r="AA291" s="44"/>
      <c r="AB291" s="44"/>
      <c r="AC291" s="45"/>
      <c r="AD291" s="46"/>
      <c r="AE291" s="46"/>
    </row>
    <row r="292" customFormat="false" ht="15" hidden="false" customHeight="false" outlineLevel="0" collapsed="false">
      <c r="A292" s="40"/>
      <c r="B292" s="41"/>
      <c r="C292" s="41"/>
      <c r="D292" s="42" t="str">
        <f aca="false">IF(N(B292)&gt;0,1-N(C292)/(B292*Config!$B$15),"")</f>
        <v/>
      </c>
      <c r="E292" s="43"/>
      <c r="F292" s="43"/>
      <c r="G292" s="43"/>
      <c r="H292" s="42" t="str">
        <f aca="false">IF(AND(ISNUMBER(E292),E292&gt;0),N(G292)/E292,"")</f>
        <v/>
      </c>
      <c r="I292" s="43"/>
      <c r="J292" s="43"/>
      <c r="K292" s="43"/>
      <c r="L292" s="42" t="str">
        <f aca="false">IF(AND(ISNUMBER(I292),I292&gt;0),N(K292)/I292,"")</f>
        <v/>
      </c>
      <c r="M292" s="43"/>
      <c r="N292" s="43"/>
      <c r="O292" s="43"/>
      <c r="P292" s="42" t="str">
        <f aca="false">IF(AND(ISNUMBER(M292),M292&gt;0),N(O292)/M292,"")</f>
        <v/>
      </c>
      <c r="Q292" s="43"/>
      <c r="R292" s="43"/>
      <c r="S292" s="42" t="str">
        <f aca="false">IF(AND(ISNUMBER(Q292),Q292&gt;0),N(R292)/Q292,"")</f>
        <v/>
      </c>
      <c r="T292" s="43"/>
      <c r="U292" s="43"/>
      <c r="V292" s="42" t="str">
        <f aca="false">IF(AND(ISNUMBER(T292),T292&gt;0),N(U292)/T292,"")</f>
        <v/>
      </c>
      <c r="W292" s="41"/>
      <c r="X292" s="43"/>
      <c r="Y292" s="41"/>
      <c r="Z292" s="41"/>
      <c r="AA292" s="44"/>
      <c r="AB292" s="44"/>
      <c r="AC292" s="45"/>
      <c r="AD292" s="46"/>
      <c r="AE292" s="46"/>
    </row>
    <row r="293" customFormat="false" ht="15" hidden="false" customHeight="false" outlineLevel="0" collapsed="false">
      <c r="A293" s="40"/>
      <c r="B293" s="41"/>
      <c r="C293" s="41"/>
      <c r="D293" s="42" t="str">
        <f aca="false">IF(N(B293)&gt;0,1-N(C293)/(B293*Config!$B$15),"")</f>
        <v/>
      </c>
      <c r="E293" s="43"/>
      <c r="F293" s="43"/>
      <c r="G293" s="43"/>
      <c r="H293" s="42" t="str">
        <f aca="false">IF(AND(ISNUMBER(E293),E293&gt;0),N(G293)/E293,"")</f>
        <v/>
      </c>
      <c r="I293" s="43"/>
      <c r="J293" s="43"/>
      <c r="K293" s="43"/>
      <c r="L293" s="42" t="str">
        <f aca="false">IF(AND(ISNUMBER(I293),I293&gt;0),N(K293)/I293,"")</f>
        <v/>
      </c>
      <c r="M293" s="43"/>
      <c r="N293" s="43"/>
      <c r="O293" s="43"/>
      <c r="P293" s="42" t="str">
        <f aca="false">IF(AND(ISNUMBER(M293),M293&gt;0),N(O293)/M293,"")</f>
        <v/>
      </c>
      <c r="Q293" s="43"/>
      <c r="R293" s="43"/>
      <c r="S293" s="42" t="str">
        <f aca="false">IF(AND(ISNUMBER(Q293),Q293&gt;0),N(R293)/Q293,"")</f>
        <v/>
      </c>
      <c r="T293" s="43"/>
      <c r="U293" s="43"/>
      <c r="V293" s="42" t="str">
        <f aca="false">IF(AND(ISNUMBER(T293),T293&gt;0),N(U293)/T293,"")</f>
        <v/>
      </c>
      <c r="W293" s="41"/>
      <c r="X293" s="43"/>
      <c r="Y293" s="41"/>
      <c r="Z293" s="41"/>
      <c r="AA293" s="44"/>
      <c r="AB293" s="44"/>
      <c r="AC293" s="45"/>
      <c r="AD293" s="46"/>
      <c r="AE293" s="46"/>
    </row>
    <row r="294" customFormat="false" ht="15" hidden="false" customHeight="false" outlineLevel="0" collapsed="false">
      <c r="A294" s="40"/>
      <c r="B294" s="41"/>
      <c r="C294" s="41"/>
      <c r="D294" s="42" t="str">
        <f aca="false">IF(N(B294)&gt;0,1-N(C294)/(B294*Config!$B$15),"")</f>
        <v/>
      </c>
      <c r="E294" s="43"/>
      <c r="F294" s="43"/>
      <c r="G294" s="43"/>
      <c r="H294" s="42" t="str">
        <f aca="false">IF(AND(ISNUMBER(E294),E294&gt;0),N(G294)/E294,"")</f>
        <v/>
      </c>
      <c r="I294" s="43"/>
      <c r="J294" s="43"/>
      <c r="K294" s="43"/>
      <c r="L294" s="42" t="str">
        <f aca="false">IF(AND(ISNUMBER(I294),I294&gt;0),N(K294)/I294,"")</f>
        <v/>
      </c>
      <c r="M294" s="43"/>
      <c r="N294" s="43"/>
      <c r="O294" s="43"/>
      <c r="P294" s="42" t="str">
        <f aca="false">IF(AND(ISNUMBER(M294),M294&gt;0),N(O294)/M294,"")</f>
        <v/>
      </c>
      <c r="Q294" s="43"/>
      <c r="R294" s="43"/>
      <c r="S294" s="42" t="str">
        <f aca="false">IF(AND(ISNUMBER(Q294),Q294&gt;0),N(R294)/Q294,"")</f>
        <v/>
      </c>
      <c r="T294" s="43"/>
      <c r="U294" s="43"/>
      <c r="V294" s="42" t="str">
        <f aca="false">IF(AND(ISNUMBER(T294),T294&gt;0),N(U294)/T294,"")</f>
        <v/>
      </c>
      <c r="W294" s="41"/>
      <c r="X294" s="43"/>
      <c r="Y294" s="41"/>
      <c r="Z294" s="41"/>
      <c r="AA294" s="44"/>
      <c r="AB294" s="44"/>
      <c r="AC294" s="45"/>
      <c r="AD294" s="46"/>
      <c r="AE294" s="46"/>
    </row>
    <row r="295" customFormat="false" ht="15" hidden="false" customHeight="false" outlineLevel="0" collapsed="false">
      <c r="A295" s="40"/>
      <c r="B295" s="41"/>
      <c r="C295" s="41"/>
      <c r="D295" s="42" t="str">
        <f aca="false">IF(N(B295)&gt;0,1-N(C295)/(B295*Config!$B$15),"")</f>
        <v/>
      </c>
      <c r="E295" s="43"/>
      <c r="F295" s="43"/>
      <c r="G295" s="43"/>
      <c r="H295" s="42" t="str">
        <f aca="false">IF(AND(ISNUMBER(E295),E295&gt;0),N(G295)/E295,"")</f>
        <v/>
      </c>
      <c r="I295" s="43"/>
      <c r="J295" s="43"/>
      <c r="K295" s="43"/>
      <c r="L295" s="42" t="str">
        <f aca="false">IF(AND(ISNUMBER(I295),I295&gt;0),N(K295)/I295,"")</f>
        <v/>
      </c>
      <c r="M295" s="43"/>
      <c r="N295" s="43"/>
      <c r="O295" s="43"/>
      <c r="P295" s="42" t="str">
        <f aca="false">IF(AND(ISNUMBER(M295),M295&gt;0),N(O295)/M295,"")</f>
        <v/>
      </c>
      <c r="Q295" s="43"/>
      <c r="R295" s="43"/>
      <c r="S295" s="42" t="str">
        <f aca="false">IF(AND(ISNUMBER(Q295),Q295&gt;0),N(R295)/Q295,"")</f>
        <v/>
      </c>
      <c r="T295" s="43"/>
      <c r="U295" s="43"/>
      <c r="V295" s="42" t="str">
        <f aca="false">IF(AND(ISNUMBER(T295),T295&gt;0),N(U295)/T295,"")</f>
        <v/>
      </c>
      <c r="W295" s="41"/>
      <c r="X295" s="43"/>
      <c r="Y295" s="41"/>
      <c r="Z295" s="41"/>
      <c r="AA295" s="44"/>
      <c r="AB295" s="44"/>
      <c r="AC295" s="45"/>
      <c r="AD295" s="46"/>
      <c r="AE295" s="46"/>
    </row>
    <row r="296" customFormat="false" ht="15" hidden="false" customHeight="false" outlineLevel="0" collapsed="false">
      <c r="A296" s="40"/>
      <c r="B296" s="41"/>
      <c r="C296" s="41"/>
      <c r="D296" s="42" t="str">
        <f aca="false">IF(N(B296)&gt;0,1-N(C296)/(B296*Config!$B$15),"")</f>
        <v/>
      </c>
      <c r="E296" s="43"/>
      <c r="F296" s="43"/>
      <c r="G296" s="43"/>
      <c r="H296" s="42" t="str">
        <f aca="false">IF(AND(ISNUMBER(E296),E296&gt;0),N(G296)/E296,"")</f>
        <v/>
      </c>
      <c r="I296" s="43"/>
      <c r="J296" s="43"/>
      <c r="K296" s="43"/>
      <c r="L296" s="42" t="str">
        <f aca="false">IF(AND(ISNUMBER(I296),I296&gt;0),N(K296)/I296,"")</f>
        <v/>
      </c>
      <c r="M296" s="43"/>
      <c r="N296" s="43"/>
      <c r="O296" s="43"/>
      <c r="P296" s="42" t="str">
        <f aca="false">IF(AND(ISNUMBER(M296),M296&gt;0),N(O296)/M296,"")</f>
        <v/>
      </c>
      <c r="Q296" s="43"/>
      <c r="R296" s="43"/>
      <c r="S296" s="42" t="str">
        <f aca="false">IF(AND(ISNUMBER(Q296),Q296&gt;0),N(R296)/Q296,"")</f>
        <v/>
      </c>
      <c r="T296" s="43"/>
      <c r="U296" s="43"/>
      <c r="V296" s="42" t="str">
        <f aca="false">IF(AND(ISNUMBER(T296),T296&gt;0),N(U296)/T296,"")</f>
        <v/>
      </c>
      <c r="W296" s="41"/>
      <c r="X296" s="43"/>
      <c r="Y296" s="41"/>
      <c r="Z296" s="41"/>
      <c r="AA296" s="44"/>
      <c r="AB296" s="44"/>
      <c r="AC296" s="45"/>
      <c r="AD296" s="46"/>
      <c r="AE296" s="46"/>
    </row>
    <row r="297" customFormat="false" ht="15" hidden="false" customHeight="false" outlineLevel="0" collapsed="false">
      <c r="A297" s="40"/>
      <c r="B297" s="41"/>
      <c r="C297" s="41"/>
      <c r="D297" s="42" t="str">
        <f aca="false">IF(N(B297)&gt;0,1-N(C297)/(B297*Config!$B$15),"")</f>
        <v/>
      </c>
      <c r="E297" s="43"/>
      <c r="F297" s="43"/>
      <c r="G297" s="43"/>
      <c r="H297" s="42" t="str">
        <f aca="false">IF(AND(ISNUMBER(E297),E297&gt;0),N(G297)/E297,"")</f>
        <v/>
      </c>
      <c r="I297" s="43"/>
      <c r="J297" s="43"/>
      <c r="K297" s="43"/>
      <c r="L297" s="42" t="str">
        <f aca="false">IF(AND(ISNUMBER(I297),I297&gt;0),N(K297)/I297,"")</f>
        <v/>
      </c>
      <c r="M297" s="43"/>
      <c r="N297" s="43"/>
      <c r="O297" s="43"/>
      <c r="P297" s="42" t="str">
        <f aca="false">IF(AND(ISNUMBER(M297),M297&gt;0),N(O297)/M297,"")</f>
        <v/>
      </c>
      <c r="Q297" s="43"/>
      <c r="R297" s="43"/>
      <c r="S297" s="42" t="str">
        <f aca="false">IF(AND(ISNUMBER(Q297),Q297&gt;0),N(R297)/Q297,"")</f>
        <v/>
      </c>
      <c r="T297" s="43"/>
      <c r="U297" s="43"/>
      <c r="V297" s="42" t="str">
        <f aca="false">IF(AND(ISNUMBER(T297),T297&gt;0),N(U297)/T297,"")</f>
        <v/>
      </c>
      <c r="W297" s="41"/>
      <c r="X297" s="43"/>
      <c r="Y297" s="41"/>
      <c r="Z297" s="41"/>
      <c r="AA297" s="44"/>
      <c r="AB297" s="44"/>
      <c r="AC297" s="45"/>
      <c r="AD297" s="46"/>
      <c r="AE297" s="46"/>
    </row>
    <row r="298" customFormat="false" ht="15" hidden="false" customHeight="false" outlineLevel="0" collapsed="false">
      <c r="A298" s="40"/>
      <c r="B298" s="41"/>
      <c r="C298" s="41"/>
      <c r="D298" s="42" t="str">
        <f aca="false">IF(N(B298)&gt;0,1-N(C298)/(B298*Config!$B$15),"")</f>
        <v/>
      </c>
      <c r="E298" s="43"/>
      <c r="F298" s="43"/>
      <c r="G298" s="43"/>
      <c r="H298" s="42" t="str">
        <f aca="false">IF(AND(ISNUMBER(E298),E298&gt;0),N(G298)/E298,"")</f>
        <v/>
      </c>
      <c r="I298" s="43"/>
      <c r="J298" s="43"/>
      <c r="K298" s="43"/>
      <c r="L298" s="42" t="str">
        <f aca="false">IF(AND(ISNUMBER(I298),I298&gt;0),N(K298)/I298,"")</f>
        <v/>
      </c>
      <c r="M298" s="43"/>
      <c r="N298" s="43"/>
      <c r="O298" s="43"/>
      <c r="P298" s="42" t="str">
        <f aca="false">IF(AND(ISNUMBER(M298),M298&gt;0),N(O298)/M298,"")</f>
        <v/>
      </c>
      <c r="Q298" s="43"/>
      <c r="R298" s="43"/>
      <c r="S298" s="42" t="str">
        <f aca="false">IF(AND(ISNUMBER(Q298),Q298&gt;0),N(R298)/Q298,"")</f>
        <v/>
      </c>
      <c r="T298" s="43"/>
      <c r="U298" s="43"/>
      <c r="V298" s="42" t="str">
        <f aca="false">IF(AND(ISNUMBER(T298),T298&gt;0),N(U298)/T298,"")</f>
        <v/>
      </c>
      <c r="W298" s="41"/>
      <c r="X298" s="43"/>
      <c r="Y298" s="41"/>
      <c r="Z298" s="41"/>
      <c r="AA298" s="44"/>
      <c r="AB298" s="44"/>
      <c r="AC298" s="45"/>
      <c r="AD298" s="46"/>
      <c r="AE298" s="46"/>
    </row>
    <row r="299" customFormat="false" ht="15" hidden="false" customHeight="false" outlineLevel="0" collapsed="false">
      <c r="A299" s="40"/>
      <c r="B299" s="41"/>
      <c r="C299" s="41"/>
      <c r="D299" s="42" t="str">
        <f aca="false">IF(N(B299)&gt;0,1-N(C299)/(B299*Config!$B$15),"")</f>
        <v/>
      </c>
      <c r="E299" s="43"/>
      <c r="F299" s="43"/>
      <c r="G299" s="43"/>
      <c r="H299" s="42" t="str">
        <f aca="false">IF(AND(ISNUMBER(E299),E299&gt;0),N(G299)/E299,"")</f>
        <v/>
      </c>
      <c r="I299" s="43"/>
      <c r="J299" s="43"/>
      <c r="K299" s="43"/>
      <c r="L299" s="42" t="str">
        <f aca="false">IF(AND(ISNUMBER(I299),I299&gt;0),N(K299)/I299,"")</f>
        <v/>
      </c>
      <c r="M299" s="43"/>
      <c r="N299" s="43"/>
      <c r="O299" s="43"/>
      <c r="P299" s="42" t="str">
        <f aca="false">IF(AND(ISNUMBER(M299),M299&gt;0),N(O299)/M299,"")</f>
        <v/>
      </c>
      <c r="Q299" s="43"/>
      <c r="R299" s="43"/>
      <c r="S299" s="42" t="str">
        <f aca="false">IF(AND(ISNUMBER(Q299),Q299&gt;0),N(R299)/Q299,"")</f>
        <v/>
      </c>
      <c r="T299" s="43"/>
      <c r="U299" s="43"/>
      <c r="V299" s="42" t="str">
        <f aca="false">IF(AND(ISNUMBER(T299),T299&gt;0),N(U299)/T299,"")</f>
        <v/>
      </c>
      <c r="W299" s="41"/>
      <c r="X299" s="43"/>
      <c r="Y299" s="41"/>
      <c r="Z299" s="41"/>
      <c r="AA299" s="44"/>
      <c r="AB299" s="44"/>
      <c r="AC299" s="45"/>
      <c r="AD299" s="46"/>
      <c r="AE299" s="46"/>
    </row>
    <row r="300" customFormat="false" ht="15" hidden="false" customHeight="false" outlineLevel="0" collapsed="false">
      <c r="A300" s="40"/>
      <c r="B300" s="41"/>
      <c r="C300" s="41"/>
      <c r="D300" s="42" t="str">
        <f aca="false">IF(N(B300)&gt;0,1-N(C300)/(B300*Config!$B$15),"")</f>
        <v/>
      </c>
      <c r="E300" s="43"/>
      <c r="F300" s="43"/>
      <c r="G300" s="43"/>
      <c r="H300" s="42" t="str">
        <f aca="false">IF(AND(ISNUMBER(E300),E300&gt;0),N(G300)/E300,"")</f>
        <v/>
      </c>
      <c r="I300" s="43"/>
      <c r="J300" s="43"/>
      <c r="K300" s="43"/>
      <c r="L300" s="42" t="str">
        <f aca="false">IF(AND(ISNUMBER(I300),I300&gt;0),N(K300)/I300,"")</f>
        <v/>
      </c>
      <c r="M300" s="43"/>
      <c r="N300" s="43"/>
      <c r="O300" s="43"/>
      <c r="P300" s="42" t="str">
        <f aca="false">IF(AND(ISNUMBER(M300),M300&gt;0),N(O300)/M300,"")</f>
        <v/>
      </c>
      <c r="Q300" s="43"/>
      <c r="R300" s="43"/>
      <c r="S300" s="42" t="str">
        <f aca="false">IF(AND(ISNUMBER(Q300),Q300&gt;0),N(R300)/Q300,"")</f>
        <v/>
      </c>
      <c r="T300" s="43"/>
      <c r="U300" s="43"/>
      <c r="V300" s="42" t="str">
        <f aca="false">IF(AND(ISNUMBER(T300),T300&gt;0),N(U300)/T300,"")</f>
        <v/>
      </c>
      <c r="W300" s="41"/>
      <c r="X300" s="43"/>
      <c r="Y300" s="41"/>
      <c r="Z300" s="41"/>
      <c r="AA300" s="44"/>
      <c r="AB300" s="44"/>
      <c r="AC300" s="45"/>
      <c r="AD300" s="46"/>
      <c r="AE300" s="46"/>
    </row>
    <row r="301" customFormat="false" ht="15" hidden="false" customHeight="false" outlineLevel="0" collapsed="false">
      <c r="A301" s="40"/>
      <c r="B301" s="41"/>
      <c r="C301" s="41"/>
      <c r="D301" s="42" t="str">
        <f aca="false">IF(N(B301)&gt;0,1-N(C301)/(B301*Config!$B$15),"")</f>
        <v/>
      </c>
      <c r="E301" s="43"/>
      <c r="F301" s="43"/>
      <c r="G301" s="43"/>
      <c r="H301" s="42" t="str">
        <f aca="false">IF(AND(ISNUMBER(E301),E301&gt;0),N(G301)/E301,"")</f>
        <v/>
      </c>
      <c r="I301" s="43"/>
      <c r="J301" s="43"/>
      <c r="K301" s="43"/>
      <c r="L301" s="42" t="str">
        <f aca="false">IF(AND(ISNUMBER(I301),I301&gt;0),N(K301)/I301,"")</f>
        <v/>
      </c>
      <c r="M301" s="43"/>
      <c r="N301" s="43"/>
      <c r="O301" s="43"/>
      <c r="P301" s="42" t="str">
        <f aca="false">IF(AND(ISNUMBER(M301),M301&gt;0),N(O301)/M301,"")</f>
        <v/>
      </c>
      <c r="Q301" s="43"/>
      <c r="R301" s="43"/>
      <c r="S301" s="42" t="str">
        <f aca="false">IF(AND(ISNUMBER(Q301),Q301&gt;0),N(R301)/Q301,"")</f>
        <v/>
      </c>
      <c r="T301" s="43"/>
      <c r="U301" s="43"/>
      <c r="V301" s="42" t="str">
        <f aca="false">IF(AND(ISNUMBER(T301),T301&gt;0),N(U301)/T301,"")</f>
        <v/>
      </c>
      <c r="W301" s="41"/>
      <c r="X301" s="43"/>
      <c r="Y301" s="41"/>
      <c r="Z301" s="41"/>
      <c r="AA301" s="44"/>
      <c r="AB301" s="44"/>
      <c r="AC301" s="45"/>
      <c r="AD301" s="46"/>
      <c r="AE301" s="46"/>
    </row>
    <row r="302" customFormat="false" ht="15" hidden="false" customHeight="false" outlineLevel="0" collapsed="false">
      <c r="A302" s="40"/>
      <c r="B302" s="41"/>
      <c r="C302" s="41"/>
      <c r="D302" s="42" t="str">
        <f aca="false">IF(N(B302)&gt;0,1-N(C302)/(B302*Config!$B$15),"")</f>
        <v/>
      </c>
      <c r="E302" s="43"/>
      <c r="F302" s="43"/>
      <c r="G302" s="43"/>
      <c r="H302" s="42" t="str">
        <f aca="false">IF(AND(ISNUMBER(E302),E302&gt;0),N(G302)/E302,"")</f>
        <v/>
      </c>
      <c r="I302" s="43"/>
      <c r="J302" s="43"/>
      <c r="K302" s="43"/>
      <c r="L302" s="42" t="str">
        <f aca="false">IF(AND(ISNUMBER(I302),I302&gt;0),N(K302)/I302,"")</f>
        <v/>
      </c>
      <c r="M302" s="43"/>
      <c r="N302" s="43"/>
      <c r="O302" s="43"/>
      <c r="P302" s="42" t="str">
        <f aca="false">IF(AND(ISNUMBER(M302),M302&gt;0),N(O302)/M302,"")</f>
        <v/>
      </c>
      <c r="Q302" s="43"/>
      <c r="R302" s="43"/>
      <c r="S302" s="42" t="str">
        <f aca="false">IF(AND(ISNUMBER(Q302),Q302&gt;0),N(R302)/Q302,"")</f>
        <v/>
      </c>
      <c r="T302" s="43"/>
      <c r="U302" s="43"/>
      <c r="V302" s="42" t="str">
        <f aca="false">IF(AND(ISNUMBER(T302),T302&gt;0),N(U302)/T302,"")</f>
        <v/>
      </c>
      <c r="W302" s="41"/>
      <c r="X302" s="43"/>
      <c r="Y302" s="41"/>
      <c r="Z302" s="41"/>
      <c r="AA302" s="44"/>
      <c r="AB302" s="44"/>
      <c r="AC302" s="45"/>
      <c r="AD302" s="46"/>
      <c r="AE302" s="46"/>
    </row>
    <row r="303" customFormat="false" ht="15" hidden="false" customHeight="false" outlineLevel="0" collapsed="false">
      <c r="A303" s="40"/>
      <c r="B303" s="41"/>
      <c r="C303" s="41"/>
      <c r="D303" s="42" t="str">
        <f aca="false">IF(N(B303)&gt;0,1-N(C303)/(B303*Config!$B$15),"")</f>
        <v/>
      </c>
      <c r="E303" s="43"/>
      <c r="F303" s="43"/>
      <c r="G303" s="43"/>
      <c r="H303" s="42" t="str">
        <f aca="false">IF(AND(ISNUMBER(E303),E303&gt;0),N(G303)/E303,"")</f>
        <v/>
      </c>
      <c r="I303" s="43"/>
      <c r="J303" s="43"/>
      <c r="K303" s="43"/>
      <c r="L303" s="42" t="str">
        <f aca="false">IF(AND(ISNUMBER(I303),I303&gt;0),N(K303)/I303,"")</f>
        <v/>
      </c>
      <c r="M303" s="43"/>
      <c r="N303" s="43"/>
      <c r="O303" s="43"/>
      <c r="P303" s="42" t="str">
        <f aca="false">IF(AND(ISNUMBER(M303),M303&gt;0),N(O303)/M303,"")</f>
        <v/>
      </c>
      <c r="Q303" s="43"/>
      <c r="R303" s="43"/>
      <c r="S303" s="42" t="str">
        <f aca="false">IF(AND(ISNUMBER(Q303),Q303&gt;0),N(R303)/Q303,"")</f>
        <v/>
      </c>
      <c r="T303" s="43"/>
      <c r="U303" s="43"/>
      <c r="V303" s="42" t="str">
        <f aca="false">IF(AND(ISNUMBER(T303),T303&gt;0),N(U303)/T303,"")</f>
        <v/>
      </c>
      <c r="W303" s="41"/>
      <c r="X303" s="43"/>
      <c r="Y303" s="41"/>
      <c r="Z303" s="41"/>
      <c r="AA303" s="44"/>
      <c r="AB303" s="44"/>
      <c r="AC303" s="45"/>
      <c r="AD303" s="46"/>
      <c r="AE303" s="46"/>
    </row>
    <row r="304" customFormat="false" ht="15" hidden="false" customHeight="false" outlineLevel="0" collapsed="false">
      <c r="A304" s="40"/>
      <c r="B304" s="41"/>
      <c r="C304" s="41"/>
      <c r="D304" s="42" t="str">
        <f aca="false">IF(N(B304)&gt;0,1-N(C304)/(B304*Config!$B$15),"")</f>
        <v/>
      </c>
      <c r="E304" s="43"/>
      <c r="F304" s="43"/>
      <c r="G304" s="43"/>
      <c r="H304" s="42" t="str">
        <f aca="false">IF(AND(ISNUMBER(E304),E304&gt;0),N(G304)/E304,"")</f>
        <v/>
      </c>
      <c r="I304" s="43"/>
      <c r="J304" s="43"/>
      <c r="K304" s="43"/>
      <c r="L304" s="42" t="str">
        <f aca="false">IF(AND(ISNUMBER(I304),I304&gt;0),N(K304)/I304,"")</f>
        <v/>
      </c>
      <c r="M304" s="43"/>
      <c r="N304" s="43"/>
      <c r="O304" s="43"/>
      <c r="P304" s="42" t="str">
        <f aca="false">IF(AND(ISNUMBER(M304),M304&gt;0),N(O304)/M304,"")</f>
        <v/>
      </c>
      <c r="Q304" s="43"/>
      <c r="R304" s="43"/>
      <c r="S304" s="42" t="str">
        <f aca="false">IF(AND(ISNUMBER(Q304),Q304&gt;0),N(R304)/Q304,"")</f>
        <v/>
      </c>
      <c r="T304" s="43"/>
      <c r="U304" s="43"/>
      <c r="V304" s="42" t="str">
        <f aca="false">IF(AND(ISNUMBER(T304),T304&gt;0),N(U304)/T304,"")</f>
        <v/>
      </c>
      <c r="W304" s="41"/>
      <c r="X304" s="43"/>
      <c r="Y304" s="41"/>
      <c r="Z304" s="41"/>
      <c r="AA304" s="44"/>
      <c r="AB304" s="44"/>
      <c r="AC304" s="45"/>
      <c r="AD304" s="46"/>
      <c r="AE304" s="46"/>
    </row>
    <row r="305" customFormat="false" ht="15" hidden="false" customHeight="false" outlineLevel="0" collapsed="false">
      <c r="A305" s="40"/>
      <c r="B305" s="41"/>
      <c r="C305" s="41"/>
      <c r="D305" s="42" t="str">
        <f aca="false">IF(N(B305)&gt;0,1-N(C305)/(B305*Config!$B$15),"")</f>
        <v/>
      </c>
      <c r="E305" s="43"/>
      <c r="F305" s="43"/>
      <c r="G305" s="43"/>
      <c r="H305" s="42" t="str">
        <f aca="false">IF(AND(ISNUMBER(E305),E305&gt;0),N(G305)/E305,"")</f>
        <v/>
      </c>
      <c r="I305" s="43"/>
      <c r="J305" s="43"/>
      <c r="K305" s="43"/>
      <c r="L305" s="42" t="str">
        <f aca="false">IF(AND(ISNUMBER(I305),I305&gt;0),N(K305)/I305,"")</f>
        <v/>
      </c>
      <c r="M305" s="43"/>
      <c r="N305" s="43"/>
      <c r="O305" s="43"/>
      <c r="P305" s="42" t="str">
        <f aca="false">IF(AND(ISNUMBER(M305),M305&gt;0),N(O305)/M305,"")</f>
        <v/>
      </c>
      <c r="Q305" s="43"/>
      <c r="R305" s="43"/>
      <c r="S305" s="42" t="str">
        <f aca="false">IF(AND(ISNUMBER(Q305),Q305&gt;0),N(R305)/Q305,"")</f>
        <v/>
      </c>
      <c r="T305" s="43"/>
      <c r="U305" s="43"/>
      <c r="V305" s="42" t="str">
        <f aca="false">IF(AND(ISNUMBER(T305),T305&gt;0),N(U305)/T305,"")</f>
        <v/>
      </c>
      <c r="W305" s="41"/>
      <c r="X305" s="43"/>
      <c r="Y305" s="41"/>
      <c r="Z305" s="41"/>
      <c r="AA305" s="44"/>
      <c r="AB305" s="44"/>
      <c r="AC305" s="45"/>
      <c r="AD305" s="46"/>
      <c r="AE305" s="46"/>
    </row>
  </sheetData>
  <autoFilter ref="A5:AE305"/>
  <mergeCells count="6">
    <mergeCell ref="B4:D4"/>
    <mergeCell ref="E4:P4"/>
    <mergeCell ref="Q4:V4"/>
    <mergeCell ref="W4:X4"/>
    <mergeCell ref="Y4:AB4"/>
    <mergeCell ref="AC4:AD4"/>
  </mergeCells>
  <conditionalFormatting sqref="AC6:AC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dataValidations count="2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I6:I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J6:J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K6:K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M6:M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N6:N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O6:O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Q6:Q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R6:R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T6:T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U6:U305" type="decimal">
      <formula1>0</formula1>
      <formula2>0</formula2>
    </dataValidation>
    <dataValidation allowBlank="true" error="Enter a number between 1 and 5." errorStyle="stop" errorTitle="Number expected" operator="between" showDropDown="false" showErrorMessage="true" showInputMessage="false" sqref="W6:W305" type="decimal">
      <formula1>1</formula1>
      <formula2>5</formula2>
    </dataValidation>
    <dataValidation allowBlank="true" error="Enter a whole number &gt;= 0." errorStyle="stop" errorTitle="Whole number expected" operator="greaterThanOrEqual" showDropDown="false" showErrorMessage="true" showInputMessage="false" sqref="X6:X305" type="whole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Y6:Y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Z6:Z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A6:AA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B6:AB305" type="decimal">
      <formula1>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AC6:AC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M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8" min="6" style="1" width="9"/>
    <col collapsed="false" customWidth="true" hidden="false" outlineLevel="0" max="11" min="9" style="1" width="10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21.75" hidden="false" customHeight="true" outlineLevel="0" collapsed="false">
      <c r="A1" s="22" t="s">
        <v>278</v>
      </c>
    </row>
    <row r="2" customFormat="false" ht="15" hidden="false" customHeight="true" outlineLevel="0" collapsed="false">
      <c r="A2" s="23" t="s">
        <v>279</v>
      </c>
    </row>
    <row r="3" customFormat="false" ht="15" hidden="false" customHeight="true" outlineLevel="0" collapsed="false">
      <c r="A3" s="35" t="s">
        <v>280</v>
      </c>
    </row>
    <row r="5" customFormat="false" ht="43.5" hidden="false" customHeight="true" outlineLevel="0" collapsed="false">
      <c r="A5" s="39" t="s">
        <v>232</v>
      </c>
      <c r="B5" s="39" t="s">
        <v>281</v>
      </c>
      <c r="C5" s="39" t="s">
        <v>282</v>
      </c>
      <c r="D5" s="39" t="s">
        <v>283</v>
      </c>
      <c r="E5" s="39" t="s">
        <v>284</v>
      </c>
      <c r="F5" s="39" t="s">
        <v>285</v>
      </c>
      <c r="G5" s="39" t="s">
        <v>286</v>
      </c>
      <c r="H5" s="39" t="s">
        <v>287</v>
      </c>
      <c r="I5" s="39" t="s">
        <v>288</v>
      </c>
      <c r="J5" s="39" t="s">
        <v>289</v>
      </c>
      <c r="K5" s="39" t="s">
        <v>290</v>
      </c>
      <c r="L5" s="39" t="s">
        <v>291</v>
      </c>
      <c r="M5" s="39" t="s">
        <v>262</v>
      </c>
    </row>
    <row r="6" customFormat="false" ht="15" hidden="false" customHeight="false" outlineLevel="0" collapsed="false">
      <c r="A6" s="40" t="n">
        <v>46213</v>
      </c>
      <c r="B6" s="46" t="s">
        <v>292</v>
      </c>
      <c r="C6" s="47" t="s">
        <v>293</v>
      </c>
      <c r="D6" s="43" t="n">
        <v>140</v>
      </c>
      <c r="E6" s="43" t="n">
        <v>14</v>
      </c>
      <c r="F6" s="43" t="n">
        <v>0</v>
      </c>
      <c r="G6" s="43" t="n">
        <v>0</v>
      </c>
      <c r="H6" s="43" t="n">
        <v>0</v>
      </c>
      <c r="I6" s="48" t="n">
        <f aca="false">IF(AND(A6="",F6="",G6=""),"",N(F6)+N(G6))</f>
        <v>0</v>
      </c>
      <c r="J6" s="42" t="n">
        <f aca="false">IF(AND(ISNUMBER(D6),D6&gt;0,ISNUMBER(I6)),I6/D6,"")</f>
        <v>0</v>
      </c>
      <c r="K6" s="42" t="n">
        <f aca="false">IF(AND(ISNUMBER(D6),D6&gt;0),N(E6)/D6,"")</f>
        <v>0.1</v>
      </c>
      <c r="L6" s="46" t="s">
        <v>294</v>
      </c>
      <c r="M6" s="46"/>
    </row>
    <row r="7" customFormat="false" ht="15" hidden="false" customHeight="false" outlineLevel="0" collapsed="false">
      <c r="A7" s="40" t="n">
        <v>46220</v>
      </c>
      <c r="B7" s="46" t="s">
        <v>292</v>
      </c>
      <c r="C7" s="47" t="s">
        <v>293</v>
      </c>
      <c r="D7" s="43" t="n">
        <v>140</v>
      </c>
      <c r="E7" s="43" t="n">
        <v>27</v>
      </c>
      <c r="F7" s="43" t="n">
        <v>0</v>
      </c>
      <c r="G7" s="43" t="n">
        <v>0</v>
      </c>
      <c r="H7" s="43" t="n">
        <v>0</v>
      </c>
      <c r="I7" s="48" t="n">
        <f aca="false">IF(AND(A7="",F7="",G7=""),"",N(F7)+N(G7))</f>
        <v>0</v>
      </c>
      <c r="J7" s="42" t="n">
        <f aca="false">IF(AND(ISNUMBER(D7),D7&gt;0,ISNUMBER(I7)),I7/D7,"")</f>
        <v>0</v>
      </c>
      <c r="K7" s="42" t="n">
        <f aca="false">IF(AND(ISNUMBER(D7),D7&gt;0),N(E7)/D7,"")</f>
        <v>0.192857142857143</v>
      </c>
      <c r="L7" s="46" t="s">
        <v>295</v>
      </c>
      <c r="M7" s="46"/>
    </row>
    <row r="8" customFormat="false" ht="15" hidden="false" customHeight="false" outlineLevel="0" collapsed="false">
      <c r="A8" s="40" t="n">
        <v>46227</v>
      </c>
      <c r="B8" s="46" t="s">
        <v>292</v>
      </c>
      <c r="C8" s="47" t="s">
        <v>293</v>
      </c>
      <c r="D8" s="43" t="n">
        <v>140</v>
      </c>
      <c r="E8" s="43" t="n">
        <v>58</v>
      </c>
      <c r="F8" s="43" t="n">
        <v>0</v>
      </c>
      <c r="G8" s="43" t="n">
        <v>0</v>
      </c>
      <c r="H8" s="43" t="n">
        <v>0</v>
      </c>
      <c r="I8" s="48" t="n">
        <f aca="false">IF(AND(A8="",F8="",G8=""),"",N(F8)+N(G8))</f>
        <v>0</v>
      </c>
      <c r="J8" s="42" t="n">
        <f aca="false">IF(AND(ISNUMBER(D8),D8&gt;0,ISNUMBER(I8)),I8/D8,"")</f>
        <v>0</v>
      </c>
      <c r="K8" s="42" t="n">
        <f aca="false">IF(AND(ISNUMBER(D8),D8&gt;0),N(E8)/D8,"")</f>
        <v>0.414285714285714</v>
      </c>
      <c r="L8" s="46" t="s">
        <v>296</v>
      </c>
      <c r="M8" s="46"/>
    </row>
    <row r="9" customFormat="false" ht="15" hidden="false" customHeight="false" outlineLevel="0" collapsed="false">
      <c r="A9" s="40" t="n">
        <v>46234</v>
      </c>
      <c r="B9" s="46" t="s">
        <v>292</v>
      </c>
      <c r="C9" s="47" t="s">
        <v>293</v>
      </c>
      <c r="D9" s="43" t="n">
        <v>140</v>
      </c>
      <c r="E9" s="43" t="n">
        <v>96</v>
      </c>
      <c r="F9" s="43" t="n">
        <v>0</v>
      </c>
      <c r="G9" s="43" t="n">
        <v>0</v>
      </c>
      <c r="H9" s="43" t="n">
        <v>0</v>
      </c>
      <c r="I9" s="48" t="n">
        <f aca="false">IF(AND(A9="",F9="",G9=""),"",N(F9)+N(G9))</f>
        <v>0</v>
      </c>
      <c r="J9" s="42" t="n">
        <f aca="false">IF(AND(ISNUMBER(D9),D9&gt;0,ISNUMBER(I9)),I9/D9,"")</f>
        <v>0</v>
      </c>
      <c r="K9" s="42" t="n">
        <f aca="false">IF(AND(ISNUMBER(D9),D9&gt;0),N(E9)/D9,"")</f>
        <v>0.685714285714286</v>
      </c>
      <c r="L9" s="46" t="s">
        <v>297</v>
      </c>
      <c r="M9" s="46"/>
    </row>
    <row r="10" customFormat="false" ht="15" hidden="false" customHeight="false" outlineLevel="0" collapsed="false">
      <c r="A10" s="40" t="n">
        <v>46241</v>
      </c>
      <c r="B10" s="46" t="s">
        <v>292</v>
      </c>
      <c r="C10" s="47" t="s">
        <v>298</v>
      </c>
      <c r="D10" s="43" t="n">
        <v>140</v>
      </c>
      <c r="E10" s="43" t="n">
        <v>127</v>
      </c>
      <c r="F10" s="43" t="n">
        <v>12</v>
      </c>
      <c r="G10" s="43" t="n">
        <v>1</v>
      </c>
      <c r="H10" s="43" t="n">
        <v>0</v>
      </c>
      <c r="I10" s="48" t="n">
        <f aca="false">IF(AND(A10="",F10="",G10=""),"",N(F10)+N(G10))</f>
        <v>13</v>
      </c>
      <c r="J10" s="42" t="n">
        <f aca="false">IF(AND(ISNUMBER(D10),D10&gt;0,ISNUMBER(I10)),I10/D10,"")</f>
        <v>0.0928571428571429</v>
      </c>
      <c r="K10" s="42" t="n">
        <f aca="false">IF(AND(ISNUMBER(D10),D10&gt;0),N(E10)/D10,"")</f>
        <v>0.907142857142857</v>
      </c>
      <c r="L10" s="46" t="s">
        <v>299</v>
      </c>
      <c r="M10" s="46"/>
    </row>
    <row r="11" customFormat="false" ht="15" hidden="false" customHeight="false" outlineLevel="0" collapsed="false">
      <c r="A11" s="40" t="n">
        <v>46248</v>
      </c>
      <c r="B11" s="46" t="s">
        <v>292</v>
      </c>
      <c r="C11" s="47" t="s">
        <v>300</v>
      </c>
      <c r="D11" s="43" t="n">
        <v>140</v>
      </c>
      <c r="E11" s="43" t="n">
        <v>140</v>
      </c>
      <c r="F11" s="43" t="n">
        <v>24</v>
      </c>
      <c r="G11" s="43" t="n">
        <v>2</v>
      </c>
      <c r="H11" s="43" t="n">
        <v>0</v>
      </c>
      <c r="I11" s="48" t="n">
        <f aca="false">IF(AND(A11="",F11="",G11=""),"",N(F11)+N(G11))</f>
        <v>26</v>
      </c>
      <c r="J11" s="42" t="n">
        <f aca="false">IF(AND(ISNUMBER(D11),D11&gt;0,ISNUMBER(I11)),I11/D11,"")</f>
        <v>0.185714285714286</v>
      </c>
      <c r="K11" s="42" t="n">
        <f aca="false">IF(AND(ISNUMBER(D11),D11&gt;0),N(E11)/D11,"")</f>
        <v>1</v>
      </c>
      <c r="L11" s="46" t="s">
        <v>301</v>
      </c>
      <c r="M11" s="46"/>
    </row>
    <row r="12" customFormat="false" ht="15" hidden="false" customHeight="false" outlineLevel="0" collapsed="false">
      <c r="A12" s="40" t="n">
        <v>46255</v>
      </c>
      <c r="B12" s="46" t="s">
        <v>292</v>
      </c>
      <c r="C12" s="47" t="s">
        <v>300</v>
      </c>
      <c r="D12" s="43" t="n">
        <v>140</v>
      </c>
      <c r="E12" s="43" t="n">
        <v>140</v>
      </c>
      <c r="F12" s="43" t="n">
        <v>37</v>
      </c>
      <c r="G12" s="43" t="n">
        <v>3</v>
      </c>
      <c r="H12" s="43" t="n">
        <v>0</v>
      </c>
      <c r="I12" s="48" t="n">
        <f aca="false">IF(AND(A12="",F12="",G12=""),"",N(F12)+N(G12))</f>
        <v>40</v>
      </c>
      <c r="J12" s="42" t="n">
        <f aca="false">IF(AND(ISNUMBER(D12),D12&gt;0,ISNUMBER(I12)),I12/D12,"")</f>
        <v>0.285714285714286</v>
      </c>
      <c r="K12" s="42" t="n">
        <f aca="false">IF(AND(ISNUMBER(D12),D12&gt;0),N(E12)/D12,"")</f>
        <v>1</v>
      </c>
      <c r="L12" s="46" t="s">
        <v>302</v>
      </c>
      <c r="M12" s="46"/>
    </row>
    <row r="13" customFormat="false" ht="15" hidden="false" customHeight="false" outlineLevel="0" collapsed="false">
      <c r="A13" s="40" t="n">
        <v>46262</v>
      </c>
      <c r="B13" s="46" t="s">
        <v>292</v>
      </c>
      <c r="C13" s="47" t="s">
        <v>300</v>
      </c>
      <c r="D13" s="43" t="n">
        <v>140</v>
      </c>
      <c r="E13" s="43" t="n">
        <v>140</v>
      </c>
      <c r="F13" s="43" t="n">
        <v>49</v>
      </c>
      <c r="G13" s="43" t="n">
        <v>4</v>
      </c>
      <c r="H13" s="43" t="n">
        <v>0</v>
      </c>
      <c r="I13" s="48" t="n">
        <f aca="false">IF(AND(A13="",F13="",G13=""),"",N(F13)+N(G13))</f>
        <v>53</v>
      </c>
      <c r="J13" s="42" t="n">
        <f aca="false">IF(AND(ISNUMBER(D13),D13&gt;0,ISNUMBER(I13)),I13/D13,"")</f>
        <v>0.378571428571429</v>
      </c>
      <c r="K13" s="42" t="n">
        <f aca="false">IF(AND(ISNUMBER(D13),D13&gt;0),N(E13)/D13,"")</f>
        <v>1</v>
      </c>
      <c r="L13" s="46" t="s">
        <v>303</v>
      </c>
      <c r="M13" s="46"/>
    </row>
    <row r="14" customFormat="false" ht="15" hidden="false" customHeight="false" outlineLevel="0" collapsed="false">
      <c r="A14" s="40" t="n">
        <v>46269</v>
      </c>
      <c r="B14" s="46" t="s">
        <v>292</v>
      </c>
      <c r="C14" s="47" t="s">
        <v>300</v>
      </c>
      <c r="D14" s="43" t="n">
        <v>140</v>
      </c>
      <c r="E14" s="43" t="n">
        <v>140</v>
      </c>
      <c r="F14" s="43" t="n">
        <v>61</v>
      </c>
      <c r="G14" s="43" t="n">
        <v>5</v>
      </c>
      <c r="H14" s="43" t="n">
        <v>0</v>
      </c>
      <c r="I14" s="48" t="n">
        <f aca="false">IF(AND(A14="",F14="",G14=""),"",N(F14)+N(G14))</f>
        <v>66</v>
      </c>
      <c r="J14" s="42" t="n">
        <f aca="false">IF(AND(ISNUMBER(D14),D14&gt;0,ISNUMBER(I14)),I14/D14,"")</f>
        <v>0.471428571428571</v>
      </c>
      <c r="K14" s="42" t="n">
        <f aca="false">IF(AND(ISNUMBER(D14),D14&gt;0),N(E14)/D14,"")</f>
        <v>1</v>
      </c>
      <c r="L14" s="46" t="s">
        <v>304</v>
      </c>
      <c r="M14" s="46"/>
    </row>
    <row r="15" customFormat="false" ht="15" hidden="false" customHeight="false" outlineLevel="0" collapsed="false">
      <c r="A15" s="40" t="n">
        <v>46276</v>
      </c>
      <c r="B15" s="46" t="s">
        <v>292</v>
      </c>
      <c r="C15" s="47" t="s">
        <v>300</v>
      </c>
      <c r="D15" s="43" t="n">
        <v>140</v>
      </c>
      <c r="E15" s="43" t="n">
        <v>140</v>
      </c>
      <c r="F15" s="43" t="n">
        <v>73</v>
      </c>
      <c r="G15" s="43" t="n">
        <v>6</v>
      </c>
      <c r="H15" s="43" t="n">
        <v>0</v>
      </c>
      <c r="I15" s="48" t="n">
        <f aca="false">IF(AND(A15="",F15="",G15=""),"",N(F15)+N(G15))</f>
        <v>79</v>
      </c>
      <c r="J15" s="42" t="n">
        <f aca="false">IF(AND(ISNUMBER(D15),D15&gt;0,ISNUMBER(I15)),I15/D15,"")</f>
        <v>0.564285714285714</v>
      </c>
      <c r="K15" s="42" t="n">
        <f aca="false">IF(AND(ISNUMBER(D15),D15&gt;0),N(E15)/D15,"")</f>
        <v>1</v>
      </c>
      <c r="L15" s="46" t="s">
        <v>305</v>
      </c>
      <c r="M15" s="46"/>
    </row>
    <row r="16" customFormat="false" ht="15" hidden="false" customHeight="false" outlineLevel="0" collapsed="false">
      <c r="A16" s="40" t="n">
        <v>46283</v>
      </c>
      <c r="B16" s="46" t="s">
        <v>292</v>
      </c>
      <c r="C16" s="47" t="s">
        <v>300</v>
      </c>
      <c r="D16" s="43" t="n">
        <v>140</v>
      </c>
      <c r="E16" s="43" t="n">
        <v>140</v>
      </c>
      <c r="F16" s="43" t="n">
        <v>86</v>
      </c>
      <c r="G16" s="43" t="n">
        <v>7</v>
      </c>
      <c r="H16" s="43" t="n">
        <v>0</v>
      </c>
      <c r="I16" s="48" t="n">
        <f aca="false">IF(AND(A16="",F16="",G16=""),"",N(F16)+N(G16))</f>
        <v>93</v>
      </c>
      <c r="J16" s="42" t="n">
        <f aca="false">IF(AND(ISNUMBER(D16),D16&gt;0,ISNUMBER(I16)),I16/D16,"")</f>
        <v>0.664285714285714</v>
      </c>
      <c r="K16" s="42" t="n">
        <f aca="false">IF(AND(ISNUMBER(D16),D16&gt;0),N(E16)/D16,"")</f>
        <v>1</v>
      </c>
      <c r="L16" s="46" t="s">
        <v>306</v>
      </c>
      <c r="M16" s="46"/>
    </row>
    <row r="17" customFormat="false" ht="15" hidden="false" customHeight="false" outlineLevel="0" collapsed="false">
      <c r="A17" s="40" t="n">
        <v>46290</v>
      </c>
      <c r="B17" s="46" t="s">
        <v>292</v>
      </c>
      <c r="C17" s="47" t="s">
        <v>300</v>
      </c>
      <c r="D17" s="43" t="n">
        <v>140</v>
      </c>
      <c r="E17" s="43" t="n">
        <v>140</v>
      </c>
      <c r="F17" s="43" t="n">
        <v>99</v>
      </c>
      <c r="G17" s="43" t="n">
        <v>7</v>
      </c>
      <c r="H17" s="43" t="n">
        <v>0</v>
      </c>
      <c r="I17" s="48" t="n">
        <f aca="false">IF(AND(A17="",F17="",G17=""),"",N(F17)+N(G17))</f>
        <v>106</v>
      </c>
      <c r="J17" s="42" t="n">
        <f aca="false">IF(AND(ISNUMBER(D17),D17&gt;0,ISNUMBER(I17)),I17/D17,"")</f>
        <v>0.757142857142857</v>
      </c>
      <c r="K17" s="42" t="n">
        <f aca="false">IF(AND(ISNUMBER(D17),D17&gt;0),N(E17)/D17,"")</f>
        <v>1</v>
      </c>
      <c r="L17" s="46" t="s">
        <v>307</v>
      </c>
      <c r="M17" s="46"/>
    </row>
    <row r="18" customFormat="false" ht="15" hidden="false" customHeight="false" outlineLevel="0" collapsed="false">
      <c r="A18" s="40" t="n">
        <v>46297</v>
      </c>
      <c r="B18" s="46" t="s">
        <v>292</v>
      </c>
      <c r="C18" s="47" t="s">
        <v>300</v>
      </c>
      <c r="D18" s="43" t="n">
        <v>140</v>
      </c>
      <c r="E18" s="43" t="n">
        <v>140</v>
      </c>
      <c r="F18" s="43" t="n">
        <v>111</v>
      </c>
      <c r="G18" s="43" t="n">
        <v>8</v>
      </c>
      <c r="H18" s="43" t="n">
        <v>0</v>
      </c>
      <c r="I18" s="48" t="n">
        <f aca="false">IF(AND(A18="",F18="",G18=""),"",N(F18)+N(G18))</f>
        <v>119</v>
      </c>
      <c r="J18" s="42" t="n">
        <f aca="false">IF(AND(ISNUMBER(D18),D18&gt;0,ISNUMBER(I18)),I18/D18,"")</f>
        <v>0.85</v>
      </c>
      <c r="K18" s="42" t="n">
        <f aca="false">IF(AND(ISNUMBER(D18),D18&gt;0),N(E18)/D18,"")</f>
        <v>1</v>
      </c>
      <c r="L18" s="46" t="s">
        <v>308</v>
      </c>
      <c r="M18" s="46"/>
    </row>
    <row r="19" customFormat="false" ht="15" hidden="false" customHeight="false" outlineLevel="0" collapsed="false">
      <c r="A19" s="40" t="n">
        <v>46213</v>
      </c>
      <c r="B19" s="46" t="s">
        <v>309</v>
      </c>
      <c r="C19" s="47" t="s">
        <v>293</v>
      </c>
      <c r="D19" s="43" t="n">
        <v>120</v>
      </c>
      <c r="E19" s="43" t="n">
        <v>12</v>
      </c>
      <c r="F19" s="43" t="n">
        <v>0</v>
      </c>
      <c r="G19" s="43" t="n">
        <v>0</v>
      </c>
      <c r="H19" s="43" t="n">
        <v>0</v>
      </c>
      <c r="I19" s="48" t="n">
        <f aca="false">IF(AND(A19="",F19="",G19=""),"",N(F19)+N(G19))</f>
        <v>0</v>
      </c>
      <c r="J19" s="42" t="n">
        <f aca="false">IF(AND(ISNUMBER(D19),D19&gt;0,ISNUMBER(I19)),I19/D19,"")</f>
        <v>0</v>
      </c>
      <c r="K19" s="42" t="n">
        <f aca="false">IF(AND(ISNUMBER(D19),D19&gt;0),N(E19)/D19,"")</f>
        <v>0.1</v>
      </c>
      <c r="L19" s="46" t="s">
        <v>294</v>
      </c>
      <c r="M19" s="46"/>
    </row>
    <row r="20" customFormat="false" ht="15" hidden="false" customHeight="false" outlineLevel="0" collapsed="false">
      <c r="A20" s="40" t="n">
        <v>46220</v>
      </c>
      <c r="B20" s="46" t="s">
        <v>309</v>
      </c>
      <c r="C20" s="47" t="s">
        <v>293</v>
      </c>
      <c r="D20" s="43" t="n">
        <v>120</v>
      </c>
      <c r="E20" s="43" t="n">
        <v>18</v>
      </c>
      <c r="F20" s="43" t="n">
        <v>0</v>
      </c>
      <c r="G20" s="43" t="n">
        <v>0</v>
      </c>
      <c r="H20" s="43" t="n">
        <v>0</v>
      </c>
      <c r="I20" s="48" t="n">
        <f aca="false">IF(AND(A20="",F20="",G20=""),"",N(F20)+N(G20))</f>
        <v>0</v>
      </c>
      <c r="J20" s="42" t="n">
        <f aca="false">IF(AND(ISNUMBER(D20),D20&gt;0,ISNUMBER(I20)),I20/D20,"")</f>
        <v>0</v>
      </c>
      <c r="K20" s="42" t="n">
        <f aca="false">IF(AND(ISNUMBER(D20),D20&gt;0),N(E20)/D20,"")</f>
        <v>0.15</v>
      </c>
      <c r="L20" s="46" t="s">
        <v>310</v>
      </c>
      <c r="M20" s="46"/>
    </row>
    <row r="21" customFormat="false" ht="15" hidden="false" customHeight="false" outlineLevel="0" collapsed="false">
      <c r="A21" s="40" t="n">
        <v>46227</v>
      </c>
      <c r="B21" s="46" t="s">
        <v>309</v>
      </c>
      <c r="C21" s="47" t="s">
        <v>293</v>
      </c>
      <c r="D21" s="43" t="n">
        <v>120</v>
      </c>
      <c r="E21" s="43" t="n">
        <v>33</v>
      </c>
      <c r="F21" s="43" t="n">
        <v>0</v>
      </c>
      <c r="G21" s="43" t="n">
        <v>0</v>
      </c>
      <c r="H21" s="43" t="n">
        <v>0</v>
      </c>
      <c r="I21" s="48" t="n">
        <f aca="false">IF(AND(A21="",F21="",G21=""),"",N(F21)+N(G21))</f>
        <v>0</v>
      </c>
      <c r="J21" s="42" t="n">
        <f aca="false">IF(AND(ISNUMBER(D21),D21&gt;0,ISNUMBER(I21)),I21/D21,"")</f>
        <v>0</v>
      </c>
      <c r="K21" s="42" t="n">
        <f aca="false">IF(AND(ISNUMBER(D21),D21&gt;0),N(E21)/D21,"")</f>
        <v>0.275</v>
      </c>
      <c r="L21" s="46" t="s">
        <v>311</v>
      </c>
      <c r="M21" s="46"/>
    </row>
    <row r="22" customFormat="false" ht="15" hidden="false" customHeight="false" outlineLevel="0" collapsed="false">
      <c r="A22" s="40" t="n">
        <v>46234</v>
      </c>
      <c r="B22" s="46" t="s">
        <v>309</v>
      </c>
      <c r="C22" s="47" t="s">
        <v>293</v>
      </c>
      <c r="D22" s="43" t="n">
        <v>120</v>
      </c>
      <c r="E22" s="43" t="n">
        <v>55</v>
      </c>
      <c r="F22" s="43" t="n">
        <v>0</v>
      </c>
      <c r="G22" s="43" t="n">
        <v>0</v>
      </c>
      <c r="H22" s="43" t="n">
        <v>0</v>
      </c>
      <c r="I22" s="48" t="n">
        <f aca="false">IF(AND(A22="",F22="",G22=""),"",N(F22)+N(G22))</f>
        <v>0</v>
      </c>
      <c r="J22" s="42" t="n">
        <f aca="false">IF(AND(ISNUMBER(D22),D22&gt;0,ISNUMBER(I22)),I22/D22,"")</f>
        <v>0</v>
      </c>
      <c r="K22" s="42" t="n">
        <f aca="false">IF(AND(ISNUMBER(D22),D22&gt;0),N(E22)/D22,"")</f>
        <v>0.458333333333333</v>
      </c>
      <c r="L22" s="46" t="s">
        <v>312</v>
      </c>
      <c r="M22" s="46"/>
    </row>
    <row r="23" customFormat="false" ht="15" hidden="false" customHeight="false" outlineLevel="0" collapsed="false">
      <c r="A23" s="40" t="n">
        <v>46241</v>
      </c>
      <c r="B23" s="46" t="s">
        <v>309</v>
      </c>
      <c r="C23" s="47" t="s">
        <v>293</v>
      </c>
      <c r="D23" s="43" t="n">
        <v>120</v>
      </c>
      <c r="E23" s="43" t="n">
        <v>77</v>
      </c>
      <c r="F23" s="43" t="n">
        <v>0</v>
      </c>
      <c r="G23" s="43" t="n">
        <v>0</v>
      </c>
      <c r="H23" s="43" t="n">
        <v>0</v>
      </c>
      <c r="I23" s="48" t="n">
        <f aca="false">IF(AND(A23="",F23="",G23=""),"",N(F23)+N(G23))</f>
        <v>0</v>
      </c>
      <c r="J23" s="42" t="n">
        <f aca="false">IF(AND(ISNUMBER(D23),D23&gt;0,ISNUMBER(I23)),I23/D23,"")</f>
        <v>0</v>
      </c>
      <c r="K23" s="42" t="n">
        <f aca="false">IF(AND(ISNUMBER(D23),D23&gt;0),N(E23)/D23,"")</f>
        <v>0.641666666666667</v>
      </c>
      <c r="L23" s="46" t="s">
        <v>313</v>
      </c>
      <c r="M23" s="46"/>
    </row>
    <row r="24" customFormat="false" ht="15" hidden="false" customHeight="false" outlineLevel="0" collapsed="false">
      <c r="A24" s="40" t="n">
        <v>46248</v>
      </c>
      <c r="B24" s="46" t="s">
        <v>309</v>
      </c>
      <c r="C24" s="47" t="s">
        <v>293</v>
      </c>
      <c r="D24" s="43" t="n">
        <v>120</v>
      </c>
      <c r="E24" s="43" t="n">
        <v>99</v>
      </c>
      <c r="F24" s="43" t="n">
        <v>0</v>
      </c>
      <c r="G24" s="43" t="n">
        <v>0</v>
      </c>
      <c r="H24" s="43" t="n">
        <v>0</v>
      </c>
      <c r="I24" s="48" t="n">
        <f aca="false">IF(AND(A24="",F24="",G24=""),"",N(F24)+N(G24))</f>
        <v>0</v>
      </c>
      <c r="J24" s="42" t="n">
        <f aca="false">IF(AND(ISNUMBER(D24),D24&gt;0,ISNUMBER(I24)),I24/D24,"")</f>
        <v>0</v>
      </c>
      <c r="K24" s="42" t="n">
        <f aca="false">IF(AND(ISNUMBER(D24),D24&gt;0),N(E24)/D24,"")</f>
        <v>0.825</v>
      </c>
      <c r="L24" s="46" t="s">
        <v>314</v>
      </c>
      <c r="M24" s="46"/>
    </row>
    <row r="25" customFormat="false" ht="15" hidden="false" customHeight="false" outlineLevel="0" collapsed="false">
      <c r="A25" s="40" t="n">
        <v>46255</v>
      </c>
      <c r="B25" s="46" t="s">
        <v>309</v>
      </c>
      <c r="C25" s="47" t="s">
        <v>298</v>
      </c>
      <c r="D25" s="43" t="n">
        <v>120</v>
      </c>
      <c r="E25" s="43" t="n">
        <v>114</v>
      </c>
      <c r="F25" s="43" t="n">
        <v>10</v>
      </c>
      <c r="G25" s="43" t="n">
        <v>1</v>
      </c>
      <c r="H25" s="43" t="n">
        <v>0</v>
      </c>
      <c r="I25" s="48" t="n">
        <f aca="false">IF(AND(A25="",F25="",G25=""),"",N(F25)+N(G25))</f>
        <v>11</v>
      </c>
      <c r="J25" s="42" t="n">
        <f aca="false">IF(AND(ISNUMBER(D25),D25&gt;0,ISNUMBER(I25)),I25/D25,"")</f>
        <v>0.0916666666666667</v>
      </c>
      <c r="K25" s="42" t="n">
        <f aca="false">IF(AND(ISNUMBER(D25),D25&gt;0),N(E25)/D25,"")</f>
        <v>0.95</v>
      </c>
      <c r="L25" s="46" t="s">
        <v>315</v>
      </c>
      <c r="M25" s="46"/>
    </row>
    <row r="26" customFormat="false" ht="15" hidden="false" customHeight="false" outlineLevel="0" collapsed="false">
      <c r="A26" s="40" t="n">
        <v>46262</v>
      </c>
      <c r="B26" s="46" t="s">
        <v>309</v>
      </c>
      <c r="C26" s="47" t="s">
        <v>300</v>
      </c>
      <c r="D26" s="43" t="n">
        <v>120</v>
      </c>
      <c r="E26" s="43" t="n">
        <v>120</v>
      </c>
      <c r="F26" s="43" t="n">
        <v>20</v>
      </c>
      <c r="G26" s="43" t="n">
        <v>2</v>
      </c>
      <c r="H26" s="43" t="n">
        <v>0</v>
      </c>
      <c r="I26" s="48" t="n">
        <f aca="false">IF(AND(A26="",F26="",G26=""),"",N(F26)+N(G26))</f>
        <v>22</v>
      </c>
      <c r="J26" s="42" t="n">
        <f aca="false">IF(AND(ISNUMBER(D26),D26&gt;0,ISNUMBER(I26)),I26/D26,"")</f>
        <v>0.183333333333333</v>
      </c>
      <c r="K26" s="42" t="n">
        <f aca="false">IF(AND(ISNUMBER(D26),D26&gt;0),N(E26)/D26,"")</f>
        <v>1</v>
      </c>
      <c r="L26" s="46" t="s">
        <v>316</v>
      </c>
      <c r="M26" s="46"/>
    </row>
    <row r="27" customFormat="false" ht="15" hidden="false" customHeight="false" outlineLevel="0" collapsed="false">
      <c r="A27" s="40" t="n">
        <v>46269</v>
      </c>
      <c r="B27" s="46" t="s">
        <v>309</v>
      </c>
      <c r="C27" s="47" t="s">
        <v>300</v>
      </c>
      <c r="D27" s="43" t="n">
        <v>120</v>
      </c>
      <c r="E27" s="43" t="n">
        <v>120</v>
      </c>
      <c r="F27" s="43" t="n">
        <v>31</v>
      </c>
      <c r="G27" s="43" t="n">
        <v>2</v>
      </c>
      <c r="H27" s="43" t="n">
        <v>1</v>
      </c>
      <c r="I27" s="48" t="n">
        <f aca="false">IF(AND(A27="",F27="",G27=""),"",N(F27)+N(G27))</f>
        <v>33</v>
      </c>
      <c r="J27" s="42" t="n">
        <f aca="false">IF(AND(ISNUMBER(D27),D27&gt;0,ISNUMBER(I27)),I27/D27,"")</f>
        <v>0.275</v>
      </c>
      <c r="K27" s="42" t="n">
        <f aca="false">IF(AND(ISNUMBER(D27),D27&gt;0),N(E27)/D27,"")</f>
        <v>1</v>
      </c>
      <c r="L27" s="46" t="s">
        <v>317</v>
      </c>
      <c r="M27" s="46"/>
    </row>
    <row r="28" customFormat="false" ht="15" hidden="false" customHeight="false" outlineLevel="0" collapsed="false">
      <c r="A28" s="40" t="n">
        <v>46276</v>
      </c>
      <c r="B28" s="46" t="s">
        <v>309</v>
      </c>
      <c r="C28" s="47" t="s">
        <v>300</v>
      </c>
      <c r="D28" s="43" t="n">
        <v>120</v>
      </c>
      <c r="E28" s="43" t="n">
        <v>120</v>
      </c>
      <c r="F28" s="43" t="n">
        <v>42</v>
      </c>
      <c r="G28" s="43" t="n">
        <v>3</v>
      </c>
      <c r="H28" s="43" t="n">
        <v>0</v>
      </c>
      <c r="I28" s="48" t="n">
        <f aca="false">IF(AND(A28="",F28="",G28=""),"",N(F28)+N(G28))</f>
        <v>45</v>
      </c>
      <c r="J28" s="42" t="n">
        <f aca="false">IF(AND(ISNUMBER(D28),D28&gt;0,ISNUMBER(I28)),I28/D28,"")</f>
        <v>0.375</v>
      </c>
      <c r="K28" s="42" t="n">
        <f aca="false">IF(AND(ISNUMBER(D28),D28&gt;0),N(E28)/D28,"")</f>
        <v>1</v>
      </c>
      <c r="L28" s="46" t="s">
        <v>318</v>
      </c>
      <c r="M28" s="46"/>
    </row>
    <row r="29" customFormat="false" ht="15" hidden="false" customHeight="false" outlineLevel="0" collapsed="false">
      <c r="A29" s="40" t="n">
        <v>46283</v>
      </c>
      <c r="B29" s="46" t="s">
        <v>309</v>
      </c>
      <c r="C29" s="47" t="s">
        <v>300</v>
      </c>
      <c r="D29" s="43" t="n">
        <v>120</v>
      </c>
      <c r="E29" s="43" t="n">
        <v>120</v>
      </c>
      <c r="F29" s="43" t="n">
        <v>52</v>
      </c>
      <c r="G29" s="43" t="n">
        <v>4</v>
      </c>
      <c r="H29" s="43" t="n">
        <v>0</v>
      </c>
      <c r="I29" s="48" t="n">
        <f aca="false">IF(AND(A29="",F29="",G29=""),"",N(F29)+N(G29))</f>
        <v>56</v>
      </c>
      <c r="J29" s="42" t="n">
        <f aca="false">IF(AND(ISNUMBER(D29),D29&gt;0,ISNUMBER(I29)),I29/D29,"")</f>
        <v>0.466666666666667</v>
      </c>
      <c r="K29" s="42" t="n">
        <f aca="false">IF(AND(ISNUMBER(D29),D29&gt;0),N(E29)/D29,"")</f>
        <v>1</v>
      </c>
      <c r="L29" s="46" t="s">
        <v>319</v>
      </c>
      <c r="M29" s="46"/>
    </row>
    <row r="30" customFormat="false" ht="15" hidden="false" customHeight="false" outlineLevel="0" collapsed="false">
      <c r="A30" s="40" t="n">
        <v>46290</v>
      </c>
      <c r="B30" s="46" t="s">
        <v>309</v>
      </c>
      <c r="C30" s="47" t="s">
        <v>300</v>
      </c>
      <c r="D30" s="43" t="n">
        <v>120</v>
      </c>
      <c r="E30" s="43" t="n">
        <v>120</v>
      </c>
      <c r="F30" s="43" t="n">
        <v>62</v>
      </c>
      <c r="G30" s="43" t="n">
        <v>5</v>
      </c>
      <c r="H30" s="43" t="n">
        <v>0</v>
      </c>
      <c r="I30" s="48" t="n">
        <f aca="false">IF(AND(A30="",F30="",G30=""),"",N(F30)+N(G30))</f>
        <v>67</v>
      </c>
      <c r="J30" s="42" t="n">
        <f aca="false">IF(AND(ISNUMBER(D30),D30&gt;0,ISNUMBER(I30)),I30/D30,"")</f>
        <v>0.558333333333333</v>
      </c>
      <c r="K30" s="42" t="n">
        <f aca="false">IF(AND(ISNUMBER(D30),D30&gt;0),N(E30)/D30,"")</f>
        <v>1</v>
      </c>
      <c r="L30" s="46" t="s">
        <v>320</v>
      </c>
      <c r="M30" s="46"/>
    </row>
    <row r="31" customFormat="false" ht="15" hidden="false" customHeight="false" outlineLevel="0" collapsed="false">
      <c r="A31" s="40" t="n">
        <v>46297</v>
      </c>
      <c r="B31" s="46" t="s">
        <v>309</v>
      </c>
      <c r="C31" s="47" t="s">
        <v>300</v>
      </c>
      <c r="D31" s="43" t="n">
        <v>120</v>
      </c>
      <c r="E31" s="43" t="n">
        <v>120</v>
      </c>
      <c r="F31" s="43" t="n">
        <v>73</v>
      </c>
      <c r="G31" s="43" t="n">
        <v>5</v>
      </c>
      <c r="H31" s="43" t="n">
        <v>0</v>
      </c>
      <c r="I31" s="48" t="n">
        <f aca="false">IF(AND(A31="",F31="",G31=""),"",N(F31)+N(G31))</f>
        <v>78</v>
      </c>
      <c r="J31" s="42" t="n">
        <f aca="false">IF(AND(ISNUMBER(D31),D31&gt;0,ISNUMBER(I31)),I31/D31,"")</f>
        <v>0.65</v>
      </c>
      <c r="K31" s="42" t="n">
        <f aca="false">IF(AND(ISNUMBER(D31),D31&gt;0),N(E31)/D31,"")</f>
        <v>1</v>
      </c>
      <c r="L31" s="46" t="s">
        <v>321</v>
      </c>
      <c r="M31" s="46"/>
    </row>
    <row r="32" customFormat="false" ht="15" hidden="false" customHeight="false" outlineLevel="0" collapsed="false">
      <c r="A32" s="40" t="n">
        <v>46227</v>
      </c>
      <c r="B32" s="46" t="s">
        <v>322</v>
      </c>
      <c r="C32" s="47" t="s">
        <v>293</v>
      </c>
      <c r="D32" s="43" t="n">
        <v>90</v>
      </c>
      <c r="E32" s="43" t="n">
        <v>9</v>
      </c>
      <c r="F32" s="43" t="n">
        <v>0</v>
      </c>
      <c r="G32" s="43" t="n">
        <v>0</v>
      </c>
      <c r="H32" s="43" t="n">
        <v>0</v>
      </c>
      <c r="I32" s="48" t="n">
        <f aca="false">IF(AND(A32="",F32="",G32=""),"",N(F32)+N(G32))</f>
        <v>0</v>
      </c>
      <c r="J32" s="42" t="n">
        <f aca="false">IF(AND(ISNUMBER(D32),D32&gt;0,ISNUMBER(I32)),I32/D32,"")</f>
        <v>0</v>
      </c>
      <c r="K32" s="42" t="n">
        <f aca="false">IF(AND(ISNUMBER(D32),D32&gt;0),N(E32)/D32,"")</f>
        <v>0.1</v>
      </c>
      <c r="L32" s="46" t="s">
        <v>294</v>
      </c>
      <c r="M32" s="46"/>
    </row>
    <row r="33" customFormat="false" ht="15" hidden="false" customHeight="false" outlineLevel="0" collapsed="false">
      <c r="A33" s="40" t="n">
        <v>46234</v>
      </c>
      <c r="B33" s="46" t="s">
        <v>322</v>
      </c>
      <c r="C33" s="47" t="s">
        <v>293</v>
      </c>
      <c r="D33" s="43" t="n">
        <v>90</v>
      </c>
      <c r="E33" s="43" t="n">
        <v>12</v>
      </c>
      <c r="F33" s="43" t="n">
        <v>0</v>
      </c>
      <c r="G33" s="43" t="n">
        <v>0</v>
      </c>
      <c r="H33" s="43" t="n">
        <v>0</v>
      </c>
      <c r="I33" s="48" t="n">
        <f aca="false">IF(AND(A33="",F33="",G33=""),"",N(F33)+N(G33))</f>
        <v>0</v>
      </c>
      <c r="J33" s="42" t="n">
        <f aca="false">IF(AND(ISNUMBER(D33),D33&gt;0,ISNUMBER(I33)),I33/D33,"")</f>
        <v>0</v>
      </c>
      <c r="K33" s="42" t="n">
        <f aca="false">IF(AND(ISNUMBER(D33),D33&gt;0),N(E33)/D33,"")</f>
        <v>0.133333333333333</v>
      </c>
      <c r="L33" s="46" t="s">
        <v>323</v>
      </c>
      <c r="M33" s="46"/>
    </row>
    <row r="34" customFormat="false" ht="15" hidden="false" customHeight="false" outlineLevel="0" collapsed="false">
      <c r="A34" s="40" t="n">
        <v>46241</v>
      </c>
      <c r="B34" s="46" t="s">
        <v>322</v>
      </c>
      <c r="C34" s="47" t="s">
        <v>293</v>
      </c>
      <c r="D34" s="43" t="n">
        <v>90</v>
      </c>
      <c r="E34" s="43" t="n">
        <v>22</v>
      </c>
      <c r="F34" s="43" t="n">
        <v>0</v>
      </c>
      <c r="G34" s="43" t="n">
        <v>0</v>
      </c>
      <c r="H34" s="43" t="n">
        <v>0</v>
      </c>
      <c r="I34" s="48" t="n">
        <f aca="false">IF(AND(A34="",F34="",G34=""),"",N(F34)+N(G34))</f>
        <v>0</v>
      </c>
      <c r="J34" s="42" t="n">
        <f aca="false">IF(AND(ISNUMBER(D34),D34&gt;0,ISNUMBER(I34)),I34/D34,"")</f>
        <v>0</v>
      </c>
      <c r="K34" s="42" t="n">
        <f aca="false">IF(AND(ISNUMBER(D34),D34&gt;0),N(E34)/D34,"")</f>
        <v>0.244444444444444</v>
      </c>
      <c r="L34" s="46" t="s">
        <v>324</v>
      </c>
      <c r="M34" s="46"/>
    </row>
    <row r="35" customFormat="false" ht="15" hidden="false" customHeight="false" outlineLevel="0" collapsed="false">
      <c r="A35" s="40" t="n">
        <v>46248</v>
      </c>
      <c r="B35" s="46" t="s">
        <v>322</v>
      </c>
      <c r="C35" s="47" t="s">
        <v>293</v>
      </c>
      <c r="D35" s="43" t="n">
        <v>90</v>
      </c>
      <c r="E35" s="43" t="n">
        <v>35</v>
      </c>
      <c r="F35" s="43" t="n">
        <v>0</v>
      </c>
      <c r="G35" s="43" t="n">
        <v>0</v>
      </c>
      <c r="H35" s="43" t="n">
        <v>0</v>
      </c>
      <c r="I35" s="48" t="n">
        <f aca="false">IF(AND(A35="",F35="",G35=""),"",N(F35)+N(G35))</f>
        <v>0</v>
      </c>
      <c r="J35" s="42" t="n">
        <f aca="false">IF(AND(ISNUMBER(D35),D35&gt;0,ISNUMBER(I35)),I35/D35,"")</f>
        <v>0</v>
      </c>
      <c r="K35" s="42" t="n">
        <f aca="false">IF(AND(ISNUMBER(D35),D35&gt;0),N(E35)/D35,"")</f>
        <v>0.388888888888889</v>
      </c>
      <c r="L35" s="46" t="s">
        <v>325</v>
      </c>
      <c r="M35" s="46"/>
    </row>
    <row r="36" customFormat="false" ht="15" hidden="false" customHeight="false" outlineLevel="0" collapsed="false">
      <c r="A36" s="40" t="n">
        <v>46255</v>
      </c>
      <c r="B36" s="46" t="s">
        <v>322</v>
      </c>
      <c r="C36" s="47" t="s">
        <v>293</v>
      </c>
      <c r="D36" s="43" t="n">
        <v>90</v>
      </c>
      <c r="E36" s="43" t="n">
        <v>50</v>
      </c>
      <c r="F36" s="43" t="n">
        <v>0</v>
      </c>
      <c r="G36" s="43" t="n">
        <v>0</v>
      </c>
      <c r="H36" s="43" t="n">
        <v>0</v>
      </c>
      <c r="I36" s="48" t="n">
        <f aca="false">IF(AND(A36="",F36="",G36=""),"",N(F36)+N(G36))</f>
        <v>0</v>
      </c>
      <c r="J36" s="42" t="n">
        <f aca="false">IF(AND(ISNUMBER(D36),D36&gt;0,ISNUMBER(I36)),I36/D36,"")</f>
        <v>0</v>
      </c>
      <c r="K36" s="42" t="n">
        <f aca="false">IF(AND(ISNUMBER(D36),D36&gt;0),N(E36)/D36,"")</f>
        <v>0.555555555555556</v>
      </c>
      <c r="L36" s="46" t="s">
        <v>326</v>
      </c>
      <c r="M36" s="46"/>
    </row>
    <row r="37" customFormat="false" ht="15" hidden="false" customHeight="false" outlineLevel="0" collapsed="false">
      <c r="A37" s="40" t="n">
        <v>46262</v>
      </c>
      <c r="B37" s="46" t="s">
        <v>322</v>
      </c>
      <c r="C37" s="47" t="s">
        <v>293</v>
      </c>
      <c r="D37" s="43" t="n">
        <v>90</v>
      </c>
      <c r="E37" s="43" t="n">
        <v>64</v>
      </c>
      <c r="F37" s="43" t="n">
        <v>0</v>
      </c>
      <c r="G37" s="43" t="n">
        <v>0</v>
      </c>
      <c r="H37" s="43" t="n">
        <v>0</v>
      </c>
      <c r="I37" s="48" t="n">
        <f aca="false">IF(AND(A37="",F37="",G37=""),"",N(F37)+N(G37))</f>
        <v>0</v>
      </c>
      <c r="J37" s="42" t="n">
        <f aca="false">IF(AND(ISNUMBER(D37),D37&gt;0,ISNUMBER(I37)),I37/D37,"")</f>
        <v>0</v>
      </c>
      <c r="K37" s="42" t="n">
        <f aca="false">IF(AND(ISNUMBER(D37),D37&gt;0),N(E37)/D37,"")</f>
        <v>0.711111111111111</v>
      </c>
      <c r="L37" s="46" t="s">
        <v>327</v>
      </c>
      <c r="M37" s="46"/>
    </row>
    <row r="38" customFormat="false" ht="15" hidden="false" customHeight="false" outlineLevel="0" collapsed="false">
      <c r="A38" s="40" t="n">
        <v>46269</v>
      </c>
      <c r="B38" s="46" t="s">
        <v>322</v>
      </c>
      <c r="C38" s="47" t="s">
        <v>293</v>
      </c>
      <c r="D38" s="43" t="n">
        <v>90</v>
      </c>
      <c r="E38" s="43" t="n">
        <v>77</v>
      </c>
      <c r="F38" s="43" t="n">
        <v>0</v>
      </c>
      <c r="G38" s="43" t="n">
        <v>0</v>
      </c>
      <c r="H38" s="43" t="n">
        <v>0</v>
      </c>
      <c r="I38" s="48" t="n">
        <f aca="false">IF(AND(A38="",F38="",G38=""),"",N(F38)+N(G38))</f>
        <v>0</v>
      </c>
      <c r="J38" s="42" t="n">
        <f aca="false">IF(AND(ISNUMBER(D38),D38&gt;0,ISNUMBER(I38)),I38/D38,"")</f>
        <v>0</v>
      </c>
      <c r="K38" s="42" t="n">
        <f aca="false">IF(AND(ISNUMBER(D38),D38&gt;0),N(E38)/D38,"")</f>
        <v>0.855555555555556</v>
      </c>
      <c r="L38" s="46" t="s">
        <v>328</v>
      </c>
      <c r="M38" s="46"/>
    </row>
    <row r="39" customFormat="false" ht="15" hidden="false" customHeight="false" outlineLevel="0" collapsed="false">
      <c r="A39" s="40" t="n">
        <v>46276</v>
      </c>
      <c r="B39" s="46" t="s">
        <v>322</v>
      </c>
      <c r="C39" s="47" t="s">
        <v>298</v>
      </c>
      <c r="D39" s="43" t="n">
        <v>90</v>
      </c>
      <c r="E39" s="43" t="n">
        <v>87</v>
      </c>
      <c r="F39" s="43" t="n">
        <v>7</v>
      </c>
      <c r="G39" s="43" t="n">
        <v>1</v>
      </c>
      <c r="H39" s="43" t="n">
        <v>0</v>
      </c>
      <c r="I39" s="48" t="n">
        <f aca="false">IF(AND(A39="",F39="",G39=""),"",N(F39)+N(G39))</f>
        <v>8</v>
      </c>
      <c r="J39" s="42" t="n">
        <f aca="false">IF(AND(ISNUMBER(D39),D39&gt;0,ISNUMBER(I39)),I39/D39,"")</f>
        <v>0.0888888888888889</v>
      </c>
      <c r="K39" s="42" t="n">
        <f aca="false">IF(AND(ISNUMBER(D39),D39&gt;0),N(E39)/D39,"")</f>
        <v>0.966666666666667</v>
      </c>
      <c r="L39" s="46" t="s">
        <v>329</v>
      </c>
      <c r="M39" s="46"/>
    </row>
    <row r="40" customFormat="false" ht="15" hidden="false" customHeight="false" outlineLevel="0" collapsed="false">
      <c r="A40" s="40" t="n">
        <v>46283</v>
      </c>
      <c r="B40" s="46" t="s">
        <v>322</v>
      </c>
      <c r="C40" s="47" t="s">
        <v>300</v>
      </c>
      <c r="D40" s="43" t="n">
        <v>90</v>
      </c>
      <c r="E40" s="43" t="n">
        <v>90</v>
      </c>
      <c r="F40" s="43" t="n">
        <v>15</v>
      </c>
      <c r="G40" s="43" t="n">
        <v>1</v>
      </c>
      <c r="H40" s="43" t="n">
        <v>0</v>
      </c>
      <c r="I40" s="48" t="n">
        <f aca="false">IF(AND(A40="",F40="",G40=""),"",N(F40)+N(G40))</f>
        <v>16</v>
      </c>
      <c r="J40" s="42" t="n">
        <f aca="false">IF(AND(ISNUMBER(D40),D40&gt;0,ISNUMBER(I40)),I40/D40,"")</f>
        <v>0.177777777777778</v>
      </c>
      <c r="K40" s="42" t="n">
        <f aca="false">IF(AND(ISNUMBER(D40),D40&gt;0),N(E40)/D40,"")</f>
        <v>1</v>
      </c>
      <c r="L40" s="46" t="s">
        <v>330</v>
      </c>
      <c r="M40" s="46"/>
    </row>
    <row r="41" customFormat="false" ht="15" hidden="false" customHeight="false" outlineLevel="0" collapsed="false">
      <c r="A41" s="40" t="n">
        <v>46290</v>
      </c>
      <c r="B41" s="46" t="s">
        <v>322</v>
      </c>
      <c r="C41" s="47" t="s">
        <v>300</v>
      </c>
      <c r="D41" s="43" t="n">
        <v>90</v>
      </c>
      <c r="E41" s="43" t="n">
        <v>90</v>
      </c>
      <c r="F41" s="43" t="n">
        <v>22</v>
      </c>
      <c r="G41" s="43" t="n">
        <v>2</v>
      </c>
      <c r="H41" s="43" t="n">
        <v>0</v>
      </c>
      <c r="I41" s="48" t="n">
        <f aca="false">IF(AND(A41="",F41="",G41=""),"",N(F41)+N(G41))</f>
        <v>24</v>
      </c>
      <c r="J41" s="42" t="n">
        <f aca="false">IF(AND(ISNUMBER(D41),D41&gt;0,ISNUMBER(I41)),I41/D41,"")</f>
        <v>0.266666666666667</v>
      </c>
      <c r="K41" s="42" t="n">
        <f aca="false">IF(AND(ISNUMBER(D41),D41&gt;0),N(E41)/D41,"")</f>
        <v>1</v>
      </c>
      <c r="L41" s="46" t="s">
        <v>331</v>
      </c>
      <c r="M41" s="46"/>
    </row>
    <row r="42" customFormat="false" ht="15" hidden="false" customHeight="false" outlineLevel="0" collapsed="false">
      <c r="A42" s="40" t="n">
        <v>46297</v>
      </c>
      <c r="B42" s="46" t="s">
        <v>322</v>
      </c>
      <c r="C42" s="47" t="s">
        <v>300</v>
      </c>
      <c r="D42" s="43" t="n">
        <v>90</v>
      </c>
      <c r="E42" s="43" t="n">
        <v>90</v>
      </c>
      <c r="F42" s="43" t="n">
        <v>29</v>
      </c>
      <c r="G42" s="43" t="n">
        <v>2</v>
      </c>
      <c r="H42" s="43" t="n">
        <v>3</v>
      </c>
      <c r="I42" s="48" t="n">
        <f aca="false">IF(AND(A42="",F42="",G42=""),"",N(F42)+N(G42))</f>
        <v>31</v>
      </c>
      <c r="J42" s="42" t="n">
        <f aca="false">IF(AND(ISNUMBER(D42),D42&gt;0,ISNUMBER(I42)),I42/D42,"")</f>
        <v>0.344444444444444</v>
      </c>
      <c r="K42" s="42" t="n">
        <f aca="false">IF(AND(ISNUMBER(D42),D42&gt;0),N(E42)/D42,"")</f>
        <v>1</v>
      </c>
      <c r="L42" s="46" t="s">
        <v>332</v>
      </c>
      <c r="M42" s="46"/>
    </row>
    <row r="43" customFormat="false" ht="15" hidden="false" customHeight="false" outlineLevel="0" collapsed="false">
      <c r="A43" s="40" t="n">
        <v>46241</v>
      </c>
      <c r="B43" s="46" t="s">
        <v>333</v>
      </c>
      <c r="C43" s="47" t="s">
        <v>293</v>
      </c>
      <c r="D43" s="43" t="n">
        <v>70</v>
      </c>
      <c r="E43" s="43" t="n">
        <v>7</v>
      </c>
      <c r="F43" s="43" t="n">
        <v>0</v>
      </c>
      <c r="G43" s="43" t="n">
        <v>0</v>
      </c>
      <c r="H43" s="43" t="n">
        <v>0</v>
      </c>
      <c r="I43" s="48" t="n">
        <f aca="false">IF(AND(A43="",F43="",G43=""),"",N(F43)+N(G43))</f>
        <v>0</v>
      </c>
      <c r="J43" s="42" t="n">
        <f aca="false">IF(AND(ISNUMBER(D43),D43&gt;0,ISNUMBER(I43)),I43/D43,"")</f>
        <v>0</v>
      </c>
      <c r="K43" s="42" t="n">
        <f aca="false">IF(AND(ISNUMBER(D43),D43&gt;0),N(E43)/D43,"")</f>
        <v>0.1</v>
      </c>
      <c r="L43" s="46" t="s">
        <v>294</v>
      </c>
      <c r="M43" s="46"/>
    </row>
    <row r="44" customFormat="false" ht="15" hidden="false" customHeight="false" outlineLevel="0" collapsed="false">
      <c r="A44" s="40" t="n">
        <v>46248</v>
      </c>
      <c r="B44" s="46" t="s">
        <v>333</v>
      </c>
      <c r="C44" s="47" t="s">
        <v>293</v>
      </c>
      <c r="D44" s="43" t="n">
        <v>70</v>
      </c>
      <c r="E44" s="43" t="n">
        <v>10</v>
      </c>
      <c r="F44" s="43" t="n">
        <v>0</v>
      </c>
      <c r="G44" s="43" t="n">
        <v>0</v>
      </c>
      <c r="H44" s="43" t="n">
        <v>0</v>
      </c>
      <c r="I44" s="48" t="n">
        <f aca="false">IF(AND(A44="",F44="",G44=""),"",N(F44)+N(G44))</f>
        <v>0</v>
      </c>
      <c r="J44" s="42" t="n">
        <f aca="false">IF(AND(ISNUMBER(D44),D44&gt;0,ISNUMBER(I44)),I44/D44,"")</f>
        <v>0</v>
      </c>
      <c r="K44" s="42" t="n">
        <f aca="false">IF(AND(ISNUMBER(D44),D44&gt;0),N(E44)/D44,"")</f>
        <v>0.142857142857143</v>
      </c>
      <c r="L44" s="46" t="s">
        <v>334</v>
      </c>
      <c r="M44" s="46"/>
    </row>
    <row r="45" customFormat="false" ht="15" hidden="false" customHeight="false" outlineLevel="0" collapsed="false">
      <c r="A45" s="40" t="n">
        <v>46255</v>
      </c>
      <c r="B45" s="46" t="s">
        <v>333</v>
      </c>
      <c r="C45" s="47" t="s">
        <v>293</v>
      </c>
      <c r="D45" s="43" t="n">
        <v>70</v>
      </c>
      <c r="E45" s="43" t="n">
        <v>18</v>
      </c>
      <c r="F45" s="43" t="n">
        <v>0</v>
      </c>
      <c r="G45" s="43" t="n">
        <v>0</v>
      </c>
      <c r="H45" s="43" t="n">
        <v>0</v>
      </c>
      <c r="I45" s="48" t="n">
        <f aca="false">IF(AND(A45="",F45="",G45=""),"",N(F45)+N(G45))</f>
        <v>0</v>
      </c>
      <c r="J45" s="42" t="n">
        <f aca="false">IF(AND(ISNUMBER(D45),D45&gt;0,ISNUMBER(I45)),I45/D45,"")</f>
        <v>0</v>
      </c>
      <c r="K45" s="42" t="n">
        <f aca="false">IF(AND(ISNUMBER(D45),D45&gt;0),N(E45)/D45,"")</f>
        <v>0.257142857142857</v>
      </c>
      <c r="L45" s="46" t="s">
        <v>335</v>
      </c>
      <c r="M45" s="46"/>
    </row>
    <row r="46" customFormat="false" ht="15" hidden="false" customHeight="false" outlineLevel="0" collapsed="false">
      <c r="A46" s="40" t="n">
        <v>46262</v>
      </c>
      <c r="B46" s="46" t="s">
        <v>333</v>
      </c>
      <c r="C46" s="47" t="s">
        <v>293</v>
      </c>
      <c r="D46" s="43" t="n">
        <v>70</v>
      </c>
      <c r="E46" s="43" t="n">
        <v>29</v>
      </c>
      <c r="F46" s="43" t="n">
        <v>0</v>
      </c>
      <c r="G46" s="43" t="n">
        <v>0</v>
      </c>
      <c r="H46" s="43" t="n">
        <v>0</v>
      </c>
      <c r="I46" s="48" t="n">
        <f aca="false">IF(AND(A46="",F46="",G46=""),"",N(F46)+N(G46))</f>
        <v>0</v>
      </c>
      <c r="J46" s="42" t="n">
        <f aca="false">IF(AND(ISNUMBER(D46),D46&gt;0,ISNUMBER(I46)),I46/D46,"")</f>
        <v>0</v>
      </c>
      <c r="K46" s="42" t="n">
        <f aca="false">IF(AND(ISNUMBER(D46),D46&gt;0),N(E46)/D46,"")</f>
        <v>0.414285714285714</v>
      </c>
      <c r="L46" s="46" t="s">
        <v>296</v>
      </c>
      <c r="M46" s="46"/>
    </row>
    <row r="47" customFormat="false" ht="15" hidden="false" customHeight="false" outlineLevel="0" collapsed="false">
      <c r="A47" s="40" t="n">
        <v>46269</v>
      </c>
      <c r="B47" s="46" t="s">
        <v>333</v>
      </c>
      <c r="C47" s="47" t="s">
        <v>293</v>
      </c>
      <c r="D47" s="43" t="n">
        <v>70</v>
      </c>
      <c r="E47" s="43" t="n">
        <v>41</v>
      </c>
      <c r="F47" s="43" t="n">
        <v>0</v>
      </c>
      <c r="G47" s="43" t="n">
        <v>0</v>
      </c>
      <c r="H47" s="43" t="n">
        <v>0</v>
      </c>
      <c r="I47" s="48" t="n">
        <f aca="false">IF(AND(A47="",F47="",G47=""),"",N(F47)+N(G47))</f>
        <v>0</v>
      </c>
      <c r="J47" s="42" t="n">
        <f aca="false">IF(AND(ISNUMBER(D47),D47&gt;0,ISNUMBER(I47)),I47/D47,"")</f>
        <v>0</v>
      </c>
      <c r="K47" s="42" t="n">
        <f aca="false">IF(AND(ISNUMBER(D47),D47&gt;0),N(E47)/D47,"")</f>
        <v>0.585714285714286</v>
      </c>
      <c r="L47" s="46" t="s">
        <v>336</v>
      </c>
      <c r="M47" s="46"/>
    </row>
    <row r="48" customFormat="false" ht="15" hidden="false" customHeight="false" outlineLevel="0" collapsed="false">
      <c r="A48" s="40" t="n">
        <v>46276</v>
      </c>
      <c r="B48" s="46" t="s">
        <v>333</v>
      </c>
      <c r="C48" s="47" t="s">
        <v>293</v>
      </c>
      <c r="D48" s="43" t="n">
        <v>70</v>
      </c>
      <c r="E48" s="43" t="n">
        <v>52</v>
      </c>
      <c r="F48" s="43" t="n">
        <v>0</v>
      </c>
      <c r="G48" s="43" t="n">
        <v>0</v>
      </c>
      <c r="H48" s="43" t="n">
        <v>0</v>
      </c>
      <c r="I48" s="48" t="n">
        <f aca="false">IF(AND(A48="",F48="",G48=""),"",N(F48)+N(G48))</f>
        <v>0</v>
      </c>
      <c r="J48" s="42" t="n">
        <f aca="false">IF(AND(ISNUMBER(D48),D48&gt;0,ISNUMBER(I48)),I48/D48,"")</f>
        <v>0</v>
      </c>
      <c r="K48" s="42" t="n">
        <f aca="false">IF(AND(ISNUMBER(D48),D48&gt;0),N(E48)/D48,"")</f>
        <v>0.742857142857143</v>
      </c>
      <c r="L48" s="46" t="s">
        <v>337</v>
      </c>
      <c r="M48" s="46"/>
    </row>
    <row r="49" customFormat="false" ht="15" hidden="false" customHeight="false" outlineLevel="0" collapsed="false">
      <c r="A49" s="40" t="n">
        <v>46283</v>
      </c>
      <c r="B49" s="46" t="s">
        <v>333</v>
      </c>
      <c r="C49" s="47" t="s">
        <v>293</v>
      </c>
      <c r="D49" s="43" t="n">
        <v>70</v>
      </c>
      <c r="E49" s="43" t="n">
        <v>60</v>
      </c>
      <c r="F49" s="43" t="n">
        <v>0</v>
      </c>
      <c r="G49" s="43" t="n">
        <v>0</v>
      </c>
      <c r="H49" s="43" t="n">
        <v>0</v>
      </c>
      <c r="I49" s="48" t="n">
        <f aca="false">IF(AND(A49="",F49="",G49=""),"",N(F49)+N(G49))</f>
        <v>0</v>
      </c>
      <c r="J49" s="42" t="n">
        <f aca="false">IF(AND(ISNUMBER(D49),D49&gt;0,ISNUMBER(I49)),I49/D49,"")</f>
        <v>0</v>
      </c>
      <c r="K49" s="42" t="n">
        <f aca="false">IF(AND(ISNUMBER(D49),D49&gt;0),N(E49)/D49,"")</f>
        <v>0.857142857142857</v>
      </c>
      <c r="L49" s="46" t="s">
        <v>328</v>
      </c>
      <c r="M49" s="46"/>
    </row>
    <row r="50" customFormat="false" ht="15" hidden="false" customHeight="false" outlineLevel="0" collapsed="false">
      <c r="A50" s="40" t="n">
        <v>46290</v>
      </c>
      <c r="B50" s="46" t="s">
        <v>333</v>
      </c>
      <c r="C50" s="47" t="s">
        <v>298</v>
      </c>
      <c r="D50" s="43" t="n">
        <v>70</v>
      </c>
      <c r="E50" s="43" t="n">
        <v>63</v>
      </c>
      <c r="F50" s="43" t="n">
        <v>2</v>
      </c>
      <c r="G50" s="43" t="n">
        <v>0</v>
      </c>
      <c r="H50" s="43" t="n">
        <v>0</v>
      </c>
      <c r="I50" s="48" t="n">
        <f aca="false">IF(AND(A50="",F50="",G50=""),"",N(F50)+N(G50))</f>
        <v>2</v>
      </c>
      <c r="J50" s="42" t="n">
        <f aca="false">IF(AND(ISNUMBER(D50),D50&gt;0,ISNUMBER(I50)),I50/D50,"")</f>
        <v>0.0285714285714286</v>
      </c>
      <c r="K50" s="42" t="n">
        <f aca="false">IF(AND(ISNUMBER(D50),D50&gt;0),N(E50)/D50,"")</f>
        <v>0.9</v>
      </c>
      <c r="L50" s="46" t="s">
        <v>338</v>
      </c>
      <c r="M50" s="46"/>
    </row>
    <row r="51" customFormat="false" ht="15" hidden="false" customHeight="false" outlineLevel="0" collapsed="false">
      <c r="A51" s="40" t="n">
        <v>46297</v>
      </c>
      <c r="B51" s="46" t="s">
        <v>333</v>
      </c>
      <c r="C51" s="47" t="s">
        <v>300</v>
      </c>
      <c r="D51" s="43" t="n">
        <v>70</v>
      </c>
      <c r="E51" s="43" t="n">
        <v>63</v>
      </c>
      <c r="F51" s="43" t="n">
        <v>4</v>
      </c>
      <c r="G51" s="43" t="n">
        <v>0</v>
      </c>
      <c r="H51" s="43" t="n">
        <v>0</v>
      </c>
      <c r="I51" s="48" t="n">
        <f aca="false">IF(AND(A51="",F51="",G51=""),"",N(F51)+N(G51))</f>
        <v>4</v>
      </c>
      <c r="J51" s="42" t="n">
        <f aca="false">IF(AND(ISNUMBER(D51),D51&gt;0,ISNUMBER(I51)),I51/D51,"")</f>
        <v>0.0571428571428571</v>
      </c>
      <c r="K51" s="42" t="n">
        <f aca="false">IF(AND(ISNUMBER(D51),D51&gt;0),N(E51)/D51,"")</f>
        <v>0.9</v>
      </c>
      <c r="L51" s="46" t="s">
        <v>339</v>
      </c>
      <c r="M51" s="46"/>
    </row>
    <row r="52" customFormat="false" ht="15" hidden="false" customHeight="false" outlineLevel="0" collapsed="false">
      <c r="A52" s="40"/>
      <c r="B52" s="46"/>
      <c r="C52" s="47"/>
      <c r="D52" s="43"/>
      <c r="E52" s="43"/>
      <c r="F52" s="43"/>
      <c r="G52" s="43"/>
      <c r="H52" s="43"/>
      <c r="I52" s="48" t="str">
        <f aca="false">IF(AND(A52="",F52="",G52=""),"",N(F52)+N(G52))</f>
        <v/>
      </c>
      <c r="J52" s="42" t="str">
        <f aca="false">IF(AND(ISNUMBER(D52),D52&gt;0,ISNUMBER(I52)),I52/D52,"")</f>
        <v/>
      </c>
      <c r="K52" s="42" t="str">
        <f aca="false">IF(AND(ISNUMBER(D52),D52&gt;0),N(E52)/D52,"")</f>
        <v/>
      </c>
      <c r="L52" s="46"/>
      <c r="M52" s="46"/>
    </row>
    <row r="53" customFormat="false" ht="15" hidden="false" customHeight="false" outlineLevel="0" collapsed="false">
      <c r="A53" s="40"/>
      <c r="B53" s="46"/>
      <c r="C53" s="47"/>
      <c r="D53" s="43"/>
      <c r="E53" s="43"/>
      <c r="F53" s="43"/>
      <c r="G53" s="43"/>
      <c r="H53" s="43"/>
      <c r="I53" s="48" t="str">
        <f aca="false">IF(AND(A53="",F53="",G53=""),"",N(F53)+N(G53))</f>
        <v/>
      </c>
      <c r="J53" s="42" t="str">
        <f aca="false">IF(AND(ISNUMBER(D53),D53&gt;0,ISNUMBER(I53)),I53/D53,"")</f>
        <v/>
      </c>
      <c r="K53" s="42" t="str">
        <f aca="false">IF(AND(ISNUMBER(D53),D53&gt;0),N(E53)/D53,"")</f>
        <v/>
      </c>
      <c r="L53" s="46"/>
      <c r="M53" s="46"/>
    </row>
    <row r="54" customFormat="false" ht="15" hidden="false" customHeight="false" outlineLevel="0" collapsed="false">
      <c r="A54" s="40"/>
      <c r="B54" s="46"/>
      <c r="C54" s="47"/>
      <c r="D54" s="43"/>
      <c r="E54" s="43"/>
      <c r="F54" s="43"/>
      <c r="G54" s="43"/>
      <c r="H54" s="43"/>
      <c r="I54" s="48" t="str">
        <f aca="false">IF(AND(A54="",F54="",G54=""),"",N(F54)+N(G54))</f>
        <v/>
      </c>
      <c r="J54" s="42" t="str">
        <f aca="false">IF(AND(ISNUMBER(D54),D54&gt;0,ISNUMBER(I54)),I54/D54,"")</f>
        <v/>
      </c>
      <c r="K54" s="42" t="str">
        <f aca="false">IF(AND(ISNUMBER(D54),D54&gt;0),N(E54)/D54,"")</f>
        <v/>
      </c>
      <c r="L54" s="46"/>
      <c r="M54" s="46"/>
    </row>
    <row r="55" customFormat="false" ht="15" hidden="false" customHeight="false" outlineLevel="0" collapsed="false">
      <c r="A55" s="40"/>
      <c r="B55" s="46"/>
      <c r="C55" s="47"/>
      <c r="D55" s="43"/>
      <c r="E55" s="43"/>
      <c r="F55" s="43"/>
      <c r="G55" s="43"/>
      <c r="H55" s="43"/>
      <c r="I55" s="48" t="str">
        <f aca="false">IF(AND(A55="",F55="",G55=""),"",N(F55)+N(G55))</f>
        <v/>
      </c>
      <c r="J55" s="42" t="str">
        <f aca="false">IF(AND(ISNUMBER(D55),D55&gt;0,ISNUMBER(I55)),I55/D55,"")</f>
        <v/>
      </c>
      <c r="K55" s="42" t="str">
        <f aca="false">IF(AND(ISNUMBER(D55),D55&gt;0),N(E55)/D55,"")</f>
        <v/>
      </c>
      <c r="L55" s="46"/>
      <c r="M55" s="46"/>
    </row>
    <row r="56" customFormat="false" ht="15" hidden="false" customHeight="false" outlineLevel="0" collapsed="false">
      <c r="A56" s="40"/>
      <c r="B56" s="46"/>
      <c r="C56" s="47"/>
      <c r="D56" s="43"/>
      <c r="E56" s="43"/>
      <c r="F56" s="43"/>
      <c r="G56" s="43"/>
      <c r="H56" s="43"/>
      <c r="I56" s="48" t="str">
        <f aca="false">IF(AND(A56="",F56="",G56=""),"",N(F56)+N(G56))</f>
        <v/>
      </c>
      <c r="J56" s="42" t="str">
        <f aca="false">IF(AND(ISNUMBER(D56),D56&gt;0,ISNUMBER(I56)),I56/D56,"")</f>
        <v/>
      </c>
      <c r="K56" s="42" t="str">
        <f aca="false">IF(AND(ISNUMBER(D56),D56&gt;0),N(E56)/D56,"")</f>
        <v/>
      </c>
      <c r="L56" s="46"/>
      <c r="M56" s="46"/>
    </row>
    <row r="57" customFormat="false" ht="15" hidden="false" customHeight="false" outlineLevel="0" collapsed="false">
      <c r="A57" s="40"/>
      <c r="B57" s="46"/>
      <c r="C57" s="47"/>
      <c r="D57" s="43"/>
      <c r="E57" s="43"/>
      <c r="F57" s="43"/>
      <c r="G57" s="43"/>
      <c r="H57" s="43"/>
      <c r="I57" s="48" t="str">
        <f aca="false">IF(AND(A57="",F57="",G57=""),"",N(F57)+N(G57))</f>
        <v/>
      </c>
      <c r="J57" s="42" t="str">
        <f aca="false">IF(AND(ISNUMBER(D57),D57&gt;0,ISNUMBER(I57)),I57/D57,"")</f>
        <v/>
      </c>
      <c r="K57" s="42" t="str">
        <f aca="false">IF(AND(ISNUMBER(D57),D57&gt;0),N(E57)/D57,"")</f>
        <v/>
      </c>
      <c r="L57" s="46"/>
      <c r="M57" s="46"/>
    </row>
    <row r="58" customFormat="false" ht="15" hidden="false" customHeight="false" outlineLevel="0" collapsed="false">
      <c r="A58" s="40"/>
      <c r="B58" s="46"/>
      <c r="C58" s="47"/>
      <c r="D58" s="43"/>
      <c r="E58" s="43"/>
      <c r="F58" s="43"/>
      <c r="G58" s="43"/>
      <c r="H58" s="43"/>
      <c r="I58" s="48" t="str">
        <f aca="false">IF(AND(A58="",F58="",G58=""),"",N(F58)+N(G58))</f>
        <v/>
      </c>
      <c r="J58" s="42" t="str">
        <f aca="false">IF(AND(ISNUMBER(D58),D58&gt;0,ISNUMBER(I58)),I58/D58,"")</f>
        <v/>
      </c>
      <c r="K58" s="42" t="str">
        <f aca="false">IF(AND(ISNUMBER(D58),D58&gt;0),N(E58)/D58,"")</f>
        <v/>
      </c>
      <c r="L58" s="46"/>
      <c r="M58" s="46"/>
    </row>
    <row r="59" customFormat="false" ht="15" hidden="false" customHeight="false" outlineLevel="0" collapsed="false">
      <c r="A59" s="40"/>
      <c r="B59" s="46"/>
      <c r="C59" s="47"/>
      <c r="D59" s="43"/>
      <c r="E59" s="43"/>
      <c r="F59" s="43"/>
      <c r="G59" s="43"/>
      <c r="H59" s="43"/>
      <c r="I59" s="48" t="str">
        <f aca="false">IF(AND(A59="",F59="",G59=""),"",N(F59)+N(G59))</f>
        <v/>
      </c>
      <c r="J59" s="42" t="str">
        <f aca="false">IF(AND(ISNUMBER(D59),D59&gt;0,ISNUMBER(I59)),I59/D59,"")</f>
        <v/>
      </c>
      <c r="K59" s="42" t="str">
        <f aca="false">IF(AND(ISNUMBER(D59),D59&gt;0),N(E59)/D59,"")</f>
        <v/>
      </c>
      <c r="L59" s="46"/>
      <c r="M59" s="46"/>
    </row>
    <row r="60" customFormat="false" ht="15" hidden="false" customHeight="false" outlineLevel="0" collapsed="false">
      <c r="A60" s="40"/>
      <c r="B60" s="46"/>
      <c r="C60" s="47"/>
      <c r="D60" s="43"/>
      <c r="E60" s="43"/>
      <c r="F60" s="43"/>
      <c r="G60" s="43"/>
      <c r="H60" s="43"/>
      <c r="I60" s="48" t="str">
        <f aca="false">IF(AND(A60="",F60="",G60=""),"",N(F60)+N(G60))</f>
        <v/>
      </c>
      <c r="J60" s="42" t="str">
        <f aca="false">IF(AND(ISNUMBER(D60),D60&gt;0,ISNUMBER(I60)),I60/D60,"")</f>
        <v/>
      </c>
      <c r="K60" s="42" t="str">
        <f aca="false">IF(AND(ISNUMBER(D60),D60&gt;0),N(E60)/D60,"")</f>
        <v/>
      </c>
      <c r="L60" s="46"/>
      <c r="M60" s="46"/>
    </row>
    <row r="61" customFormat="false" ht="15" hidden="false" customHeight="false" outlineLevel="0" collapsed="false">
      <c r="A61" s="40"/>
      <c r="B61" s="46"/>
      <c r="C61" s="47"/>
      <c r="D61" s="43"/>
      <c r="E61" s="43"/>
      <c r="F61" s="43"/>
      <c r="G61" s="43"/>
      <c r="H61" s="43"/>
      <c r="I61" s="48" t="str">
        <f aca="false">IF(AND(A61="",F61="",G61=""),"",N(F61)+N(G61))</f>
        <v/>
      </c>
      <c r="J61" s="42" t="str">
        <f aca="false">IF(AND(ISNUMBER(D61),D61&gt;0,ISNUMBER(I61)),I61/D61,"")</f>
        <v/>
      </c>
      <c r="K61" s="42" t="str">
        <f aca="false">IF(AND(ISNUMBER(D61),D61&gt;0),N(E61)/D61,"")</f>
        <v/>
      </c>
      <c r="L61" s="46"/>
      <c r="M61" s="46"/>
    </row>
    <row r="62" customFormat="false" ht="15" hidden="false" customHeight="false" outlineLevel="0" collapsed="false">
      <c r="A62" s="40"/>
      <c r="B62" s="46"/>
      <c r="C62" s="47"/>
      <c r="D62" s="43"/>
      <c r="E62" s="43"/>
      <c r="F62" s="43"/>
      <c r="G62" s="43"/>
      <c r="H62" s="43"/>
      <c r="I62" s="48" t="str">
        <f aca="false">IF(AND(A62="",F62="",G62=""),"",N(F62)+N(G62))</f>
        <v/>
      </c>
      <c r="J62" s="42" t="str">
        <f aca="false">IF(AND(ISNUMBER(D62),D62&gt;0,ISNUMBER(I62)),I62/D62,"")</f>
        <v/>
      </c>
      <c r="K62" s="42" t="str">
        <f aca="false">IF(AND(ISNUMBER(D62),D62&gt;0),N(E62)/D62,"")</f>
        <v/>
      </c>
      <c r="L62" s="46"/>
      <c r="M62" s="46"/>
    </row>
    <row r="63" customFormat="false" ht="15" hidden="false" customHeight="false" outlineLevel="0" collapsed="false">
      <c r="A63" s="40"/>
      <c r="B63" s="46"/>
      <c r="C63" s="47"/>
      <c r="D63" s="43"/>
      <c r="E63" s="43"/>
      <c r="F63" s="43"/>
      <c r="G63" s="43"/>
      <c r="H63" s="43"/>
      <c r="I63" s="48" t="str">
        <f aca="false">IF(AND(A63="",F63="",G63=""),"",N(F63)+N(G63))</f>
        <v/>
      </c>
      <c r="J63" s="42" t="str">
        <f aca="false">IF(AND(ISNUMBER(D63),D63&gt;0,ISNUMBER(I63)),I63/D63,"")</f>
        <v/>
      </c>
      <c r="K63" s="42" t="str">
        <f aca="false">IF(AND(ISNUMBER(D63),D63&gt;0),N(E63)/D63,"")</f>
        <v/>
      </c>
      <c r="L63" s="46"/>
      <c r="M63" s="46"/>
    </row>
    <row r="64" customFormat="false" ht="15" hidden="false" customHeight="false" outlineLevel="0" collapsed="false">
      <c r="A64" s="40"/>
      <c r="B64" s="46"/>
      <c r="C64" s="47"/>
      <c r="D64" s="43"/>
      <c r="E64" s="43"/>
      <c r="F64" s="43"/>
      <c r="G64" s="43"/>
      <c r="H64" s="43"/>
      <c r="I64" s="48" t="str">
        <f aca="false">IF(AND(A64="",F64="",G64=""),"",N(F64)+N(G64))</f>
        <v/>
      </c>
      <c r="J64" s="42" t="str">
        <f aca="false">IF(AND(ISNUMBER(D64),D64&gt;0,ISNUMBER(I64)),I64/D64,"")</f>
        <v/>
      </c>
      <c r="K64" s="42" t="str">
        <f aca="false">IF(AND(ISNUMBER(D64),D64&gt;0),N(E64)/D64,"")</f>
        <v/>
      </c>
      <c r="L64" s="46"/>
      <c r="M64" s="46"/>
    </row>
    <row r="65" customFormat="false" ht="15" hidden="false" customHeight="false" outlineLevel="0" collapsed="false">
      <c r="A65" s="40"/>
      <c r="B65" s="46"/>
      <c r="C65" s="47"/>
      <c r="D65" s="43"/>
      <c r="E65" s="43"/>
      <c r="F65" s="43"/>
      <c r="G65" s="43"/>
      <c r="H65" s="43"/>
      <c r="I65" s="48" t="str">
        <f aca="false">IF(AND(A65="",F65="",G65=""),"",N(F65)+N(G65))</f>
        <v/>
      </c>
      <c r="J65" s="42" t="str">
        <f aca="false">IF(AND(ISNUMBER(D65),D65&gt;0,ISNUMBER(I65)),I65/D65,"")</f>
        <v/>
      </c>
      <c r="K65" s="42" t="str">
        <f aca="false">IF(AND(ISNUMBER(D65),D65&gt;0),N(E65)/D65,"")</f>
        <v/>
      </c>
      <c r="L65" s="46"/>
      <c r="M65" s="46"/>
    </row>
    <row r="66" customFormat="false" ht="15" hidden="false" customHeight="false" outlineLevel="0" collapsed="false">
      <c r="A66" s="40"/>
      <c r="B66" s="46"/>
      <c r="C66" s="47"/>
      <c r="D66" s="43"/>
      <c r="E66" s="43"/>
      <c r="F66" s="43"/>
      <c r="G66" s="43"/>
      <c r="H66" s="43"/>
      <c r="I66" s="48" t="str">
        <f aca="false">IF(AND(A66="",F66="",G66=""),"",N(F66)+N(G66))</f>
        <v/>
      </c>
      <c r="J66" s="42" t="str">
        <f aca="false">IF(AND(ISNUMBER(D66),D66&gt;0,ISNUMBER(I66)),I66/D66,"")</f>
        <v/>
      </c>
      <c r="K66" s="42" t="str">
        <f aca="false">IF(AND(ISNUMBER(D66),D66&gt;0),N(E66)/D66,"")</f>
        <v/>
      </c>
      <c r="L66" s="46"/>
      <c r="M66" s="46"/>
    </row>
    <row r="67" customFormat="false" ht="15" hidden="false" customHeight="false" outlineLevel="0" collapsed="false">
      <c r="A67" s="40"/>
      <c r="B67" s="46"/>
      <c r="C67" s="47"/>
      <c r="D67" s="43"/>
      <c r="E67" s="43"/>
      <c r="F67" s="43"/>
      <c r="G67" s="43"/>
      <c r="H67" s="43"/>
      <c r="I67" s="48" t="str">
        <f aca="false">IF(AND(A67="",F67="",G67=""),"",N(F67)+N(G67))</f>
        <v/>
      </c>
      <c r="J67" s="42" t="str">
        <f aca="false">IF(AND(ISNUMBER(D67),D67&gt;0,ISNUMBER(I67)),I67/D67,"")</f>
        <v/>
      </c>
      <c r="K67" s="42" t="str">
        <f aca="false">IF(AND(ISNUMBER(D67),D67&gt;0),N(E67)/D67,"")</f>
        <v/>
      </c>
      <c r="L67" s="46"/>
      <c r="M67" s="46"/>
    </row>
    <row r="68" customFormat="false" ht="15" hidden="false" customHeight="false" outlineLevel="0" collapsed="false">
      <c r="A68" s="40"/>
      <c r="B68" s="46"/>
      <c r="C68" s="47"/>
      <c r="D68" s="43"/>
      <c r="E68" s="43"/>
      <c r="F68" s="43"/>
      <c r="G68" s="43"/>
      <c r="H68" s="43"/>
      <c r="I68" s="48" t="str">
        <f aca="false">IF(AND(A68="",F68="",G68=""),"",N(F68)+N(G68))</f>
        <v/>
      </c>
      <c r="J68" s="42" t="str">
        <f aca="false">IF(AND(ISNUMBER(D68),D68&gt;0,ISNUMBER(I68)),I68/D68,"")</f>
        <v/>
      </c>
      <c r="K68" s="42" t="str">
        <f aca="false">IF(AND(ISNUMBER(D68),D68&gt;0),N(E68)/D68,"")</f>
        <v/>
      </c>
      <c r="L68" s="46"/>
      <c r="M68" s="46"/>
    </row>
    <row r="69" customFormat="false" ht="15" hidden="false" customHeight="false" outlineLevel="0" collapsed="false">
      <c r="A69" s="40"/>
      <c r="B69" s="46"/>
      <c r="C69" s="47"/>
      <c r="D69" s="43"/>
      <c r="E69" s="43"/>
      <c r="F69" s="43"/>
      <c r="G69" s="43"/>
      <c r="H69" s="43"/>
      <c r="I69" s="48" t="str">
        <f aca="false">IF(AND(A69="",F69="",G69=""),"",N(F69)+N(G69))</f>
        <v/>
      </c>
      <c r="J69" s="42" t="str">
        <f aca="false">IF(AND(ISNUMBER(D69),D69&gt;0,ISNUMBER(I69)),I69/D69,"")</f>
        <v/>
      </c>
      <c r="K69" s="42" t="str">
        <f aca="false">IF(AND(ISNUMBER(D69),D69&gt;0),N(E69)/D69,"")</f>
        <v/>
      </c>
      <c r="L69" s="46"/>
      <c r="M69" s="46"/>
    </row>
    <row r="70" customFormat="false" ht="15" hidden="false" customHeight="false" outlineLevel="0" collapsed="false">
      <c r="A70" s="40"/>
      <c r="B70" s="46"/>
      <c r="C70" s="47"/>
      <c r="D70" s="43"/>
      <c r="E70" s="43"/>
      <c r="F70" s="43"/>
      <c r="G70" s="43"/>
      <c r="H70" s="43"/>
      <c r="I70" s="48" t="str">
        <f aca="false">IF(AND(A70="",F70="",G70=""),"",N(F70)+N(G70))</f>
        <v/>
      </c>
      <c r="J70" s="42" t="str">
        <f aca="false">IF(AND(ISNUMBER(D70),D70&gt;0,ISNUMBER(I70)),I70/D70,"")</f>
        <v/>
      </c>
      <c r="K70" s="42" t="str">
        <f aca="false">IF(AND(ISNUMBER(D70),D70&gt;0),N(E70)/D70,"")</f>
        <v/>
      </c>
      <c r="L70" s="46"/>
      <c r="M70" s="46"/>
    </row>
    <row r="71" customFormat="false" ht="15" hidden="false" customHeight="false" outlineLevel="0" collapsed="false">
      <c r="A71" s="40"/>
      <c r="B71" s="46"/>
      <c r="C71" s="47"/>
      <c r="D71" s="43"/>
      <c r="E71" s="43"/>
      <c r="F71" s="43"/>
      <c r="G71" s="43"/>
      <c r="H71" s="43"/>
      <c r="I71" s="48" t="str">
        <f aca="false">IF(AND(A71="",F71="",G71=""),"",N(F71)+N(G71))</f>
        <v/>
      </c>
      <c r="J71" s="42" t="str">
        <f aca="false">IF(AND(ISNUMBER(D71),D71&gt;0,ISNUMBER(I71)),I71/D71,"")</f>
        <v/>
      </c>
      <c r="K71" s="42" t="str">
        <f aca="false">IF(AND(ISNUMBER(D71),D71&gt;0),N(E71)/D71,"")</f>
        <v/>
      </c>
      <c r="L71" s="46"/>
      <c r="M71" s="46"/>
    </row>
    <row r="72" customFormat="false" ht="15" hidden="false" customHeight="false" outlineLevel="0" collapsed="false">
      <c r="A72" s="40"/>
      <c r="B72" s="46"/>
      <c r="C72" s="47"/>
      <c r="D72" s="43"/>
      <c r="E72" s="43"/>
      <c r="F72" s="43"/>
      <c r="G72" s="43"/>
      <c r="H72" s="43"/>
      <c r="I72" s="48" t="str">
        <f aca="false">IF(AND(A72="",F72="",G72=""),"",N(F72)+N(G72))</f>
        <v/>
      </c>
      <c r="J72" s="42" t="str">
        <f aca="false">IF(AND(ISNUMBER(D72),D72&gt;0,ISNUMBER(I72)),I72/D72,"")</f>
        <v/>
      </c>
      <c r="K72" s="42" t="str">
        <f aca="false">IF(AND(ISNUMBER(D72),D72&gt;0),N(E72)/D72,"")</f>
        <v/>
      </c>
      <c r="L72" s="46"/>
      <c r="M72" s="46"/>
    </row>
    <row r="73" customFormat="false" ht="15" hidden="false" customHeight="false" outlineLevel="0" collapsed="false">
      <c r="A73" s="40"/>
      <c r="B73" s="46"/>
      <c r="C73" s="47"/>
      <c r="D73" s="43"/>
      <c r="E73" s="43"/>
      <c r="F73" s="43"/>
      <c r="G73" s="43"/>
      <c r="H73" s="43"/>
      <c r="I73" s="48" t="str">
        <f aca="false">IF(AND(A73="",F73="",G73=""),"",N(F73)+N(G73))</f>
        <v/>
      </c>
      <c r="J73" s="42" t="str">
        <f aca="false">IF(AND(ISNUMBER(D73),D73&gt;0,ISNUMBER(I73)),I73/D73,"")</f>
        <v/>
      </c>
      <c r="K73" s="42" t="str">
        <f aca="false">IF(AND(ISNUMBER(D73),D73&gt;0),N(E73)/D73,"")</f>
        <v/>
      </c>
      <c r="L73" s="46"/>
      <c r="M73" s="46"/>
    </row>
    <row r="74" customFormat="false" ht="15" hidden="false" customHeight="false" outlineLevel="0" collapsed="false">
      <c r="A74" s="40"/>
      <c r="B74" s="46"/>
      <c r="C74" s="47"/>
      <c r="D74" s="43"/>
      <c r="E74" s="43"/>
      <c r="F74" s="43"/>
      <c r="G74" s="43"/>
      <c r="H74" s="43"/>
      <c r="I74" s="48" t="str">
        <f aca="false">IF(AND(A74="",F74="",G74=""),"",N(F74)+N(G74))</f>
        <v/>
      </c>
      <c r="J74" s="42" t="str">
        <f aca="false">IF(AND(ISNUMBER(D74),D74&gt;0,ISNUMBER(I74)),I74/D74,"")</f>
        <v/>
      </c>
      <c r="K74" s="42" t="str">
        <f aca="false">IF(AND(ISNUMBER(D74),D74&gt;0),N(E74)/D74,"")</f>
        <v/>
      </c>
      <c r="L74" s="46"/>
      <c r="M74" s="46"/>
    </row>
    <row r="75" customFormat="false" ht="15" hidden="false" customHeight="false" outlineLevel="0" collapsed="false">
      <c r="A75" s="40"/>
      <c r="B75" s="46"/>
      <c r="C75" s="47"/>
      <c r="D75" s="43"/>
      <c r="E75" s="43"/>
      <c r="F75" s="43"/>
      <c r="G75" s="43"/>
      <c r="H75" s="43"/>
      <c r="I75" s="48" t="str">
        <f aca="false">IF(AND(A75="",F75="",G75=""),"",N(F75)+N(G75))</f>
        <v/>
      </c>
      <c r="J75" s="42" t="str">
        <f aca="false">IF(AND(ISNUMBER(D75),D75&gt;0,ISNUMBER(I75)),I75/D75,"")</f>
        <v/>
      </c>
      <c r="K75" s="42" t="str">
        <f aca="false">IF(AND(ISNUMBER(D75),D75&gt;0),N(E75)/D75,"")</f>
        <v/>
      </c>
      <c r="L75" s="46"/>
      <c r="M75" s="46"/>
    </row>
    <row r="76" customFormat="false" ht="15" hidden="false" customHeight="false" outlineLevel="0" collapsed="false">
      <c r="A76" s="40"/>
      <c r="B76" s="46"/>
      <c r="C76" s="47"/>
      <c r="D76" s="43"/>
      <c r="E76" s="43"/>
      <c r="F76" s="43"/>
      <c r="G76" s="43"/>
      <c r="H76" s="43"/>
      <c r="I76" s="48" t="str">
        <f aca="false">IF(AND(A76="",F76="",G76=""),"",N(F76)+N(G76))</f>
        <v/>
      </c>
      <c r="J76" s="42" t="str">
        <f aca="false">IF(AND(ISNUMBER(D76),D76&gt;0,ISNUMBER(I76)),I76/D76,"")</f>
        <v/>
      </c>
      <c r="K76" s="42" t="str">
        <f aca="false">IF(AND(ISNUMBER(D76),D76&gt;0),N(E76)/D76,"")</f>
        <v/>
      </c>
      <c r="L76" s="46"/>
      <c r="M76" s="46"/>
    </row>
    <row r="77" customFormat="false" ht="15" hidden="false" customHeight="false" outlineLevel="0" collapsed="false">
      <c r="A77" s="40"/>
      <c r="B77" s="46"/>
      <c r="C77" s="47"/>
      <c r="D77" s="43"/>
      <c r="E77" s="43"/>
      <c r="F77" s="43"/>
      <c r="G77" s="43"/>
      <c r="H77" s="43"/>
      <c r="I77" s="48" t="str">
        <f aca="false">IF(AND(A77="",F77="",G77=""),"",N(F77)+N(G77))</f>
        <v/>
      </c>
      <c r="J77" s="42" t="str">
        <f aca="false">IF(AND(ISNUMBER(D77),D77&gt;0,ISNUMBER(I77)),I77/D77,"")</f>
        <v/>
      </c>
      <c r="K77" s="42" t="str">
        <f aca="false">IF(AND(ISNUMBER(D77),D77&gt;0),N(E77)/D77,"")</f>
        <v/>
      </c>
      <c r="L77" s="46"/>
      <c r="M77" s="46"/>
    </row>
    <row r="78" customFormat="false" ht="15" hidden="false" customHeight="false" outlineLevel="0" collapsed="false">
      <c r="A78" s="40"/>
      <c r="B78" s="46"/>
      <c r="C78" s="47"/>
      <c r="D78" s="43"/>
      <c r="E78" s="43"/>
      <c r="F78" s="43"/>
      <c r="G78" s="43"/>
      <c r="H78" s="43"/>
      <c r="I78" s="48" t="str">
        <f aca="false">IF(AND(A78="",F78="",G78=""),"",N(F78)+N(G78))</f>
        <v/>
      </c>
      <c r="J78" s="42" t="str">
        <f aca="false">IF(AND(ISNUMBER(D78),D78&gt;0,ISNUMBER(I78)),I78/D78,"")</f>
        <v/>
      </c>
      <c r="K78" s="42" t="str">
        <f aca="false">IF(AND(ISNUMBER(D78),D78&gt;0),N(E78)/D78,"")</f>
        <v/>
      </c>
      <c r="L78" s="46"/>
      <c r="M78" s="46"/>
    </row>
    <row r="79" customFormat="false" ht="15" hidden="false" customHeight="false" outlineLevel="0" collapsed="false">
      <c r="A79" s="40"/>
      <c r="B79" s="46"/>
      <c r="C79" s="47"/>
      <c r="D79" s="43"/>
      <c r="E79" s="43"/>
      <c r="F79" s="43"/>
      <c r="G79" s="43"/>
      <c r="H79" s="43"/>
      <c r="I79" s="48" t="str">
        <f aca="false">IF(AND(A79="",F79="",G79=""),"",N(F79)+N(G79))</f>
        <v/>
      </c>
      <c r="J79" s="42" t="str">
        <f aca="false">IF(AND(ISNUMBER(D79),D79&gt;0,ISNUMBER(I79)),I79/D79,"")</f>
        <v/>
      </c>
      <c r="K79" s="42" t="str">
        <f aca="false">IF(AND(ISNUMBER(D79),D79&gt;0),N(E79)/D79,"")</f>
        <v/>
      </c>
      <c r="L79" s="46"/>
      <c r="M79" s="46"/>
    </row>
    <row r="80" customFormat="false" ht="15" hidden="false" customHeight="false" outlineLevel="0" collapsed="false">
      <c r="A80" s="40"/>
      <c r="B80" s="46"/>
      <c r="C80" s="47"/>
      <c r="D80" s="43"/>
      <c r="E80" s="43"/>
      <c r="F80" s="43"/>
      <c r="G80" s="43"/>
      <c r="H80" s="43"/>
      <c r="I80" s="48" t="str">
        <f aca="false">IF(AND(A80="",F80="",G80=""),"",N(F80)+N(G80))</f>
        <v/>
      </c>
      <c r="J80" s="42" t="str">
        <f aca="false">IF(AND(ISNUMBER(D80),D80&gt;0,ISNUMBER(I80)),I80/D80,"")</f>
        <v/>
      </c>
      <c r="K80" s="42" t="str">
        <f aca="false">IF(AND(ISNUMBER(D80),D80&gt;0),N(E80)/D80,"")</f>
        <v/>
      </c>
      <c r="L80" s="46"/>
      <c r="M80" s="46"/>
    </row>
    <row r="81" customFormat="false" ht="15" hidden="false" customHeight="false" outlineLevel="0" collapsed="false">
      <c r="A81" s="40"/>
      <c r="B81" s="46"/>
      <c r="C81" s="47"/>
      <c r="D81" s="43"/>
      <c r="E81" s="43"/>
      <c r="F81" s="43"/>
      <c r="G81" s="43"/>
      <c r="H81" s="43"/>
      <c r="I81" s="48" t="str">
        <f aca="false">IF(AND(A81="",F81="",G81=""),"",N(F81)+N(G81))</f>
        <v/>
      </c>
      <c r="J81" s="42" t="str">
        <f aca="false">IF(AND(ISNUMBER(D81),D81&gt;0,ISNUMBER(I81)),I81/D81,"")</f>
        <v/>
      </c>
      <c r="K81" s="42" t="str">
        <f aca="false">IF(AND(ISNUMBER(D81),D81&gt;0),N(E81)/D81,"")</f>
        <v/>
      </c>
      <c r="L81" s="46"/>
      <c r="M81" s="46"/>
    </row>
    <row r="82" customFormat="false" ht="15" hidden="false" customHeight="false" outlineLevel="0" collapsed="false">
      <c r="A82" s="40"/>
      <c r="B82" s="46"/>
      <c r="C82" s="47"/>
      <c r="D82" s="43"/>
      <c r="E82" s="43"/>
      <c r="F82" s="43"/>
      <c r="G82" s="43"/>
      <c r="H82" s="43"/>
      <c r="I82" s="48" t="str">
        <f aca="false">IF(AND(A82="",F82="",G82=""),"",N(F82)+N(G82))</f>
        <v/>
      </c>
      <c r="J82" s="42" t="str">
        <f aca="false">IF(AND(ISNUMBER(D82),D82&gt;0,ISNUMBER(I82)),I82/D82,"")</f>
        <v/>
      </c>
      <c r="K82" s="42" t="str">
        <f aca="false">IF(AND(ISNUMBER(D82),D82&gt;0),N(E82)/D82,"")</f>
        <v/>
      </c>
      <c r="L82" s="46"/>
      <c r="M82" s="46"/>
    </row>
    <row r="83" customFormat="false" ht="15" hidden="false" customHeight="false" outlineLevel="0" collapsed="false">
      <c r="A83" s="40"/>
      <c r="B83" s="46"/>
      <c r="C83" s="47"/>
      <c r="D83" s="43"/>
      <c r="E83" s="43"/>
      <c r="F83" s="43"/>
      <c r="G83" s="43"/>
      <c r="H83" s="43"/>
      <c r="I83" s="48" t="str">
        <f aca="false">IF(AND(A83="",F83="",G83=""),"",N(F83)+N(G83))</f>
        <v/>
      </c>
      <c r="J83" s="42" t="str">
        <f aca="false">IF(AND(ISNUMBER(D83),D83&gt;0,ISNUMBER(I83)),I83/D83,"")</f>
        <v/>
      </c>
      <c r="K83" s="42" t="str">
        <f aca="false">IF(AND(ISNUMBER(D83),D83&gt;0),N(E83)/D83,"")</f>
        <v/>
      </c>
      <c r="L83" s="46"/>
      <c r="M83" s="46"/>
    </row>
    <row r="84" customFormat="false" ht="15" hidden="false" customHeight="false" outlineLevel="0" collapsed="false">
      <c r="A84" s="40"/>
      <c r="B84" s="46"/>
      <c r="C84" s="47"/>
      <c r="D84" s="43"/>
      <c r="E84" s="43"/>
      <c r="F84" s="43"/>
      <c r="G84" s="43"/>
      <c r="H84" s="43"/>
      <c r="I84" s="48" t="str">
        <f aca="false">IF(AND(A84="",F84="",G84=""),"",N(F84)+N(G84))</f>
        <v/>
      </c>
      <c r="J84" s="42" t="str">
        <f aca="false">IF(AND(ISNUMBER(D84),D84&gt;0,ISNUMBER(I84)),I84/D84,"")</f>
        <v/>
      </c>
      <c r="K84" s="42" t="str">
        <f aca="false">IF(AND(ISNUMBER(D84),D84&gt;0),N(E84)/D84,"")</f>
        <v/>
      </c>
      <c r="L84" s="46"/>
      <c r="M84" s="46"/>
    </row>
    <row r="85" customFormat="false" ht="15" hidden="false" customHeight="false" outlineLevel="0" collapsed="false">
      <c r="A85" s="40"/>
      <c r="B85" s="46"/>
      <c r="C85" s="47"/>
      <c r="D85" s="43"/>
      <c r="E85" s="43"/>
      <c r="F85" s="43"/>
      <c r="G85" s="43"/>
      <c r="H85" s="43"/>
      <c r="I85" s="48" t="str">
        <f aca="false">IF(AND(A85="",F85="",G85=""),"",N(F85)+N(G85))</f>
        <v/>
      </c>
      <c r="J85" s="42" t="str">
        <f aca="false">IF(AND(ISNUMBER(D85),D85&gt;0,ISNUMBER(I85)),I85/D85,"")</f>
        <v/>
      </c>
      <c r="K85" s="42" t="str">
        <f aca="false">IF(AND(ISNUMBER(D85),D85&gt;0),N(E85)/D85,"")</f>
        <v/>
      </c>
      <c r="L85" s="46"/>
      <c r="M85" s="46"/>
    </row>
    <row r="86" customFormat="false" ht="15" hidden="false" customHeight="false" outlineLevel="0" collapsed="false">
      <c r="A86" s="40"/>
      <c r="B86" s="46"/>
      <c r="C86" s="47"/>
      <c r="D86" s="43"/>
      <c r="E86" s="43"/>
      <c r="F86" s="43"/>
      <c r="G86" s="43"/>
      <c r="H86" s="43"/>
      <c r="I86" s="48" t="str">
        <f aca="false">IF(AND(A86="",F86="",G86=""),"",N(F86)+N(G86))</f>
        <v/>
      </c>
      <c r="J86" s="42" t="str">
        <f aca="false">IF(AND(ISNUMBER(D86),D86&gt;0,ISNUMBER(I86)),I86/D86,"")</f>
        <v/>
      </c>
      <c r="K86" s="42" t="str">
        <f aca="false">IF(AND(ISNUMBER(D86),D86&gt;0),N(E86)/D86,"")</f>
        <v/>
      </c>
      <c r="L86" s="46"/>
      <c r="M86" s="46"/>
    </row>
    <row r="87" customFormat="false" ht="15" hidden="false" customHeight="false" outlineLevel="0" collapsed="false">
      <c r="A87" s="40"/>
      <c r="B87" s="46"/>
      <c r="C87" s="47"/>
      <c r="D87" s="43"/>
      <c r="E87" s="43"/>
      <c r="F87" s="43"/>
      <c r="G87" s="43"/>
      <c r="H87" s="43"/>
      <c r="I87" s="48" t="str">
        <f aca="false">IF(AND(A87="",F87="",G87=""),"",N(F87)+N(G87))</f>
        <v/>
      </c>
      <c r="J87" s="42" t="str">
        <f aca="false">IF(AND(ISNUMBER(D87),D87&gt;0,ISNUMBER(I87)),I87/D87,"")</f>
        <v/>
      </c>
      <c r="K87" s="42" t="str">
        <f aca="false">IF(AND(ISNUMBER(D87),D87&gt;0),N(E87)/D87,"")</f>
        <v/>
      </c>
      <c r="L87" s="46"/>
      <c r="M87" s="46"/>
    </row>
    <row r="88" customFormat="false" ht="15" hidden="false" customHeight="false" outlineLevel="0" collapsed="false">
      <c r="A88" s="40"/>
      <c r="B88" s="46"/>
      <c r="C88" s="47"/>
      <c r="D88" s="43"/>
      <c r="E88" s="43"/>
      <c r="F88" s="43"/>
      <c r="G88" s="43"/>
      <c r="H88" s="43"/>
      <c r="I88" s="48" t="str">
        <f aca="false">IF(AND(A88="",F88="",G88=""),"",N(F88)+N(G88))</f>
        <v/>
      </c>
      <c r="J88" s="42" t="str">
        <f aca="false">IF(AND(ISNUMBER(D88),D88&gt;0,ISNUMBER(I88)),I88/D88,"")</f>
        <v/>
      </c>
      <c r="K88" s="42" t="str">
        <f aca="false">IF(AND(ISNUMBER(D88),D88&gt;0),N(E88)/D88,"")</f>
        <v/>
      </c>
      <c r="L88" s="46"/>
      <c r="M88" s="46"/>
    </row>
    <row r="89" customFormat="false" ht="15" hidden="false" customHeight="false" outlineLevel="0" collapsed="false">
      <c r="A89" s="40"/>
      <c r="B89" s="46"/>
      <c r="C89" s="47"/>
      <c r="D89" s="43"/>
      <c r="E89" s="43"/>
      <c r="F89" s="43"/>
      <c r="G89" s="43"/>
      <c r="H89" s="43"/>
      <c r="I89" s="48" t="str">
        <f aca="false">IF(AND(A89="",F89="",G89=""),"",N(F89)+N(G89))</f>
        <v/>
      </c>
      <c r="J89" s="42" t="str">
        <f aca="false">IF(AND(ISNUMBER(D89),D89&gt;0,ISNUMBER(I89)),I89/D89,"")</f>
        <v/>
      </c>
      <c r="K89" s="42" t="str">
        <f aca="false">IF(AND(ISNUMBER(D89),D89&gt;0),N(E89)/D89,"")</f>
        <v/>
      </c>
      <c r="L89" s="46"/>
      <c r="M89" s="46"/>
    </row>
    <row r="90" customFormat="false" ht="15" hidden="false" customHeight="false" outlineLevel="0" collapsed="false">
      <c r="A90" s="40"/>
      <c r="B90" s="46"/>
      <c r="C90" s="47"/>
      <c r="D90" s="43"/>
      <c r="E90" s="43"/>
      <c r="F90" s="43"/>
      <c r="G90" s="43"/>
      <c r="H90" s="43"/>
      <c r="I90" s="48" t="str">
        <f aca="false">IF(AND(A90="",F90="",G90=""),"",N(F90)+N(G90))</f>
        <v/>
      </c>
      <c r="J90" s="42" t="str">
        <f aca="false">IF(AND(ISNUMBER(D90),D90&gt;0,ISNUMBER(I90)),I90/D90,"")</f>
        <v/>
      </c>
      <c r="K90" s="42" t="str">
        <f aca="false">IF(AND(ISNUMBER(D90),D90&gt;0),N(E90)/D90,"")</f>
        <v/>
      </c>
      <c r="L90" s="46"/>
      <c r="M90" s="46"/>
    </row>
    <row r="91" customFormat="false" ht="15" hidden="false" customHeight="false" outlineLevel="0" collapsed="false">
      <c r="A91" s="40"/>
      <c r="B91" s="46"/>
      <c r="C91" s="47"/>
      <c r="D91" s="43"/>
      <c r="E91" s="43"/>
      <c r="F91" s="43"/>
      <c r="G91" s="43"/>
      <c r="H91" s="43"/>
      <c r="I91" s="48" t="str">
        <f aca="false">IF(AND(A91="",F91="",G91=""),"",N(F91)+N(G91))</f>
        <v/>
      </c>
      <c r="J91" s="42" t="str">
        <f aca="false">IF(AND(ISNUMBER(D91),D91&gt;0,ISNUMBER(I91)),I91/D91,"")</f>
        <v/>
      </c>
      <c r="K91" s="42" t="str">
        <f aca="false">IF(AND(ISNUMBER(D91),D91&gt;0),N(E91)/D91,"")</f>
        <v/>
      </c>
      <c r="L91" s="46"/>
      <c r="M91" s="46"/>
    </row>
    <row r="92" customFormat="false" ht="15" hidden="false" customHeight="false" outlineLevel="0" collapsed="false">
      <c r="A92" s="40"/>
      <c r="B92" s="46"/>
      <c r="C92" s="47"/>
      <c r="D92" s="43"/>
      <c r="E92" s="43"/>
      <c r="F92" s="43"/>
      <c r="G92" s="43"/>
      <c r="H92" s="43"/>
      <c r="I92" s="48" t="str">
        <f aca="false">IF(AND(A92="",F92="",G92=""),"",N(F92)+N(G92))</f>
        <v/>
      </c>
      <c r="J92" s="42" t="str">
        <f aca="false">IF(AND(ISNUMBER(D92),D92&gt;0,ISNUMBER(I92)),I92/D92,"")</f>
        <v/>
      </c>
      <c r="K92" s="42" t="str">
        <f aca="false">IF(AND(ISNUMBER(D92),D92&gt;0),N(E92)/D92,"")</f>
        <v/>
      </c>
      <c r="L92" s="46"/>
      <c r="M92" s="46"/>
    </row>
    <row r="93" customFormat="false" ht="15" hidden="false" customHeight="false" outlineLevel="0" collapsed="false">
      <c r="A93" s="40"/>
      <c r="B93" s="46"/>
      <c r="C93" s="47"/>
      <c r="D93" s="43"/>
      <c r="E93" s="43"/>
      <c r="F93" s="43"/>
      <c r="G93" s="43"/>
      <c r="H93" s="43"/>
      <c r="I93" s="48" t="str">
        <f aca="false">IF(AND(A93="",F93="",G93=""),"",N(F93)+N(G93))</f>
        <v/>
      </c>
      <c r="J93" s="42" t="str">
        <f aca="false">IF(AND(ISNUMBER(D93),D93&gt;0,ISNUMBER(I93)),I93/D93,"")</f>
        <v/>
      </c>
      <c r="K93" s="42" t="str">
        <f aca="false">IF(AND(ISNUMBER(D93),D93&gt;0),N(E93)/D93,"")</f>
        <v/>
      </c>
      <c r="L93" s="46"/>
      <c r="M93" s="46"/>
    </row>
    <row r="94" customFormat="false" ht="15" hidden="false" customHeight="false" outlineLevel="0" collapsed="false">
      <c r="A94" s="40"/>
      <c r="B94" s="46"/>
      <c r="C94" s="47"/>
      <c r="D94" s="43"/>
      <c r="E94" s="43"/>
      <c r="F94" s="43"/>
      <c r="G94" s="43"/>
      <c r="H94" s="43"/>
      <c r="I94" s="48" t="str">
        <f aca="false">IF(AND(A94="",F94="",G94=""),"",N(F94)+N(G94))</f>
        <v/>
      </c>
      <c r="J94" s="42" t="str">
        <f aca="false">IF(AND(ISNUMBER(D94),D94&gt;0,ISNUMBER(I94)),I94/D94,"")</f>
        <v/>
      </c>
      <c r="K94" s="42" t="str">
        <f aca="false">IF(AND(ISNUMBER(D94),D94&gt;0),N(E94)/D94,"")</f>
        <v/>
      </c>
      <c r="L94" s="46"/>
      <c r="M94" s="46"/>
    </row>
    <row r="95" customFormat="false" ht="15" hidden="false" customHeight="false" outlineLevel="0" collapsed="false">
      <c r="A95" s="40"/>
      <c r="B95" s="46"/>
      <c r="C95" s="47"/>
      <c r="D95" s="43"/>
      <c r="E95" s="43"/>
      <c r="F95" s="43"/>
      <c r="G95" s="43"/>
      <c r="H95" s="43"/>
      <c r="I95" s="48" t="str">
        <f aca="false">IF(AND(A95="",F95="",G95=""),"",N(F95)+N(G95))</f>
        <v/>
      </c>
      <c r="J95" s="42" t="str">
        <f aca="false">IF(AND(ISNUMBER(D95),D95&gt;0,ISNUMBER(I95)),I95/D95,"")</f>
        <v/>
      </c>
      <c r="K95" s="42" t="str">
        <f aca="false">IF(AND(ISNUMBER(D95),D95&gt;0),N(E95)/D95,"")</f>
        <v/>
      </c>
      <c r="L95" s="46"/>
      <c r="M95" s="46"/>
    </row>
    <row r="96" customFormat="false" ht="15" hidden="false" customHeight="false" outlineLevel="0" collapsed="false">
      <c r="A96" s="40"/>
      <c r="B96" s="46"/>
      <c r="C96" s="47"/>
      <c r="D96" s="43"/>
      <c r="E96" s="43"/>
      <c r="F96" s="43"/>
      <c r="G96" s="43"/>
      <c r="H96" s="43"/>
      <c r="I96" s="48" t="str">
        <f aca="false">IF(AND(A96="",F96="",G96=""),"",N(F96)+N(G96))</f>
        <v/>
      </c>
      <c r="J96" s="42" t="str">
        <f aca="false">IF(AND(ISNUMBER(D96),D96&gt;0,ISNUMBER(I96)),I96/D96,"")</f>
        <v/>
      </c>
      <c r="K96" s="42" t="str">
        <f aca="false">IF(AND(ISNUMBER(D96),D96&gt;0),N(E96)/D96,"")</f>
        <v/>
      </c>
      <c r="L96" s="46"/>
      <c r="M96" s="46"/>
    </row>
    <row r="97" customFormat="false" ht="15" hidden="false" customHeight="false" outlineLevel="0" collapsed="false">
      <c r="A97" s="40"/>
      <c r="B97" s="46"/>
      <c r="C97" s="47"/>
      <c r="D97" s="43"/>
      <c r="E97" s="43"/>
      <c r="F97" s="43"/>
      <c r="G97" s="43"/>
      <c r="H97" s="43"/>
      <c r="I97" s="48" t="str">
        <f aca="false">IF(AND(A97="",F97="",G97=""),"",N(F97)+N(G97))</f>
        <v/>
      </c>
      <c r="J97" s="42" t="str">
        <f aca="false">IF(AND(ISNUMBER(D97),D97&gt;0,ISNUMBER(I97)),I97/D97,"")</f>
        <v/>
      </c>
      <c r="K97" s="42" t="str">
        <f aca="false">IF(AND(ISNUMBER(D97),D97&gt;0),N(E97)/D97,"")</f>
        <v/>
      </c>
      <c r="L97" s="46"/>
      <c r="M97" s="46"/>
    </row>
    <row r="98" customFormat="false" ht="15" hidden="false" customHeight="false" outlineLevel="0" collapsed="false">
      <c r="A98" s="40"/>
      <c r="B98" s="46"/>
      <c r="C98" s="47"/>
      <c r="D98" s="43"/>
      <c r="E98" s="43"/>
      <c r="F98" s="43"/>
      <c r="G98" s="43"/>
      <c r="H98" s="43"/>
      <c r="I98" s="48" t="str">
        <f aca="false">IF(AND(A98="",F98="",G98=""),"",N(F98)+N(G98))</f>
        <v/>
      </c>
      <c r="J98" s="42" t="str">
        <f aca="false">IF(AND(ISNUMBER(D98),D98&gt;0,ISNUMBER(I98)),I98/D98,"")</f>
        <v/>
      </c>
      <c r="K98" s="42" t="str">
        <f aca="false">IF(AND(ISNUMBER(D98),D98&gt;0),N(E98)/D98,"")</f>
        <v/>
      </c>
      <c r="L98" s="46"/>
      <c r="M98" s="46"/>
    </row>
    <row r="99" customFormat="false" ht="15" hidden="false" customHeight="false" outlineLevel="0" collapsed="false">
      <c r="A99" s="40"/>
      <c r="B99" s="46"/>
      <c r="C99" s="47"/>
      <c r="D99" s="43"/>
      <c r="E99" s="43"/>
      <c r="F99" s="43"/>
      <c r="G99" s="43"/>
      <c r="H99" s="43"/>
      <c r="I99" s="48" t="str">
        <f aca="false">IF(AND(A99="",F99="",G99=""),"",N(F99)+N(G99))</f>
        <v/>
      </c>
      <c r="J99" s="42" t="str">
        <f aca="false">IF(AND(ISNUMBER(D99),D99&gt;0,ISNUMBER(I99)),I99/D99,"")</f>
        <v/>
      </c>
      <c r="K99" s="42" t="str">
        <f aca="false">IF(AND(ISNUMBER(D99),D99&gt;0),N(E99)/D99,"")</f>
        <v/>
      </c>
      <c r="L99" s="46"/>
      <c r="M99" s="46"/>
    </row>
    <row r="100" customFormat="false" ht="15" hidden="false" customHeight="false" outlineLevel="0" collapsed="false">
      <c r="A100" s="40"/>
      <c r="B100" s="46"/>
      <c r="C100" s="47"/>
      <c r="D100" s="43"/>
      <c r="E100" s="43"/>
      <c r="F100" s="43"/>
      <c r="G100" s="43"/>
      <c r="H100" s="43"/>
      <c r="I100" s="48" t="str">
        <f aca="false">IF(AND(A100="",F100="",G100=""),"",N(F100)+N(G100))</f>
        <v/>
      </c>
      <c r="J100" s="42" t="str">
        <f aca="false">IF(AND(ISNUMBER(D100),D100&gt;0,ISNUMBER(I100)),I100/D100,"")</f>
        <v/>
      </c>
      <c r="K100" s="42" t="str">
        <f aca="false">IF(AND(ISNUMBER(D100),D100&gt;0),N(E100)/D100,"")</f>
        <v/>
      </c>
      <c r="L100" s="46"/>
      <c r="M100" s="46"/>
    </row>
    <row r="101" customFormat="false" ht="15" hidden="false" customHeight="false" outlineLevel="0" collapsed="false">
      <c r="A101" s="40"/>
      <c r="B101" s="46"/>
      <c r="C101" s="47"/>
      <c r="D101" s="43"/>
      <c r="E101" s="43"/>
      <c r="F101" s="43"/>
      <c r="G101" s="43"/>
      <c r="H101" s="43"/>
      <c r="I101" s="48" t="str">
        <f aca="false">IF(AND(A101="",F101="",G101=""),"",N(F101)+N(G101))</f>
        <v/>
      </c>
      <c r="J101" s="42" t="str">
        <f aca="false">IF(AND(ISNUMBER(D101),D101&gt;0,ISNUMBER(I101)),I101/D101,"")</f>
        <v/>
      </c>
      <c r="K101" s="42" t="str">
        <f aca="false">IF(AND(ISNUMBER(D101),D101&gt;0),N(E101)/D101,"")</f>
        <v/>
      </c>
      <c r="L101" s="46"/>
      <c r="M101" s="46"/>
    </row>
    <row r="102" customFormat="false" ht="15" hidden="false" customHeight="false" outlineLevel="0" collapsed="false">
      <c r="A102" s="40"/>
      <c r="B102" s="46"/>
      <c r="C102" s="47"/>
      <c r="D102" s="43"/>
      <c r="E102" s="43"/>
      <c r="F102" s="43"/>
      <c r="G102" s="43"/>
      <c r="H102" s="43"/>
      <c r="I102" s="48" t="str">
        <f aca="false">IF(AND(A102="",F102="",G102=""),"",N(F102)+N(G102))</f>
        <v/>
      </c>
      <c r="J102" s="42" t="str">
        <f aca="false">IF(AND(ISNUMBER(D102),D102&gt;0,ISNUMBER(I102)),I102/D102,"")</f>
        <v/>
      </c>
      <c r="K102" s="42" t="str">
        <f aca="false">IF(AND(ISNUMBER(D102),D102&gt;0),N(E102)/D102,"")</f>
        <v/>
      </c>
      <c r="L102" s="46"/>
      <c r="M102" s="46"/>
    </row>
    <row r="103" customFormat="false" ht="15" hidden="false" customHeight="false" outlineLevel="0" collapsed="false">
      <c r="A103" s="40"/>
      <c r="B103" s="46"/>
      <c r="C103" s="47"/>
      <c r="D103" s="43"/>
      <c r="E103" s="43"/>
      <c r="F103" s="43"/>
      <c r="G103" s="43"/>
      <c r="H103" s="43"/>
      <c r="I103" s="48" t="str">
        <f aca="false">IF(AND(A103="",F103="",G103=""),"",N(F103)+N(G103))</f>
        <v/>
      </c>
      <c r="J103" s="42" t="str">
        <f aca="false">IF(AND(ISNUMBER(D103),D103&gt;0,ISNUMBER(I103)),I103/D103,"")</f>
        <v/>
      </c>
      <c r="K103" s="42" t="str">
        <f aca="false">IF(AND(ISNUMBER(D103),D103&gt;0),N(E103)/D103,"")</f>
        <v/>
      </c>
      <c r="L103" s="46"/>
      <c r="M103" s="46"/>
    </row>
    <row r="104" customFormat="false" ht="15" hidden="false" customHeight="false" outlineLevel="0" collapsed="false">
      <c r="A104" s="40"/>
      <c r="B104" s="46"/>
      <c r="C104" s="47"/>
      <c r="D104" s="43"/>
      <c r="E104" s="43"/>
      <c r="F104" s="43"/>
      <c r="G104" s="43"/>
      <c r="H104" s="43"/>
      <c r="I104" s="48" t="str">
        <f aca="false">IF(AND(A104="",F104="",G104=""),"",N(F104)+N(G104))</f>
        <v/>
      </c>
      <c r="J104" s="42" t="str">
        <f aca="false">IF(AND(ISNUMBER(D104),D104&gt;0,ISNUMBER(I104)),I104/D104,"")</f>
        <v/>
      </c>
      <c r="K104" s="42" t="str">
        <f aca="false">IF(AND(ISNUMBER(D104),D104&gt;0),N(E104)/D104,"")</f>
        <v/>
      </c>
      <c r="L104" s="46"/>
      <c r="M104" s="46"/>
    </row>
    <row r="105" customFormat="false" ht="15" hidden="false" customHeight="false" outlineLevel="0" collapsed="false">
      <c r="A105" s="40"/>
      <c r="B105" s="46"/>
      <c r="C105" s="47"/>
      <c r="D105" s="43"/>
      <c r="E105" s="43"/>
      <c r="F105" s="43"/>
      <c r="G105" s="43"/>
      <c r="H105" s="43"/>
      <c r="I105" s="48" t="str">
        <f aca="false">IF(AND(A105="",F105="",G105=""),"",N(F105)+N(G105))</f>
        <v/>
      </c>
      <c r="J105" s="42" t="str">
        <f aca="false">IF(AND(ISNUMBER(D105),D105&gt;0,ISNUMBER(I105)),I105/D105,"")</f>
        <v/>
      </c>
      <c r="K105" s="42" t="str">
        <f aca="false">IF(AND(ISNUMBER(D105),D105&gt;0),N(E105)/D105,"")</f>
        <v/>
      </c>
      <c r="L105" s="46"/>
      <c r="M105" s="46"/>
    </row>
    <row r="106" customFormat="false" ht="15" hidden="false" customHeight="false" outlineLevel="0" collapsed="false">
      <c r="A106" s="40"/>
      <c r="B106" s="46"/>
      <c r="C106" s="47"/>
      <c r="D106" s="43"/>
      <c r="E106" s="43"/>
      <c r="F106" s="43"/>
      <c r="G106" s="43"/>
      <c r="H106" s="43"/>
      <c r="I106" s="48" t="str">
        <f aca="false">IF(AND(A106="",F106="",G106=""),"",N(F106)+N(G106))</f>
        <v/>
      </c>
      <c r="J106" s="42" t="str">
        <f aca="false">IF(AND(ISNUMBER(D106),D106&gt;0,ISNUMBER(I106)),I106/D106,"")</f>
        <v/>
      </c>
      <c r="K106" s="42" t="str">
        <f aca="false">IF(AND(ISNUMBER(D106),D106&gt;0),N(E106)/D106,"")</f>
        <v/>
      </c>
      <c r="L106" s="46"/>
      <c r="M106" s="46"/>
    </row>
    <row r="107" customFormat="false" ht="15" hidden="false" customHeight="false" outlineLevel="0" collapsed="false">
      <c r="A107" s="40"/>
      <c r="B107" s="46"/>
      <c r="C107" s="47"/>
      <c r="D107" s="43"/>
      <c r="E107" s="43"/>
      <c r="F107" s="43"/>
      <c r="G107" s="43"/>
      <c r="H107" s="43"/>
      <c r="I107" s="48" t="str">
        <f aca="false">IF(AND(A107="",F107="",G107=""),"",N(F107)+N(G107))</f>
        <v/>
      </c>
      <c r="J107" s="42" t="str">
        <f aca="false">IF(AND(ISNUMBER(D107),D107&gt;0,ISNUMBER(I107)),I107/D107,"")</f>
        <v/>
      </c>
      <c r="K107" s="42" t="str">
        <f aca="false">IF(AND(ISNUMBER(D107),D107&gt;0),N(E107)/D107,"")</f>
        <v/>
      </c>
      <c r="L107" s="46"/>
      <c r="M107" s="46"/>
    </row>
    <row r="108" customFormat="false" ht="15" hidden="false" customHeight="false" outlineLevel="0" collapsed="false">
      <c r="A108" s="40"/>
      <c r="B108" s="46"/>
      <c r="C108" s="47"/>
      <c r="D108" s="43"/>
      <c r="E108" s="43"/>
      <c r="F108" s="43"/>
      <c r="G108" s="43"/>
      <c r="H108" s="43"/>
      <c r="I108" s="48" t="str">
        <f aca="false">IF(AND(A108="",F108="",G108=""),"",N(F108)+N(G108))</f>
        <v/>
      </c>
      <c r="J108" s="42" t="str">
        <f aca="false">IF(AND(ISNUMBER(D108),D108&gt;0,ISNUMBER(I108)),I108/D108,"")</f>
        <v/>
      </c>
      <c r="K108" s="42" t="str">
        <f aca="false">IF(AND(ISNUMBER(D108),D108&gt;0),N(E108)/D108,"")</f>
        <v/>
      </c>
      <c r="L108" s="46"/>
      <c r="M108" s="46"/>
    </row>
    <row r="109" customFormat="false" ht="15" hidden="false" customHeight="false" outlineLevel="0" collapsed="false">
      <c r="A109" s="40"/>
      <c r="B109" s="46"/>
      <c r="C109" s="47"/>
      <c r="D109" s="43"/>
      <c r="E109" s="43"/>
      <c r="F109" s="43"/>
      <c r="G109" s="43"/>
      <c r="H109" s="43"/>
      <c r="I109" s="48" t="str">
        <f aca="false">IF(AND(A109="",F109="",G109=""),"",N(F109)+N(G109))</f>
        <v/>
      </c>
      <c r="J109" s="42" t="str">
        <f aca="false">IF(AND(ISNUMBER(D109),D109&gt;0,ISNUMBER(I109)),I109/D109,"")</f>
        <v/>
      </c>
      <c r="K109" s="42" t="str">
        <f aca="false">IF(AND(ISNUMBER(D109),D109&gt;0),N(E109)/D109,"")</f>
        <v/>
      </c>
      <c r="L109" s="46"/>
      <c r="M109" s="46"/>
    </row>
    <row r="110" customFormat="false" ht="15" hidden="false" customHeight="false" outlineLevel="0" collapsed="false">
      <c r="A110" s="40"/>
      <c r="B110" s="46"/>
      <c r="C110" s="47"/>
      <c r="D110" s="43"/>
      <c r="E110" s="43"/>
      <c r="F110" s="43"/>
      <c r="G110" s="43"/>
      <c r="H110" s="43"/>
      <c r="I110" s="48" t="str">
        <f aca="false">IF(AND(A110="",F110="",G110=""),"",N(F110)+N(G110))</f>
        <v/>
      </c>
      <c r="J110" s="42" t="str">
        <f aca="false">IF(AND(ISNUMBER(D110),D110&gt;0,ISNUMBER(I110)),I110/D110,"")</f>
        <v/>
      </c>
      <c r="K110" s="42" t="str">
        <f aca="false">IF(AND(ISNUMBER(D110),D110&gt;0),N(E110)/D110,"")</f>
        <v/>
      </c>
      <c r="L110" s="46"/>
      <c r="M110" s="46"/>
    </row>
    <row r="111" customFormat="false" ht="15" hidden="false" customHeight="false" outlineLevel="0" collapsed="false">
      <c r="A111" s="40"/>
      <c r="B111" s="46"/>
      <c r="C111" s="47"/>
      <c r="D111" s="43"/>
      <c r="E111" s="43"/>
      <c r="F111" s="43"/>
      <c r="G111" s="43"/>
      <c r="H111" s="43"/>
      <c r="I111" s="48" t="str">
        <f aca="false">IF(AND(A111="",F111="",G111=""),"",N(F111)+N(G111))</f>
        <v/>
      </c>
      <c r="J111" s="42" t="str">
        <f aca="false">IF(AND(ISNUMBER(D111),D111&gt;0,ISNUMBER(I111)),I111/D111,"")</f>
        <v/>
      </c>
      <c r="K111" s="42" t="str">
        <f aca="false">IF(AND(ISNUMBER(D111),D111&gt;0),N(E111)/D111,"")</f>
        <v/>
      </c>
      <c r="L111" s="46"/>
      <c r="M111" s="46"/>
    </row>
    <row r="112" customFormat="false" ht="15" hidden="false" customHeight="false" outlineLevel="0" collapsed="false">
      <c r="A112" s="40"/>
      <c r="B112" s="46"/>
      <c r="C112" s="47"/>
      <c r="D112" s="43"/>
      <c r="E112" s="43"/>
      <c r="F112" s="43"/>
      <c r="G112" s="43"/>
      <c r="H112" s="43"/>
      <c r="I112" s="48" t="str">
        <f aca="false">IF(AND(A112="",F112="",G112=""),"",N(F112)+N(G112))</f>
        <v/>
      </c>
      <c r="J112" s="42" t="str">
        <f aca="false">IF(AND(ISNUMBER(D112),D112&gt;0,ISNUMBER(I112)),I112/D112,"")</f>
        <v/>
      </c>
      <c r="K112" s="42" t="str">
        <f aca="false">IF(AND(ISNUMBER(D112),D112&gt;0),N(E112)/D112,"")</f>
        <v/>
      </c>
      <c r="L112" s="46"/>
      <c r="M112" s="46"/>
    </row>
    <row r="113" customFormat="false" ht="15" hidden="false" customHeight="false" outlineLevel="0" collapsed="false">
      <c r="A113" s="40"/>
      <c r="B113" s="46"/>
      <c r="C113" s="47"/>
      <c r="D113" s="43"/>
      <c r="E113" s="43"/>
      <c r="F113" s="43"/>
      <c r="G113" s="43"/>
      <c r="H113" s="43"/>
      <c r="I113" s="48" t="str">
        <f aca="false">IF(AND(A113="",F113="",G113=""),"",N(F113)+N(G113))</f>
        <v/>
      </c>
      <c r="J113" s="42" t="str">
        <f aca="false">IF(AND(ISNUMBER(D113),D113&gt;0,ISNUMBER(I113)),I113/D113,"")</f>
        <v/>
      </c>
      <c r="K113" s="42" t="str">
        <f aca="false">IF(AND(ISNUMBER(D113),D113&gt;0),N(E113)/D113,"")</f>
        <v/>
      </c>
      <c r="L113" s="46"/>
      <c r="M113" s="46"/>
    </row>
    <row r="114" customFormat="false" ht="15" hidden="false" customHeight="false" outlineLevel="0" collapsed="false">
      <c r="A114" s="40"/>
      <c r="B114" s="46"/>
      <c r="C114" s="47"/>
      <c r="D114" s="43"/>
      <c r="E114" s="43"/>
      <c r="F114" s="43"/>
      <c r="G114" s="43"/>
      <c r="H114" s="43"/>
      <c r="I114" s="48" t="str">
        <f aca="false">IF(AND(A114="",F114="",G114=""),"",N(F114)+N(G114))</f>
        <v/>
      </c>
      <c r="J114" s="42" t="str">
        <f aca="false">IF(AND(ISNUMBER(D114),D114&gt;0,ISNUMBER(I114)),I114/D114,"")</f>
        <v/>
      </c>
      <c r="K114" s="42" t="str">
        <f aca="false">IF(AND(ISNUMBER(D114),D114&gt;0),N(E114)/D114,"")</f>
        <v/>
      </c>
      <c r="L114" s="46"/>
      <c r="M114" s="46"/>
    </row>
    <row r="115" customFormat="false" ht="15" hidden="false" customHeight="false" outlineLevel="0" collapsed="false">
      <c r="A115" s="40"/>
      <c r="B115" s="46"/>
      <c r="C115" s="47"/>
      <c r="D115" s="43"/>
      <c r="E115" s="43"/>
      <c r="F115" s="43"/>
      <c r="G115" s="43"/>
      <c r="H115" s="43"/>
      <c r="I115" s="48" t="str">
        <f aca="false">IF(AND(A115="",F115="",G115=""),"",N(F115)+N(G115))</f>
        <v/>
      </c>
      <c r="J115" s="42" t="str">
        <f aca="false">IF(AND(ISNUMBER(D115),D115&gt;0,ISNUMBER(I115)),I115/D115,"")</f>
        <v/>
      </c>
      <c r="K115" s="42" t="str">
        <f aca="false">IF(AND(ISNUMBER(D115),D115&gt;0),N(E115)/D115,"")</f>
        <v/>
      </c>
      <c r="L115" s="46"/>
      <c r="M115" s="46"/>
    </row>
    <row r="116" customFormat="false" ht="15" hidden="false" customHeight="false" outlineLevel="0" collapsed="false">
      <c r="A116" s="40"/>
      <c r="B116" s="46"/>
      <c r="C116" s="47"/>
      <c r="D116" s="43"/>
      <c r="E116" s="43"/>
      <c r="F116" s="43"/>
      <c r="G116" s="43"/>
      <c r="H116" s="43"/>
      <c r="I116" s="48" t="str">
        <f aca="false">IF(AND(A116="",F116="",G116=""),"",N(F116)+N(G116))</f>
        <v/>
      </c>
      <c r="J116" s="42" t="str">
        <f aca="false">IF(AND(ISNUMBER(D116),D116&gt;0,ISNUMBER(I116)),I116/D116,"")</f>
        <v/>
      </c>
      <c r="K116" s="42" t="str">
        <f aca="false">IF(AND(ISNUMBER(D116),D116&gt;0),N(E116)/D116,"")</f>
        <v/>
      </c>
      <c r="L116" s="46"/>
      <c r="M116" s="46"/>
    </row>
    <row r="117" customFormat="false" ht="15" hidden="false" customHeight="false" outlineLevel="0" collapsed="false">
      <c r="A117" s="40"/>
      <c r="B117" s="46"/>
      <c r="C117" s="47"/>
      <c r="D117" s="43"/>
      <c r="E117" s="43"/>
      <c r="F117" s="43"/>
      <c r="G117" s="43"/>
      <c r="H117" s="43"/>
      <c r="I117" s="48" t="str">
        <f aca="false">IF(AND(A117="",F117="",G117=""),"",N(F117)+N(G117))</f>
        <v/>
      </c>
      <c r="J117" s="42" t="str">
        <f aca="false">IF(AND(ISNUMBER(D117),D117&gt;0,ISNUMBER(I117)),I117/D117,"")</f>
        <v/>
      </c>
      <c r="K117" s="42" t="str">
        <f aca="false">IF(AND(ISNUMBER(D117),D117&gt;0),N(E117)/D117,"")</f>
        <v/>
      </c>
      <c r="L117" s="46"/>
      <c r="M117" s="46"/>
    </row>
    <row r="118" customFormat="false" ht="15" hidden="false" customHeight="false" outlineLevel="0" collapsed="false">
      <c r="A118" s="40"/>
      <c r="B118" s="46"/>
      <c r="C118" s="47"/>
      <c r="D118" s="43"/>
      <c r="E118" s="43"/>
      <c r="F118" s="43"/>
      <c r="G118" s="43"/>
      <c r="H118" s="43"/>
      <c r="I118" s="48" t="str">
        <f aca="false">IF(AND(A118="",F118="",G118=""),"",N(F118)+N(G118))</f>
        <v/>
      </c>
      <c r="J118" s="42" t="str">
        <f aca="false">IF(AND(ISNUMBER(D118),D118&gt;0,ISNUMBER(I118)),I118/D118,"")</f>
        <v/>
      </c>
      <c r="K118" s="42" t="str">
        <f aca="false">IF(AND(ISNUMBER(D118),D118&gt;0),N(E118)/D118,"")</f>
        <v/>
      </c>
      <c r="L118" s="46"/>
      <c r="M118" s="46"/>
    </row>
    <row r="119" customFormat="false" ht="15" hidden="false" customHeight="false" outlineLevel="0" collapsed="false">
      <c r="A119" s="40"/>
      <c r="B119" s="46"/>
      <c r="C119" s="47"/>
      <c r="D119" s="43"/>
      <c r="E119" s="43"/>
      <c r="F119" s="43"/>
      <c r="G119" s="43"/>
      <c r="H119" s="43"/>
      <c r="I119" s="48" t="str">
        <f aca="false">IF(AND(A119="",F119="",G119=""),"",N(F119)+N(G119))</f>
        <v/>
      </c>
      <c r="J119" s="42" t="str">
        <f aca="false">IF(AND(ISNUMBER(D119),D119&gt;0,ISNUMBER(I119)),I119/D119,"")</f>
        <v/>
      </c>
      <c r="K119" s="42" t="str">
        <f aca="false">IF(AND(ISNUMBER(D119),D119&gt;0),N(E119)/D119,"")</f>
        <v/>
      </c>
      <c r="L119" s="46"/>
      <c r="M119" s="46"/>
    </row>
    <row r="120" customFormat="false" ht="15" hidden="false" customHeight="false" outlineLevel="0" collapsed="false">
      <c r="A120" s="40"/>
      <c r="B120" s="46"/>
      <c r="C120" s="47"/>
      <c r="D120" s="43"/>
      <c r="E120" s="43"/>
      <c r="F120" s="43"/>
      <c r="G120" s="43"/>
      <c r="H120" s="43"/>
      <c r="I120" s="48" t="str">
        <f aca="false">IF(AND(A120="",F120="",G120=""),"",N(F120)+N(G120))</f>
        <v/>
      </c>
      <c r="J120" s="42" t="str">
        <f aca="false">IF(AND(ISNUMBER(D120),D120&gt;0,ISNUMBER(I120)),I120/D120,"")</f>
        <v/>
      </c>
      <c r="K120" s="42" t="str">
        <f aca="false">IF(AND(ISNUMBER(D120),D120&gt;0),N(E120)/D120,"")</f>
        <v/>
      </c>
      <c r="L120" s="46"/>
      <c r="M120" s="46"/>
    </row>
    <row r="121" customFormat="false" ht="15" hidden="false" customHeight="false" outlineLevel="0" collapsed="false">
      <c r="A121" s="40"/>
      <c r="B121" s="46"/>
      <c r="C121" s="47"/>
      <c r="D121" s="43"/>
      <c r="E121" s="43"/>
      <c r="F121" s="43"/>
      <c r="G121" s="43"/>
      <c r="H121" s="43"/>
      <c r="I121" s="48" t="str">
        <f aca="false">IF(AND(A121="",F121="",G121=""),"",N(F121)+N(G121))</f>
        <v/>
      </c>
      <c r="J121" s="42" t="str">
        <f aca="false">IF(AND(ISNUMBER(D121),D121&gt;0,ISNUMBER(I121)),I121/D121,"")</f>
        <v/>
      </c>
      <c r="K121" s="42" t="str">
        <f aca="false">IF(AND(ISNUMBER(D121),D121&gt;0),N(E121)/D121,"")</f>
        <v/>
      </c>
      <c r="L121" s="46"/>
      <c r="M121" s="46"/>
    </row>
    <row r="122" customFormat="false" ht="15" hidden="false" customHeight="false" outlineLevel="0" collapsed="false">
      <c r="A122" s="40"/>
      <c r="B122" s="46"/>
      <c r="C122" s="47"/>
      <c r="D122" s="43"/>
      <c r="E122" s="43"/>
      <c r="F122" s="43"/>
      <c r="G122" s="43"/>
      <c r="H122" s="43"/>
      <c r="I122" s="48" t="str">
        <f aca="false">IF(AND(A122="",F122="",G122=""),"",N(F122)+N(G122))</f>
        <v/>
      </c>
      <c r="J122" s="42" t="str">
        <f aca="false">IF(AND(ISNUMBER(D122),D122&gt;0,ISNUMBER(I122)),I122/D122,"")</f>
        <v/>
      </c>
      <c r="K122" s="42" t="str">
        <f aca="false">IF(AND(ISNUMBER(D122),D122&gt;0),N(E122)/D122,"")</f>
        <v/>
      </c>
      <c r="L122" s="46"/>
      <c r="M122" s="46"/>
    </row>
    <row r="123" customFormat="false" ht="15" hidden="false" customHeight="false" outlineLevel="0" collapsed="false">
      <c r="A123" s="40"/>
      <c r="B123" s="46"/>
      <c r="C123" s="47"/>
      <c r="D123" s="43"/>
      <c r="E123" s="43"/>
      <c r="F123" s="43"/>
      <c r="G123" s="43"/>
      <c r="H123" s="43"/>
      <c r="I123" s="48" t="str">
        <f aca="false">IF(AND(A123="",F123="",G123=""),"",N(F123)+N(G123))</f>
        <v/>
      </c>
      <c r="J123" s="42" t="str">
        <f aca="false">IF(AND(ISNUMBER(D123),D123&gt;0,ISNUMBER(I123)),I123/D123,"")</f>
        <v/>
      </c>
      <c r="K123" s="42" t="str">
        <f aca="false">IF(AND(ISNUMBER(D123),D123&gt;0),N(E123)/D123,"")</f>
        <v/>
      </c>
      <c r="L123" s="46"/>
      <c r="M123" s="46"/>
    </row>
    <row r="124" customFormat="false" ht="15" hidden="false" customHeight="false" outlineLevel="0" collapsed="false">
      <c r="A124" s="40"/>
      <c r="B124" s="46"/>
      <c r="C124" s="47"/>
      <c r="D124" s="43"/>
      <c r="E124" s="43"/>
      <c r="F124" s="43"/>
      <c r="G124" s="43"/>
      <c r="H124" s="43"/>
      <c r="I124" s="48" t="str">
        <f aca="false">IF(AND(A124="",F124="",G124=""),"",N(F124)+N(G124))</f>
        <v/>
      </c>
      <c r="J124" s="42" t="str">
        <f aca="false">IF(AND(ISNUMBER(D124),D124&gt;0,ISNUMBER(I124)),I124/D124,"")</f>
        <v/>
      </c>
      <c r="K124" s="42" t="str">
        <f aca="false">IF(AND(ISNUMBER(D124),D124&gt;0),N(E124)/D124,"")</f>
        <v/>
      </c>
      <c r="L124" s="46"/>
      <c r="M124" s="46"/>
    </row>
    <row r="125" customFormat="false" ht="15" hidden="false" customHeight="false" outlineLevel="0" collapsed="false">
      <c r="A125" s="40"/>
      <c r="B125" s="46"/>
      <c r="C125" s="47"/>
      <c r="D125" s="43"/>
      <c r="E125" s="43"/>
      <c r="F125" s="43"/>
      <c r="G125" s="43"/>
      <c r="H125" s="43"/>
      <c r="I125" s="48" t="str">
        <f aca="false">IF(AND(A125="",F125="",G125=""),"",N(F125)+N(G125))</f>
        <v/>
      </c>
      <c r="J125" s="42" t="str">
        <f aca="false">IF(AND(ISNUMBER(D125),D125&gt;0,ISNUMBER(I125)),I125/D125,"")</f>
        <v/>
      </c>
      <c r="K125" s="42" t="str">
        <f aca="false">IF(AND(ISNUMBER(D125),D125&gt;0),N(E125)/D125,"")</f>
        <v/>
      </c>
      <c r="L125" s="46"/>
      <c r="M125" s="46"/>
    </row>
    <row r="126" customFormat="false" ht="15" hidden="false" customHeight="false" outlineLevel="0" collapsed="false">
      <c r="A126" s="40"/>
      <c r="B126" s="46"/>
      <c r="C126" s="47"/>
      <c r="D126" s="43"/>
      <c r="E126" s="43"/>
      <c r="F126" s="43"/>
      <c r="G126" s="43"/>
      <c r="H126" s="43"/>
      <c r="I126" s="48" t="str">
        <f aca="false">IF(AND(A126="",F126="",G126=""),"",N(F126)+N(G126))</f>
        <v/>
      </c>
      <c r="J126" s="42" t="str">
        <f aca="false">IF(AND(ISNUMBER(D126),D126&gt;0,ISNUMBER(I126)),I126/D126,"")</f>
        <v/>
      </c>
      <c r="K126" s="42" t="str">
        <f aca="false">IF(AND(ISNUMBER(D126),D126&gt;0),N(E126)/D126,"")</f>
        <v/>
      </c>
      <c r="L126" s="46"/>
      <c r="M126" s="46"/>
    </row>
    <row r="127" customFormat="false" ht="15" hidden="false" customHeight="false" outlineLevel="0" collapsed="false">
      <c r="A127" s="40"/>
      <c r="B127" s="46"/>
      <c r="C127" s="47"/>
      <c r="D127" s="43"/>
      <c r="E127" s="43"/>
      <c r="F127" s="43"/>
      <c r="G127" s="43"/>
      <c r="H127" s="43"/>
      <c r="I127" s="48" t="str">
        <f aca="false">IF(AND(A127="",F127="",G127=""),"",N(F127)+N(G127))</f>
        <v/>
      </c>
      <c r="J127" s="42" t="str">
        <f aca="false">IF(AND(ISNUMBER(D127),D127&gt;0,ISNUMBER(I127)),I127/D127,"")</f>
        <v/>
      </c>
      <c r="K127" s="42" t="str">
        <f aca="false">IF(AND(ISNUMBER(D127),D127&gt;0),N(E127)/D127,"")</f>
        <v/>
      </c>
      <c r="L127" s="46"/>
      <c r="M127" s="46"/>
    </row>
    <row r="128" customFormat="false" ht="15" hidden="false" customHeight="false" outlineLevel="0" collapsed="false">
      <c r="A128" s="40"/>
      <c r="B128" s="46"/>
      <c r="C128" s="47"/>
      <c r="D128" s="43"/>
      <c r="E128" s="43"/>
      <c r="F128" s="43"/>
      <c r="G128" s="43"/>
      <c r="H128" s="43"/>
      <c r="I128" s="48" t="str">
        <f aca="false">IF(AND(A128="",F128="",G128=""),"",N(F128)+N(G128))</f>
        <v/>
      </c>
      <c r="J128" s="42" t="str">
        <f aca="false">IF(AND(ISNUMBER(D128),D128&gt;0,ISNUMBER(I128)),I128/D128,"")</f>
        <v/>
      </c>
      <c r="K128" s="42" t="str">
        <f aca="false">IF(AND(ISNUMBER(D128),D128&gt;0),N(E128)/D128,"")</f>
        <v/>
      </c>
      <c r="L128" s="46"/>
      <c r="M128" s="46"/>
    </row>
    <row r="129" customFormat="false" ht="15" hidden="false" customHeight="false" outlineLevel="0" collapsed="false">
      <c r="A129" s="40"/>
      <c r="B129" s="46"/>
      <c r="C129" s="47"/>
      <c r="D129" s="43"/>
      <c r="E129" s="43"/>
      <c r="F129" s="43"/>
      <c r="G129" s="43"/>
      <c r="H129" s="43"/>
      <c r="I129" s="48" t="str">
        <f aca="false">IF(AND(A129="",F129="",G129=""),"",N(F129)+N(G129))</f>
        <v/>
      </c>
      <c r="J129" s="42" t="str">
        <f aca="false">IF(AND(ISNUMBER(D129),D129&gt;0,ISNUMBER(I129)),I129/D129,"")</f>
        <v/>
      </c>
      <c r="K129" s="42" t="str">
        <f aca="false">IF(AND(ISNUMBER(D129),D129&gt;0),N(E129)/D129,"")</f>
        <v/>
      </c>
      <c r="L129" s="46"/>
      <c r="M129" s="46"/>
    </row>
    <row r="130" customFormat="false" ht="15" hidden="false" customHeight="false" outlineLevel="0" collapsed="false">
      <c r="A130" s="40"/>
      <c r="B130" s="46"/>
      <c r="C130" s="47"/>
      <c r="D130" s="43"/>
      <c r="E130" s="43"/>
      <c r="F130" s="43"/>
      <c r="G130" s="43"/>
      <c r="H130" s="43"/>
      <c r="I130" s="48" t="str">
        <f aca="false">IF(AND(A130="",F130="",G130=""),"",N(F130)+N(G130))</f>
        <v/>
      </c>
      <c r="J130" s="42" t="str">
        <f aca="false">IF(AND(ISNUMBER(D130),D130&gt;0,ISNUMBER(I130)),I130/D130,"")</f>
        <v/>
      </c>
      <c r="K130" s="42" t="str">
        <f aca="false">IF(AND(ISNUMBER(D130),D130&gt;0),N(E130)/D130,"")</f>
        <v/>
      </c>
      <c r="L130" s="46"/>
      <c r="M130" s="46"/>
    </row>
    <row r="131" customFormat="false" ht="15" hidden="false" customHeight="false" outlineLevel="0" collapsed="false">
      <c r="A131" s="40"/>
      <c r="B131" s="46"/>
      <c r="C131" s="47"/>
      <c r="D131" s="43"/>
      <c r="E131" s="43"/>
      <c r="F131" s="43"/>
      <c r="G131" s="43"/>
      <c r="H131" s="43"/>
      <c r="I131" s="48" t="str">
        <f aca="false">IF(AND(A131="",F131="",G131=""),"",N(F131)+N(G131))</f>
        <v/>
      </c>
      <c r="J131" s="42" t="str">
        <f aca="false">IF(AND(ISNUMBER(D131),D131&gt;0,ISNUMBER(I131)),I131/D131,"")</f>
        <v/>
      </c>
      <c r="K131" s="42" t="str">
        <f aca="false">IF(AND(ISNUMBER(D131),D131&gt;0),N(E131)/D131,"")</f>
        <v/>
      </c>
      <c r="L131" s="46"/>
      <c r="M131" s="46"/>
    </row>
    <row r="132" customFormat="false" ht="15" hidden="false" customHeight="false" outlineLevel="0" collapsed="false">
      <c r="A132" s="40"/>
      <c r="B132" s="46"/>
      <c r="C132" s="47"/>
      <c r="D132" s="43"/>
      <c r="E132" s="43"/>
      <c r="F132" s="43"/>
      <c r="G132" s="43"/>
      <c r="H132" s="43"/>
      <c r="I132" s="48" t="str">
        <f aca="false">IF(AND(A132="",F132="",G132=""),"",N(F132)+N(G132))</f>
        <v/>
      </c>
      <c r="J132" s="42" t="str">
        <f aca="false">IF(AND(ISNUMBER(D132),D132&gt;0,ISNUMBER(I132)),I132/D132,"")</f>
        <v/>
      </c>
      <c r="K132" s="42" t="str">
        <f aca="false">IF(AND(ISNUMBER(D132),D132&gt;0),N(E132)/D132,"")</f>
        <v/>
      </c>
      <c r="L132" s="46"/>
      <c r="M132" s="46"/>
    </row>
    <row r="133" customFormat="false" ht="15" hidden="false" customHeight="false" outlineLevel="0" collapsed="false">
      <c r="A133" s="40"/>
      <c r="B133" s="46"/>
      <c r="C133" s="47"/>
      <c r="D133" s="43"/>
      <c r="E133" s="43"/>
      <c r="F133" s="43"/>
      <c r="G133" s="43"/>
      <c r="H133" s="43"/>
      <c r="I133" s="48" t="str">
        <f aca="false">IF(AND(A133="",F133="",G133=""),"",N(F133)+N(G133))</f>
        <v/>
      </c>
      <c r="J133" s="42" t="str">
        <f aca="false">IF(AND(ISNUMBER(D133),D133&gt;0,ISNUMBER(I133)),I133/D133,"")</f>
        <v/>
      </c>
      <c r="K133" s="42" t="str">
        <f aca="false">IF(AND(ISNUMBER(D133),D133&gt;0),N(E133)/D133,"")</f>
        <v/>
      </c>
      <c r="L133" s="46"/>
      <c r="M133" s="46"/>
    </row>
    <row r="134" customFormat="false" ht="15" hidden="false" customHeight="false" outlineLevel="0" collapsed="false">
      <c r="A134" s="40"/>
      <c r="B134" s="46"/>
      <c r="C134" s="47"/>
      <c r="D134" s="43"/>
      <c r="E134" s="43"/>
      <c r="F134" s="43"/>
      <c r="G134" s="43"/>
      <c r="H134" s="43"/>
      <c r="I134" s="48" t="str">
        <f aca="false">IF(AND(A134="",F134="",G134=""),"",N(F134)+N(G134))</f>
        <v/>
      </c>
      <c r="J134" s="42" t="str">
        <f aca="false">IF(AND(ISNUMBER(D134),D134&gt;0,ISNUMBER(I134)),I134/D134,"")</f>
        <v/>
      </c>
      <c r="K134" s="42" t="str">
        <f aca="false">IF(AND(ISNUMBER(D134),D134&gt;0),N(E134)/D134,"")</f>
        <v/>
      </c>
      <c r="L134" s="46"/>
      <c r="M134" s="46"/>
    </row>
    <row r="135" customFormat="false" ht="15" hidden="false" customHeight="false" outlineLevel="0" collapsed="false">
      <c r="A135" s="40"/>
      <c r="B135" s="46"/>
      <c r="C135" s="47"/>
      <c r="D135" s="43"/>
      <c r="E135" s="43"/>
      <c r="F135" s="43"/>
      <c r="G135" s="43"/>
      <c r="H135" s="43"/>
      <c r="I135" s="48" t="str">
        <f aca="false">IF(AND(A135="",F135="",G135=""),"",N(F135)+N(G135))</f>
        <v/>
      </c>
      <c r="J135" s="42" t="str">
        <f aca="false">IF(AND(ISNUMBER(D135),D135&gt;0,ISNUMBER(I135)),I135/D135,"")</f>
        <v/>
      </c>
      <c r="K135" s="42" t="str">
        <f aca="false">IF(AND(ISNUMBER(D135),D135&gt;0),N(E135)/D135,"")</f>
        <v/>
      </c>
      <c r="L135" s="46"/>
      <c r="M135" s="46"/>
    </row>
    <row r="136" customFormat="false" ht="15" hidden="false" customHeight="false" outlineLevel="0" collapsed="false">
      <c r="A136" s="40"/>
      <c r="B136" s="46"/>
      <c r="C136" s="47"/>
      <c r="D136" s="43"/>
      <c r="E136" s="43"/>
      <c r="F136" s="43"/>
      <c r="G136" s="43"/>
      <c r="H136" s="43"/>
      <c r="I136" s="48" t="str">
        <f aca="false">IF(AND(A136="",F136="",G136=""),"",N(F136)+N(G136))</f>
        <v/>
      </c>
      <c r="J136" s="42" t="str">
        <f aca="false">IF(AND(ISNUMBER(D136),D136&gt;0,ISNUMBER(I136)),I136/D136,"")</f>
        <v/>
      </c>
      <c r="K136" s="42" t="str">
        <f aca="false">IF(AND(ISNUMBER(D136),D136&gt;0),N(E136)/D136,"")</f>
        <v/>
      </c>
      <c r="L136" s="46"/>
      <c r="M136" s="46"/>
    </row>
    <row r="137" customFormat="false" ht="15" hidden="false" customHeight="false" outlineLevel="0" collapsed="false">
      <c r="A137" s="40"/>
      <c r="B137" s="46"/>
      <c r="C137" s="47"/>
      <c r="D137" s="43"/>
      <c r="E137" s="43"/>
      <c r="F137" s="43"/>
      <c r="G137" s="43"/>
      <c r="H137" s="43"/>
      <c r="I137" s="48" t="str">
        <f aca="false">IF(AND(A137="",F137="",G137=""),"",N(F137)+N(G137))</f>
        <v/>
      </c>
      <c r="J137" s="42" t="str">
        <f aca="false">IF(AND(ISNUMBER(D137),D137&gt;0,ISNUMBER(I137)),I137/D137,"")</f>
        <v/>
      </c>
      <c r="K137" s="42" t="str">
        <f aca="false">IF(AND(ISNUMBER(D137),D137&gt;0),N(E137)/D137,"")</f>
        <v/>
      </c>
      <c r="L137" s="46"/>
      <c r="M137" s="46"/>
    </row>
    <row r="138" customFormat="false" ht="15" hidden="false" customHeight="false" outlineLevel="0" collapsed="false">
      <c r="A138" s="40"/>
      <c r="B138" s="46"/>
      <c r="C138" s="47"/>
      <c r="D138" s="43"/>
      <c r="E138" s="43"/>
      <c r="F138" s="43"/>
      <c r="G138" s="43"/>
      <c r="H138" s="43"/>
      <c r="I138" s="48" t="str">
        <f aca="false">IF(AND(A138="",F138="",G138=""),"",N(F138)+N(G138))</f>
        <v/>
      </c>
      <c r="J138" s="42" t="str">
        <f aca="false">IF(AND(ISNUMBER(D138),D138&gt;0,ISNUMBER(I138)),I138/D138,"")</f>
        <v/>
      </c>
      <c r="K138" s="42" t="str">
        <f aca="false">IF(AND(ISNUMBER(D138),D138&gt;0),N(E138)/D138,"")</f>
        <v/>
      </c>
      <c r="L138" s="46"/>
      <c r="M138" s="46"/>
    </row>
    <row r="139" customFormat="false" ht="15" hidden="false" customHeight="false" outlineLevel="0" collapsed="false">
      <c r="A139" s="40"/>
      <c r="B139" s="46"/>
      <c r="C139" s="47"/>
      <c r="D139" s="43"/>
      <c r="E139" s="43"/>
      <c r="F139" s="43"/>
      <c r="G139" s="43"/>
      <c r="H139" s="43"/>
      <c r="I139" s="48" t="str">
        <f aca="false">IF(AND(A139="",F139="",G139=""),"",N(F139)+N(G139))</f>
        <v/>
      </c>
      <c r="J139" s="42" t="str">
        <f aca="false">IF(AND(ISNUMBER(D139),D139&gt;0,ISNUMBER(I139)),I139/D139,"")</f>
        <v/>
      </c>
      <c r="K139" s="42" t="str">
        <f aca="false">IF(AND(ISNUMBER(D139),D139&gt;0),N(E139)/D139,"")</f>
        <v/>
      </c>
      <c r="L139" s="46"/>
      <c r="M139" s="46"/>
    </row>
    <row r="140" customFormat="false" ht="15" hidden="false" customHeight="false" outlineLevel="0" collapsed="false">
      <c r="A140" s="40"/>
      <c r="B140" s="46"/>
      <c r="C140" s="47"/>
      <c r="D140" s="43"/>
      <c r="E140" s="43"/>
      <c r="F140" s="43"/>
      <c r="G140" s="43"/>
      <c r="H140" s="43"/>
      <c r="I140" s="48" t="str">
        <f aca="false">IF(AND(A140="",F140="",G140=""),"",N(F140)+N(G140))</f>
        <v/>
      </c>
      <c r="J140" s="42" t="str">
        <f aca="false">IF(AND(ISNUMBER(D140),D140&gt;0,ISNUMBER(I140)),I140/D140,"")</f>
        <v/>
      </c>
      <c r="K140" s="42" t="str">
        <f aca="false">IF(AND(ISNUMBER(D140),D140&gt;0),N(E140)/D140,"")</f>
        <v/>
      </c>
      <c r="L140" s="46"/>
      <c r="M140" s="46"/>
    </row>
    <row r="141" customFormat="false" ht="15" hidden="false" customHeight="false" outlineLevel="0" collapsed="false">
      <c r="A141" s="40"/>
      <c r="B141" s="46"/>
      <c r="C141" s="47"/>
      <c r="D141" s="43"/>
      <c r="E141" s="43"/>
      <c r="F141" s="43"/>
      <c r="G141" s="43"/>
      <c r="H141" s="43"/>
      <c r="I141" s="48" t="str">
        <f aca="false">IF(AND(A141="",F141="",G141=""),"",N(F141)+N(G141))</f>
        <v/>
      </c>
      <c r="J141" s="42" t="str">
        <f aca="false">IF(AND(ISNUMBER(D141),D141&gt;0,ISNUMBER(I141)),I141/D141,"")</f>
        <v/>
      </c>
      <c r="K141" s="42" t="str">
        <f aca="false">IF(AND(ISNUMBER(D141),D141&gt;0),N(E141)/D141,"")</f>
        <v/>
      </c>
      <c r="L141" s="46"/>
      <c r="M141" s="46"/>
    </row>
    <row r="142" customFormat="false" ht="15" hidden="false" customHeight="false" outlineLevel="0" collapsed="false">
      <c r="A142" s="40"/>
      <c r="B142" s="46"/>
      <c r="C142" s="47"/>
      <c r="D142" s="43"/>
      <c r="E142" s="43"/>
      <c r="F142" s="43"/>
      <c r="G142" s="43"/>
      <c r="H142" s="43"/>
      <c r="I142" s="48" t="str">
        <f aca="false">IF(AND(A142="",F142="",G142=""),"",N(F142)+N(G142))</f>
        <v/>
      </c>
      <c r="J142" s="42" t="str">
        <f aca="false">IF(AND(ISNUMBER(D142),D142&gt;0,ISNUMBER(I142)),I142/D142,"")</f>
        <v/>
      </c>
      <c r="K142" s="42" t="str">
        <f aca="false">IF(AND(ISNUMBER(D142),D142&gt;0),N(E142)/D142,"")</f>
        <v/>
      </c>
      <c r="L142" s="46"/>
      <c r="M142" s="46"/>
    </row>
    <row r="143" customFormat="false" ht="15" hidden="false" customHeight="false" outlineLevel="0" collapsed="false">
      <c r="A143" s="40"/>
      <c r="B143" s="46"/>
      <c r="C143" s="47"/>
      <c r="D143" s="43"/>
      <c r="E143" s="43"/>
      <c r="F143" s="43"/>
      <c r="G143" s="43"/>
      <c r="H143" s="43"/>
      <c r="I143" s="48" t="str">
        <f aca="false">IF(AND(A143="",F143="",G143=""),"",N(F143)+N(G143))</f>
        <v/>
      </c>
      <c r="J143" s="42" t="str">
        <f aca="false">IF(AND(ISNUMBER(D143),D143&gt;0,ISNUMBER(I143)),I143/D143,"")</f>
        <v/>
      </c>
      <c r="K143" s="42" t="str">
        <f aca="false">IF(AND(ISNUMBER(D143),D143&gt;0),N(E143)/D143,"")</f>
        <v/>
      </c>
      <c r="L143" s="46"/>
      <c r="M143" s="46"/>
    </row>
    <row r="144" customFormat="false" ht="15" hidden="false" customHeight="false" outlineLevel="0" collapsed="false">
      <c r="A144" s="40"/>
      <c r="B144" s="46"/>
      <c r="C144" s="47"/>
      <c r="D144" s="43"/>
      <c r="E144" s="43"/>
      <c r="F144" s="43"/>
      <c r="G144" s="43"/>
      <c r="H144" s="43"/>
      <c r="I144" s="48" t="str">
        <f aca="false">IF(AND(A144="",F144="",G144=""),"",N(F144)+N(G144))</f>
        <v/>
      </c>
      <c r="J144" s="42" t="str">
        <f aca="false">IF(AND(ISNUMBER(D144),D144&gt;0,ISNUMBER(I144)),I144/D144,"")</f>
        <v/>
      </c>
      <c r="K144" s="42" t="str">
        <f aca="false">IF(AND(ISNUMBER(D144),D144&gt;0),N(E144)/D144,"")</f>
        <v/>
      </c>
      <c r="L144" s="46"/>
      <c r="M144" s="46"/>
    </row>
    <row r="145" customFormat="false" ht="15" hidden="false" customHeight="false" outlineLevel="0" collapsed="false">
      <c r="A145" s="40"/>
      <c r="B145" s="46"/>
      <c r="C145" s="47"/>
      <c r="D145" s="43"/>
      <c r="E145" s="43"/>
      <c r="F145" s="43"/>
      <c r="G145" s="43"/>
      <c r="H145" s="43"/>
      <c r="I145" s="48" t="str">
        <f aca="false">IF(AND(A145="",F145="",G145=""),"",N(F145)+N(G145))</f>
        <v/>
      </c>
      <c r="J145" s="42" t="str">
        <f aca="false">IF(AND(ISNUMBER(D145),D145&gt;0,ISNUMBER(I145)),I145/D145,"")</f>
        <v/>
      </c>
      <c r="K145" s="42" t="str">
        <f aca="false">IF(AND(ISNUMBER(D145),D145&gt;0),N(E145)/D145,"")</f>
        <v/>
      </c>
      <c r="L145" s="46"/>
      <c r="M145" s="46"/>
    </row>
    <row r="146" customFormat="false" ht="15" hidden="false" customHeight="false" outlineLevel="0" collapsed="false">
      <c r="A146" s="40"/>
      <c r="B146" s="46"/>
      <c r="C146" s="47"/>
      <c r="D146" s="43"/>
      <c r="E146" s="43"/>
      <c r="F146" s="43"/>
      <c r="G146" s="43"/>
      <c r="H146" s="43"/>
      <c r="I146" s="48" t="str">
        <f aca="false">IF(AND(A146="",F146="",G146=""),"",N(F146)+N(G146))</f>
        <v/>
      </c>
      <c r="J146" s="42" t="str">
        <f aca="false">IF(AND(ISNUMBER(D146),D146&gt;0,ISNUMBER(I146)),I146/D146,"")</f>
        <v/>
      </c>
      <c r="K146" s="42" t="str">
        <f aca="false">IF(AND(ISNUMBER(D146),D146&gt;0),N(E146)/D146,"")</f>
        <v/>
      </c>
      <c r="L146" s="46"/>
      <c r="M146" s="46"/>
    </row>
    <row r="147" customFormat="false" ht="15" hidden="false" customHeight="false" outlineLevel="0" collapsed="false">
      <c r="A147" s="40"/>
      <c r="B147" s="46"/>
      <c r="C147" s="47"/>
      <c r="D147" s="43"/>
      <c r="E147" s="43"/>
      <c r="F147" s="43"/>
      <c r="G147" s="43"/>
      <c r="H147" s="43"/>
      <c r="I147" s="48" t="str">
        <f aca="false">IF(AND(A147="",F147="",G147=""),"",N(F147)+N(G147))</f>
        <v/>
      </c>
      <c r="J147" s="42" t="str">
        <f aca="false">IF(AND(ISNUMBER(D147),D147&gt;0,ISNUMBER(I147)),I147/D147,"")</f>
        <v/>
      </c>
      <c r="K147" s="42" t="str">
        <f aca="false">IF(AND(ISNUMBER(D147),D147&gt;0),N(E147)/D147,"")</f>
        <v/>
      </c>
      <c r="L147" s="46"/>
      <c r="M147" s="46"/>
    </row>
    <row r="148" customFormat="false" ht="15" hidden="false" customHeight="false" outlineLevel="0" collapsed="false">
      <c r="A148" s="40"/>
      <c r="B148" s="46"/>
      <c r="C148" s="47"/>
      <c r="D148" s="43"/>
      <c r="E148" s="43"/>
      <c r="F148" s="43"/>
      <c r="G148" s="43"/>
      <c r="H148" s="43"/>
      <c r="I148" s="48" t="str">
        <f aca="false">IF(AND(A148="",F148="",G148=""),"",N(F148)+N(G148))</f>
        <v/>
      </c>
      <c r="J148" s="42" t="str">
        <f aca="false">IF(AND(ISNUMBER(D148),D148&gt;0,ISNUMBER(I148)),I148/D148,"")</f>
        <v/>
      </c>
      <c r="K148" s="42" t="str">
        <f aca="false">IF(AND(ISNUMBER(D148),D148&gt;0),N(E148)/D148,"")</f>
        <v/>
      </c>
      <c r="L148" s="46"/>
      <c r="M148" s="46"/>
    </row>
    <row r="149" customFormat="false" ht="15" hidden="false" customHeight="false" outlineLevel="0" collapsed="false">
      <c r="A149" s="40"/>
      <c r="B149" s="46"/>
      <c r="C149" s="47"/>
      <c r="D149" s="43"/>
      <c r="E149" s="43"/>
      <c r="F149" s="43"/>
      <c r="G149" s="43"/>
      <c r="H149" s="43"/>
      <c r="I149" s="48" t="str">
        <f aca="false">IF(AND(A149="",F149="",G149=""),"",N(F149)+N(G149))</f>
        <v/>
      </c>
      <c r="J149" s="42" t="str">
        <f aca="false">IF(AND(ISNUMBER(D149),D149&gt;0,ISNUMBER(I149)),I149/D149,"")</f>
        <v/>
      </c>
      <c r="K149" s="42" t="str">
        <f aca="false">IF(AND(ISNUMBER(D149),D149&gt;0),N(E149)/D149,"")</f>
        <v/>
      </c>
      <c r="L149" s="46"/>
      <c r="M149" s="46"/>
    </row>
    <row r="150" customFormat="false" ht="15" hidden="false" customHeight="false" outlineLevel="0" collapsed="false">
      <c r="A150" s="40"/>
      <c r="B150" s="46"/>
      <c r="C150" s="47"/>
      <c r="D150" s="43"/>
      <c r="E150" s="43"/>
      <c r="F150" s="43"/>
      <c r="G150" s="43"/>
      <c r="H150" s="43"/>
      <c r="I150" s="48" t="str">
        <f aca="false">IF(AND(A150="",F150="",G150=""),"",N(F150)+N(G150))</f>
        <v/>
      </c>
      <c r="J150" s="42" t="str">
        <f aca="false">IF(AND(ISNUMBER(D150),D150&gt;0,ISNUMBER(I150)),I150/D150,"")</f>
        <v/>
      </c>
      <c r="K150" s="42" t="str">
        <f aca="false">IF(AND(ISNUMBER(D150),D150&gt;0),N(E150)/D150,"")</f>
        <v/>
      </c>
      <c r="L150" s="46"/>
      <c r="M150" s="46"/>
    </row>
    <row r="151" customFormat="false" ht="15" hidden="false" customHeight="false" outlineLevel="0" collapsed="false">
      <c r="A151" s="40"/>
      <c r="B151" s="46"/>
      <c r="C151" s="47"/>
      <c r="D151" s="43"/>
      <c r="E151" s="43"/>
      <c r="F151" s="43"/>
      <c r="G151" s="43"/>
      <c r="H151" s="43"/>
      <c r="I151" s="48" t="str">
        <f aca="false">IF(AND(A151="",F151="",G151=""),"",N(F151)+N(G151))</f>
        <v/>
      </c>
      <c r="J151" s="42" t="str">
        <f aca="false">IF(AND(ISNUMBER(D151),D151&gt;0,ISNUMBER(I151)),I151/D151,"")</f>
        <v/>
      </c>
      <c r="K151" s="42" t="str">
        <f aca="false">IF(AND(ISNUMBER(D151),D151&gt;0),N(E151)/D151,"")</f>
        <v/>
      </c>
      <c r="L151" s="46"/>
      <c r="M151" s="46"/>
    </row>
    <row r="152" customFormat="false" ht="15" hidden="false" customHeight="false" outlineLevel="0" collapsed="false">
      <c r="A152" s="40"/>
      <c r="B152" s="46"/>
      <c r="C152" s="47"/>
      <c r="D152" s="43"/>
      <c r="E152" s="43"/>
      <c r="F152" s="43"/>
      <c r="G152" s="43"/>
      <c r="H152" s="43"/>
      <c r="I152" s="48" t="str">
        <f aca="false">IF(AND(A152="",F152="",G152=""),"",N(F152)+N(G152))</f>
        <v/>
      </c>
      <c r="J152" s="42" t="str">
        <f aca="false">IF(AND(ISNUMBER(D152),D152&gt;0,ISNUMBER(I152)),I152/D152,"")</f>
        <v/>
      </c>
      <c r="K152" s="42" t="str">
        <f aca="false">IF(AND(ISNUMBER(D152),D152&gt;0),N(E152)/D152,"")</f>
        <v/>
      </c>
      <c r="L152" s="46"/>
      <c r="M152" s="46"/>
    </row>
    <row r="153" customFormat="false" ht="15" hidden="false" customHeight="false" outlineLevel="0" collapsed="false">
      <c r="A153" s="40"/>
      <c r="B153" s="46"/>
      <c r="C153" s="47"/>
      <c r="D153" s="43"/>
      <c r="E153" s="43"/>
      <c r="F153" s="43"/>
      <c r="G153" s="43"/>
      <c r="H153" s="43"/>
      <c r="I153" s="48" t="str">
        <f aca="false">IF(AND(A153="",F153="",G153=""),"",N(F153)+N(G153))</f>
        <v/>
      </c>
      <c r="J153" s="42" t="str">
        <f aca="false">IF(AND(ISNUMBER(D153),D153&gt;0,ISNUMBER(I153)),I153/D153,"")</f>
        <v/>
      </c>
      <c r="K153" s="42" t="str">
        <f aca="false">IF(AND(ISNUMBER(D153),D153&gt;0),N(E153)/D153,"")</f>
        <v/>
      </c>
      <c r="L153" s="46"/>
      <c r="M153" s="46"/>
    </row>
    <row r="154" customFormat="false" ht="15" hidden="false" customHeight="false" outlineLevel="0" collapsed="false">
      <c r="A154" s="40"/>
      <c r="B154" s="46"/>
      <c r="C154" s="47"/>
      <c r="D154" s="43"/>
      <c r="E154" s="43"/>
      <c r="F154" s="43"/>
      <c r="G154" s="43"/>
      <c r="H154" s="43"/>
      <c r="I154" s="48" t="str">
        <f aca="false">IF(AND(A154="",F154="",G154=""),"",N(F154)+N(G154))</f>
        <v/>
      </c>
      <c r="J154" s="42" t="str">
        <f aca="false">IF(AND(ISNUMBER(D154),D154&gt;0,ISNUMBER(I154)),I154/D154,"")</f>
        <v/>
      </c>
      <c r="K154" s="42" t="str">
        <f aca="false">IF(AND(ISNUMBER(D154),D154&gt;0),N(E154)/D154,"")</f>
        <v/>
      </c>
      <c r="L154" s="46"/>
      <c r="M154" s="46"/>
    </row>
    <row r="155" customFormat="false" ht="15" hidden="false" customHeight="false" outlineLevel="0" collapsed="false">
      <c r="A155" s="40"/>
      <c r="B155" s="46"/>
      <c r="C155" s="47"/>
      <c r="D155" s="43"/>
      <c r="E155" s="43"/>
      <c r="F155" s="43"/>
      <c r="G155" s="43"/>
      <c r="H155" s="43"/>
      <c r="I155" s="48" t="str">
        <f aca="false">IF(AND(A155="",F155="",G155=""),"",N(F155)+N(G155))</f>
        <v/>
      </c>
      <c r="J155" s="42" t="str">
        <f aca="false">IF(AND(ISNUMBER(D155),D155&gt;0,ISNUMBER(I155)),I155/D155,"")</f>
        <v/>
      </c>
      <c r="K155" s="42" t="str">
        <f aca="false">IF(AND(ISNUMBER(D155),D155&gt;0),N(E155)/D155,"")</f>
        <v/>
      </c>
      <c r="L155" s="46"/>
      <c r="M155" s="46"/>
    </row>
    <row r="156" customFormat="false" ht="15" hidden="false" customHeight="false" outlineLevel="0" collapsed="false">
      <c r="A156" s="40"/>
      <c r="B156" s="46"/>
      <c r="C156" s="47"/>
      <c r="D156" s="43"/>
      <c r="E156" s="43"/>
      <c r="F156" s="43"/>
      <c r="G156" s="43"/>
      <c r="H156" s="43"/>
      <c r="I156" s="48" t="str">
        <f aca="false">IF(AND(A156="",F156="",G156=""),"",N(F156)+N(G156))</f>
        <v/>
      </c>
      <c r="J156" s="42" t="str">
        <f aca="false">IF(AND(ISNUMBER(D156),D156&gt;0,ISNUMBER(I156)),I156/D156,"")</f>
        <v/>
      </c>
      <c r="K156" s="42" t="str">
        <f aca="false">IF(AND(ISNUMBER(D156),D156&gt;0),N(E156)/D156,"")</f>
        <v/>
      </c>
      <c r="L156" s="46"/>
      <c r="M156" s="46"/>
    </row>
    <row r="157" customFormat="false" ht="15" hidden="false" customHeight="false" outlineLevel="0" collapsed="false">
      <c r="A157" s="40"/>
      <c r="B157" s="46"/>
      <c r="C157" s="47"/>
      <c r="D157" s="43"/>
      <c r="E157" s="43"/>
      <c r="F157" s="43"/>
      <c r="G157" s="43"/>
      <c r="H157" s="43"/>
      <c r="I157" s="48" t="str">
        <f aca="false">IF(AND(A157="",F157="",G157=""),"",N(F157)+N(G157))</f>
        <v/>
      </c>
      <c r="J157" s="42" t="str">
        <f aca="false">IF(AND(ISNUMBER(D157),D157&gt;0,ISNUMBER(I157)),I157/D157,"")</f>
        <v/>
      </c>
      <c r="K157" s="42" t="str">
        <f aca="false">IF(AND(ISNUMBER(D157),D157&gt;0),N(E157)/D157,"")</f>
        <v/>
      </c>
      <c r="L157" s="46"/>
      <c r="M157" s="46"/>
    </row>
    <row r="158" customFormat="false" ht="15" hidden="false" customHeight="false" outlineLevel="0" collapsed="false">
      <c r="A158" s="40"/>
      <c r="B158" s="46"/>
      <c r="C158" s="47"/>
      <c r="D158" s="43"/>
      <c r="E158" s="43"/>
      <c r="F158" s="43"/>
      <c r="G158" s="43"/>
      <c r="H158" s="43"/>
      <c r="I158" s="48" t="str">
        <f aca="false">IF(AND(A158="",F158="",G158=""),"",N(F158)+N(G158))</f>
        <v/>
      </c>
      <c r="J158" s="42" t="str">
        <f aca="false">IF(AND(ISNUMBER(D158),D158&gt;0,ISNUMBER(I158)),I158/D158,"")</f>
        <v/>
      </c>
      <c r="K158" s="42" t="str">
        <f aca="false">IF(AND(ISNUMBER(D158),D158&gt;0),N(E158)/D158,"")</f>
        <v/>
      </c>
      <c r="L158" s="46"/>
      <c r="M158" s="46"/>
    </row>
    <row r="159" customFormat="false" ht="15" hidden="false" customHeight="false" outlineLevel="0" collapsed="false">
      <c r="A159" s="40"/>
      <c r="B159" s="46"/>
      <c r="C159" s="47"/>
      <c r="D159" s="43"/>
      <c r="E159" s="43"/>
      <c r="F159" s="43"/>
      <c r="G159" s="43"/>
      <c r="H159" s="43"/>
      <c r="I159" s="48" t="str">
        <f aca="false">IF(AND(A159="",F159="",G159=""),"",N(F159)+N(G159))</f>
        <v/>
      </c>
      <c r="J159" s="42" t="str">
        <f aca="false">IF(AND(ISNUMBER(D159),D159&gt;0,ISNUMBER(I159)),I159/D159,"")</f>
        <v/>
      </c>
      <c r="K159" s="42" t="str">
        <f aca="false">IF(AND(ISNUMBER(D159),D159&gt;0),N(E159)/D159,"")</f>
        <v/>
      </c>
      <c r="L159" s="46"/>
      <c r="M159" s="46"/>
    </row>
    <row r="160" customFormat="false" ht="15" hidden="false" customHeight="false" outlineLevel="0" collapsed="false">
      <c r="A160" s="40"/>
      <c r="B160" s="46"/>
      <c r="C160" s="47"/>
      <c r="D160" s="43"/>
      <c r="E160" s="43"/>
      <c r="F160" s="43"/>
      <c r="G160" s="43"/>
      <c r="H160" s="43"/>
      <c r="I160" s="48" t="str">
        <f aca="false">IF(AND(A160="",F160="",G160=""),"",N(F160)+N(G160))</f>
        <v/>
      </c>
      <c r="J160" s="42" t="str">
        <f aca="false">IF(AND(ISNUMBER(D160),D160&gt;0,ISNUMBER(I160)),I160/D160,"")</f>
        <v/>
      </c>
      <c r="K160" s="42" t="str">
        <f aca="false">IF(AND(ISNUMBER(D160),D160&gt;0),N(E160)/D160,"")</f>
        <v/>
      </c>
      <c r="L160" s="46"/>
      <c r="M160" s="46"/>
    </row>
    <row r="161" customFormat="false" ht="15" hidden="false" customHeight="false" outlineLevel="0" collapsed="false">
      <c r="A161" s="40"/>
      <c r="B161" s="46"/>
      <c r="C161" s="47"/>
      <c r="D161" s="43"/>
      <c r="E161" s="43"/>
      <c r="F161" s="43"/>
      <c r="G161" s="43"/>
      <c r="H161" s="43"/>
      <c r="I161" s="48" t="str">
        <f aca="false">IF(AND(A161="",F161="",G161=""),"",N(F161)+N(G161))</f>
        <v/>
      </c>
      <c r="J161" s="42" t="str">
        <f aca="false">IF(AND(ISNUMBER(D161),D161&gt;0,ISNUMBER(I161)),I161/D161,"")</f>
        <v/>
      </c>
      <c r="K161" s="42" t="str">
        <f aca="false">IF(AND(ISNUMBER(D161),D161&gt;0),N(E161)/D161,"")</f>
        <v/>
      </c>
      <c r="L161" s="46"/>
      <c r="M161" s="46"/>
    </row>
    <row r="162" customFormat="false" ht="15" hidden="false" customHeight="false" outlineLevel="0" collapsed="false">
      <c r="A162" s="40"/>
      <c r="B162" s="46"/>
      <c r="C162" s="47"/>
      <c r="D162" s="43"/>
      <c r="E162" s="43"/>
      <c r="F162" s="43"/>
      <c r="G162" s="43"/>
      <c r="H162" s="43"/>
      <c r="I162" s="48" t="str">
        <f aca="false">IF(AND(A162="",F162="",G162=""),"",N(F162)+N(G162))</f>
        <v/>
      </c>
      <c r="J162" s="42" t="str">
        <f aca="false">IF(AND(ISNUMBER(D162),D162&gt;0,ISNUMBER(I162)),I162/D162,"")</f>
        <v/>
      </c>
      <c r="K162" s="42" t="str">
        <f aca="false">IF(AND(ISNUMBER(D162),D162&gt;0),N(E162)/D162,"")</f>
        <v/>
      </c>
      <c r="L162" s="46"/>
      <c r="M162" s="46"/>
    </row>
    <row r="163" customFormat="false" ht="15" hidden="false" customHeight="false" outlineLevel="0" collapsed="false">
      <c r="A163" s="40"/>
      <c r="B163" s="46"/>
      <c r="C163" s="47"/>
      <c r="D163" s="43"/>
      <c r="E163" s="43"/>
      <c r="F163" s="43"/>
      <c r="G163" s="43"/>
      <c r="H163" s="43"/>
      <c r="I163" s="48" t="str">
        <f aca="false">IF(AND(A163="",F163="",G163=""),"",N(F163)+N(G163))</f>
        <v/>
      </c>
      <c r="J163" s="42" t="str">
        <f aca="false">IF(AND(ISNUMBER(D163),D163&gt;0,ISNUMBER(I163)),I163/D163,"")</f>
        <v/>
      </c>
      <c r="K163" s="42" t="str">
        <f aca="false">IF(AND(ISNUMBER(D163),D163&gt;0),N(E163)/D163,"")</f>
        <v/>
      </c>
      <c r="L163" s="46"/>
      <c r="M163" s="46"/>
    </row>
    <row r="164" customFormat="false" ht="15" hidden="false" customHeight="false" outlineLevel="0" collapsed="false">
      <c r="A164" s="40"/>
      <c r="B164" s="46"/>
      <c r="C164" s="47"/>
      <c r="D164" s="43"/>
      <c r="E164" s="43"/>
      <c r="F164" s="43"/>
      <c r="G164" s="43"/>
      <c r="H164" s="43"/>
      <c r="I164" s="48" t="str">
        <f aca="false">IF(AND(A164="",F164="",G164=""),"",N(F164)+N(G164))</f>
        <v/>
      </c>
      <c r="J164" s="42" t="str">
        <f aca="false">IF(AND(ISNUMBER(D164),D164&gt;0,ISNUMBER(I164)),I164/D164,"")</f>
        <v/>
      </c>
      <c r="K164" s="42" t="str">
        <f aca="false">IF(AND(ISNUMBER(D164),D164&gt;0),N(E164)/D164,"")</f>
        <v/>
      </c>
      <c r="L164" s="46"/>
      <c r="M164" s="46"/>
    </row>
    <row r="165" customFormat="false" ht="15" hidden="false" customHeight="false" outlineLevel="0" collapsed="false">
      <c r="A165" s="40"/>
      <c r="B165" s="46"/>
      <c r="C165" s="47"/>
      <c r="D165" s="43"/>
      <c r="E165" s="43"/>
      <c r="F165" s="43"/>
      <c r="G165" s="43"/>
      <c r="H165" s="43"/>
      <c r="I165" s="48" t="str">
        <f aca="false">IF(AND(A165="",F165="",G165=""),"",N(F165)+N(G165))</f>
        <v/>
      </c>
      <c r="J165" s="42" t="str">
        <f aca="false">IF(AND(ISNUMBER(D165),D165&gt;0,ISNUMBER(I165)),I165/D165,"")</f>
        <v/>
      </c>
      <c r="K165" s="42" t="str">
        <f aca="false">IF(AND(ISNUMBER(D165),D165&gt;0),N(E165)/D165,"")</f>
        <v/>
      </c>
      <c r="L165" s="46"/>
      <c r="M165" s="46"/>
    </row>
    <row r="166" customFormat="false" ht="15" hidden="false" customHeight="false" outlineLevel="0" collapsed="false">
      <c r="A166" s="40"/>
      <c r="B166" s="46"/>
      <c r="C166" s="47"/>
      <c r="D166" s="43"/>
      <c r="E166" s="43"/>
      <c r="F166" s="43"/>
      <c r="G166" s="43"/>
      <c r="H166" s="43"/>
      <c r="I166" s="48" t="str">
        <f aca="false">IF(AND(A166="",F166="",G166=""),"",N(F166)+N(G166))</f>
        <v/>
      </c>
      <c r="J166" s="42" t="str">
        <f aca="false">IF(AND(ISNUMBER(D166),D166&gt;0,ISNUMBER(I166)),I166/D166,"")</f>
        <v/>
      </c>
      <c r="K166" s="42" t="str">
        <f aca="false">IF(AND(ISNUMBER(D166),D166&gt;0),N(E166)/D166,"")</f>
        <v/>
      </c>
      <c r="L166" s="46"/>
      <c r="M166" s="46"/>
    </row>
    <row r="167" customFormat="false" ht="15" hidden="false" customHeight="false" outlineLevel="0" collapsed="false">
      <c r="A167" s="40"/>
      <c r="B167" s="46"/>
      <c r="C167" s="47"/>
      <c r="D167" s="43"/>
      <c r="E167" s="43"/>
      <c r="F167" s="43"/>
      <c r="G167" s="43"/>
      <c r="H167" s="43"/>
      <c r="I167" s="48" t="str">
        <f aca="false">IF(AND(A167="",F167="",G167=""),"",N(F167)+N(G167))</f>
        <v/>
      </c>
      <c r="J167" s="42" t="str">
        <f aca="false">IF(AND(ISNUMBER(D167),D167&gt;0,ISNUMBER(I167)),I167/D167,"")</f>
        <v/>
      </c>
      <c r="K167" s="42" t="str">
        <f aca="false">IF(AND(ISNUMBER(D167),D167&gt;0),N(E167)/D167,"")</f>
        <v/>
      </c>
      <c r="L167" s="46"/>
      <c r="M167" s="46"/>
    </row>
    <row r="168" customFormat="false" ht="15" hidden="false" customHeight="false" outlineLevel="0" collapsed="false">
      <c r="A168" s="40"/>
      <c r="B168" s="46"/>
      <c r="C168" s="47"/>
      <c r="D168" s="43"/>
      <c r="E168" s="43"/>
      <c r="F168" s="43"/>
      <c r="G168" s="43"/>
      <c r="H168" s="43"/>
      <c r="I168" s="48" t="str">
        <f aca="false">IF(AND(A168="",F168="",G168=""),"",N(F168)+N(G168))</f>
        <v/>
      </c>
      <c r="J168" s="42" t="str">
        <f aca="false">IF(AND(ISNUMBER(D168),D168&gt;0,ISNUMBER(I168)),I168/D168,"")</f>
        <v/>
      </c>
      <c r="K168" s="42" t="str">
        <f aca="false">IF(AND(ISNUMBER(D168),D168&gt;0),N(E168)/D168,"")</f>
        <v/>
      </c>
      <c r="L168" s="46"/>
      <c r="M168" s="46"/>
    </row>
    <row r="169" customFormat="false" ht="15" hidden="false" customHeight="false" outlineLevel="0" collapsed="false">
      <c r="A169" s="40"/>
      <c r="B169" s="46"/>
      <c r="C169" s="47"/>
      <c r="D169" s="43"/>
      <c r="E169" s="43"/>
      <c r="F169" s="43"/>
      <c r="G169" s="43"/>
      <c r="H169" s="43"/>
      <c r="I169" s="48" t="str">
        <f aca="false">IF(AND(A169="",F169="",G169=""),"",N(F169)+N(G169))</f>
        <v/>
      </c>
      <c r="J169" s="42" t="str">
        <f aca="false">IF(AND(ISNUMBER(D169),D169&gt;0,ISNUMBER(I169)),I169/D169,"")</f>
        <v/>
      </c>
      <c r="K169" s="42" t="str">
        <f aca="false">IF(AND(ISNUMBER(D169),D169&gt;0),N(E169)/D169,"")</f>
        <v/>
      </c>
      <c r="L169" s="46"/>
      <c r="M169" s="46"/>
    </row>
    <row r="170" customFormat="false" ht="15" hidden="false" customHeight="false" outlineLevel="0" collapsed="false">
      <c r="A170" s="40"/>
      <c r="B170" s="46"/>
      <c r="C170" s="47"/>
      <c r="D170" s="43"/>
      <c r="E170" s="43"/>
      <c r="F170" s="43"/>
      <c r="G170" s="43"/>
      <c r="H170" s="43"/>
      <c r="I170" s="48" t="str">
        <f aca="false">IF(AND(A170="",F170="",G170=""),"",N(F170)+N(G170))</f>
        <v/>
      </c>
      <c r="J170" s="42" t="str">
        <f aca="false">IF(AND(ISNUMBER(D170),D170&gt;0,ISNUMBER(I170)),I170/D170,"")</f>
        <v/>
      </c>
      <c r="K170" s="42" t="str">
        <f aca="false">IF(AND(ISNUMBER(D170),D170&gt;0),N(E170)/D170,"")</f>
        <v/>
      </c>
      <c r="L170" s="46"/>
      <c r="M170" s="46"/>
    </row>
    <row r="171" customFormat="false" ht="15" hidden="false" customHeight="false" outlineLevel="0" collapsed="false">
      <c r="A171" s="40"/>
      <c r="B171" s="46"/>
      <c r="C171" s="47"/>
      <c r="D171" s="43"/>
      <c r="E171" s="43"/>
      <c r="F171" s="43"/>
      <c r="G171" s="43"/>
      <c r="H171" s="43"/>
      <c r="I171" s="48" t="str">
        <f aca="false">IF(AND(A171="",F171="",G171=""),"",N(F171)+N(G171))</f>
        <v/>
      </c>
      <c r="J171" s="42" t="str">
        <f aca="false">IF(AND(ISNUMBER(D171),D171&gt;0,ISNUMBER(I171)),I171/D171,"")</f>
        <v/>
      </c>
      <c r="K171" s="42" t="str">
        <f aca="false">IF(AND(ISNUMBER(D171),D171&gt;0),N(E171)/D171,"")</f>
        <v/>
      </c>
      <c r="L171" s="46"/>
      <c r="M171" s="46"/>
    </row>
    <row r="172" customFormat="false" ht="15" hidden="false" customHeight="false" outlineLevel="0" collapsed="false">
      <c r="A172" s="40"/>
      <c r="B172" s="46"/>
      <c r="C172" s="47"/>
      <c r="D172" s="43"/>
      <c r="E172" s="43"/>
      <c r="F172" s="43"/>
      <c r="G172" s="43"/>
      <c r="H172" s="43"/>
      <c r="I172" s="48" t="str">
        <f aca="false">IF(AND(A172="",F172="",G172=""),"",N(F172)+N(G172))</f>
        <v/>
      </c>
      <c r="J172" s="42" t="str">
        <f aca="false">IF(AND(ISNUMBER(D172),D172&gt;0,ISNUMBER(I172)),I172/D172,"")</f>
        <v/>
      </c>
      <c r="K172" s="42" t="str">
        <f aca="false">IF(AND(ISNUMBER(D172),D172&gt;0),N(E172)/D172,"")</f>
        <v/>
      </c>
      <c r="L172" s="46"/>
      <c r="M172" s="46"/>
    </row>
    <row r="173" customFormat="false" ht="15" hidden="false" customHeight="false" outlineLevel="0" collapsed="false">
      <c r="A173" s="40"/>
      <c r="B173" s="46"/>
      <c r="C173" s="47"/>
      <c r="D173" s="43"/>
      <c r="E173" s="43"/>
      <c r="F173" s="43"/>
      <c r="G173" s="43"/>
      <c r="H173" s="43"/>
      <c r="I173" s="48" t="str">
        <f aca="false">IF(AND(A173="",F173="",G173=""),"",N(F173)+N(G173))</f>
        <v/>
      </c>
      <c r="J173" s="42" t="str">
        <f aca="false">IF(AND(ISNUMBER(D173),D173&gt;0,ISNUMBER(I173)),I173/D173,"")</f>
        <v/>
      </c>
      <c r="K173" s="42" t="str">
        <f aca="false">IF(AND(ISNUMBER(D173),D173&gt;0),N(E173)/D173,"")</f>
        <v/>
      </c>
      <c r="L173" s="46"/>
      <c r="M173" s="46"/>
    </row>
    <row r="174" customFormat="false" ht="15" hidden="false" customHeight="false" outlineLevel="0" collapsed="false">
      <c r="A174" s="40"/>
      <c r="B174" s="46"/>
      <c r="C174" s="47"/>
      <c r="D174" s="43"/>
      <c r="E174" s="43"/>
      <c r="F174" s="43"/>
      <c r="G174" s="43"/>
      <c r="H174" s="43"/>
      <c r="I174" s="48" t="str">
        <f aca="false">IF(AND(A174="",F174="",G174=""),"",N(F174)+N(G174))</f>
        <v/>
      </c>
      <c r="J174" s="42" t="str">
        <f aca="false">IF(AND(ISNUMBER(D174),D174&gt;0,ISNUMBER(I174)),I174/D174,"")</f>
        <v/>
      </c>
      <c r="K174" s="42" t="str">
        <f aca="false">IF(AND(ISNUMBER(D174),D174&gt;0),N(E174)/D174,"")</f>
        <v/>
      </c>
      <c r="L174" s="46"/>
      <c r="M174" s="46"/>
    </row>
    <row r="175" customFormat="false" ht="15" hidden="false" customHeight="false" outlineLevel="0" collapsed="false">
      <c r="A175" s="40"/>
      <c r="B175" s="46"/>
      <c r="C175" s="47"/>
      <c r="D175" s="43"/>
      <c r="E175" s="43"/>
      <c r="F175" s="43"/>
      <c r="G175" s="43"/>
      <c r="H175" s="43"/>
      <c r="I175" s="48" t="str">
        <f aca="false">IF(AND(A175="",F175="",G175=""),"",N(F175)+N(G175))</f>
        <v/>
      </c>
      <c r="J175" s="42" t="str">
        <f aca="false">IF(AND(ISNUMBER(D175),D175&gt;0,ISNUMBER(I175)),I175/D175,"")</f>
        <v/>
      </c>
      <c r="K175" s="42" t="str">
        <f aca="false">IF(AND(ISNUMBER(D175),D175&gt;0),N(E175)/D175,"")</f>
        <v/>
      </c>
      <c r="L175" s="46"/>
      <c r="M175" s="46"/>
    </row>
    <row r="176" customFormat="false" ht="15" hidden="false" customHeight="false" outlineLevel="0" collapsed="false">
      <c r="A176" s="40"/>
      <c r="B176" s="46"/>
      <c r="C176" s="47"/>
      <c r="D176" s="43"/>
      <c r="E176" s="43"/>
      <c r="F176" s="43"/>
      <c r="G176" s="43"/>
      <c r="H176" s="43"/>
      <c r="I176" s="48" t="str">
        <f aca="false">IF(AND(A176="",F176="",G176=""),"",N(F176)+N(G176))</f>
        <v/>
      </c>
      <c r="J176" s="42" t="str">
        <f aca="false">IF(AND(ISNUMBER(D176),D176&gt;0,ISNUMBER(I176)),I176/D176,"")</f>
        <v/>
      </c>
      <c r="K176" s="42" t="str">
        <f aca="false">IF(AND(ISNUMBER(D176),D176&gt;0),N(E176)/D176,"")</f>
        <v/>
      </c>
      <c r="L176" s="46"/>
      <c r="M176" s="46"/>
    </row>
    <row r="177" customFormat="false" ht="15" hidden="false" customHeight="false" outlineLevel="0" collapsed="false">
      <c r="A177" s="40"/>
      <c r="B177" s="46"/>
      <c r="C177" s="47"/>
      <c r="D177" s="43"/>
      <c r="E177" s="43"/>
      <c r="F177" s="43"/>
      <c r="G177" s="43"/>
      <c r="H177" s="43"/>
      <c r="I177" s="48" t="str">
        <f aca="false">IF(AND(A177="",F177="",G177=""),"",N(F177)+N(G177))</f>
        <v/>
      </c>
      <c r="J177" s="42" t="str">
        <f aca="false">IF(AND(ISNUMBER(D177),D177&gt;0,ISNUMBER(I177)),I177/D177,"")</f>
        <v/>
      </c>
      <c r="K177" s="42" t="str">
        <f aca="false">IF(AND(ISNUMBER(D177),D177&gt;0),N(E177)/D177,"")</f>
        <v/>
      </c>
      <c r="L177" s="46"/>
      <c r="M177" s="46"/>
    </row>
    <row r="178" customFormat="false" ht="15" hidden="false" customHeight="false" outlineLevel="0" collapsed="false">
      <c r="A178" s="40"/>
      <c r="B178" s="46"/>
      <c r="C178" s="47"/>
      <c r="D178" s="43"/>
      <c r="E178" s="43"/>
      <c r="F178" s="43"/>
      <c r="G178" s="43"/>
      <c r="H178" s="43"/>
      <c r="I178" s="48" t="str">
        <f aca="false">IF(AND(A178="",F178="",G178=""),"",N(F178)+N(G178))</f>
        <v/>
      </c>
      <c r="J178" s="42" t="str">
        <f aca="false">IF(AND(ISNUMBER(D178),D178&gt;0,ISNUMBER(I178)),I178/D178,"")</f>
        <v/>
      </c>
      <c r="K178" s="42" t="str">
        <f aca="false">IF(AND(ISNUMBER(D178),D178&gt;0),N(E178)/D178,"")</f>
        <v/>
      </c>
      <c r="L178" s="46"/>
      <c r="M178" s="46"/>
    </row>
    <row r="179" customFormat="false" ht="15" hidden="false" customHeight="false" outlineLevel="0" collapsed="false">
      <c r="A179" s="40"/>
      <c r="B179" s="46"/>
      <c r="C179" s="47"/>
      <c r="D179" s="43"/>
      <c r="E179" s="43"/>
      <c r="F179" s="43"/>
      <c r="G179" s="43"/>
      <c r="H179" s="43"/>
      <c r="I179" s="48" t="str">
        <f aca="false">IF(AND(A179="",F179="",G179=""),"",N(F179)+N(G179))</f>
        <v/>
      </c>
      <c r="J179" s="42" t="str">
        <f aca="false">IF(AND(ISNUMBER(D179),D179&gt;0,ISNUMBER(I179)),I179/D179,"")</f>
        <v/>
      </c>
      <c r="K179" s="42" t="str">
        <f aca="false">IF(AND(ISNUMBER(D179),D179&gt;0),N(E179)/D179,"")</f>
        <v/>
      </c>
      <c r="L179" s="46"/>
      <c r="M179" s="46"/>
    </row>
    <row r="180" customFormat="false" ht="15" hidden="false" customHeight="false" outlineLevel="0" collapsed="false">
      <c r="A180" s="40"/>
      <c r="B180" s="46"/>
      <c r="C180" s="47"/>
      <c r="D180" s="43"/>
      <c r="E180" s="43"/>
      <c r="F180" s="43"/>
      <c r="G180" s="43"/>
      <c r="H180" s="43"/>
      <c r="I180" s="48" t="str">
        <f aca="false">IF(AND(A180="",F180="",G180=""),"",N(F180)+N(G180))</f>
        <v/>
      </c>
      <c r="J180" s="42" t="str">
        <f aca="false">IF(AND(ISNUMBER(D180),D180&gt;0,ISNUMBER(I180)),I180/D180,"")</f>
        <v/>
      </c>
      <c r="K180" s="42" t="str">
        <f aca="false">IF(AND(ISNUMBER(D180),D180&gt;0),N(E180)/D180,"")</f>
        <v/>
      </c>
      <c r="L180" s="46"/>
      <c r="M180" s="46"/>
    </row>
    <row r="181" customFormat="false" ht="15" hidden="false" customHeight="false" outlineLevel="0" collapsed="false">
      <c r="A181" s="40"/>
      <c r="B181" s="46"/>
      <c r="C181" s="47"/>
      <c r="D181" s="43"/>
      <c r="E181" s="43"/>
      <c r="F181" s="43"/>
      <c r="G181" s="43"/>
      <c r="H181" s="43"/>
      <c r="I181" s="48" t="str">
        <f aca="false">IF(AND(A181="",F181="",G181=""),"",N(F181)+N(G181))</f>
        <v/>
      </c>
      <c r="J181" s="42" t="str">
        <f aca="false">IF(AND(ISNUMBER(D181),D181&gt;0,ISNUMBER(I181)),I181/D181,"")</f>
        <v/>
      </c>
      <c r="K181" s="42" t="str">
        <f aca="false">IF(AND(ISNUMBER(D181),D181&gt;0),N(E181)/D181,"")</f>
        <v/>
      </c>
      <c r="L181" s="46"/>
      <c r="M181" s="46"/>
    </row>
    <row r="182" customFormat="false" ht="15" hidden="false" customHeight="false" outlineLevel="0" collapsed="false">
      <c r="A182" s="40"/>
      <c r="B182" s="46"/>
      <c r="C182" s="47"/>
      <c r="D182" s="43"/>
      <c r="E182" s="43"/>
      <c r="F182" s="43"/>
      <c r="G182" s="43"/>
      <c r="H182" s="43"/>
      <c r="I182" s="48" t="str">
        <f aca="false">IF(AND(A182="",F182="",G182=""),"",N(F182)+N(G182))</f>
        <v/>
      </c>
      <c r="J182" s="42" t="str">
        <f aca="false">IF(AND(ISNUMBER(D182),D182&gt;0,ISNUMBER(I182)),I182/D182,"")</f>
        <v/>
      </c>
      <c r="K182" s="42" t="str">
        <f aca="false">IF(AND(ISNUMBER(D182),D182&gt;0),N(E182)/D182,"")</f>
        <v/>
      </c>
      <c r="L182" s="46"/>
      <c r="M182" s="46"/>
    </row>
    <row r="183" customFormat="false" ht="15" hidden="false" customHeight="false" outlineLevel="0" collapsed="false">
      <c r="A183" s="40"/>
      <c r="B183" s="46"/>
      <c r="C183" s="47"/>
      <c r="D183" s="43"/>
      <c r="E183" s="43"/>
      <c r="F183" s="43"/>
      <c r="G183" s="43"/>
      <c r="H183" s="43"/>
      <c r="I183" s="48" t="str">
        <f aca="false">IF(AND(A183="",F183="",G183=""),"",N(F183)+N(G183))</f>
        <v/>
      </c>
      <c r="J183" s="42" t="str">
        <f aca="false">IF(AND(ISNUMBER(D183),D183&gt;0,ISNUMBER(I183)),I183/D183,"")</f>
        <v/>
      </c>
      <c r="K183" s="42" t="str">
        <f aca="false">IF(AND(ISNUMBER(D183),D183&gt;0),N(E183)/D183,"")</f>
        <v/>
      </c>
      <c r="L183" s="46"/>
      <c r="M183" s="46"/>
    </row>
    <row r="184" customFormat="false" ht="15" hidden="false" customHeight="false" outlineLevel="0" collapsed="false">
      <c r="A184" s="40"/>
      <c r="B184" s="46"/>
      <c r="C184" s="47"/>
      <c r="D184" s="43"/>
      <c r="E184" s="43"/>
      <c r="F184" s="43"/>
      <c r="G184" s="43"/>
      <c r="H184" s="43"/>
      <c r="I184" s="48" t="str">
        <f aca="false">IF(AND(A184="",F184="",G184=""),"",N(F184)+N(G184))</f>
        <v/>
      </c>
      <c r="J184" s="42" t="str">
        <f aca="false">IF(AND(ISNUMBER(D184),D184&gt;0,ISNUMBER(I184)),I184/D184,"")</f>
        <v/>
      </c>
      <c r="K184" s="42" t="str">
        <f aca="false">IF(AND(ISNUMBER(D184),D184&gt;0),N(E184)/D184,"")</f>
        <v/>
      </c>
      <c r="L184" s="46"/>
      <c r="M184" s="46"/>
    </row>
    <row r="185" customFormat="false" ht="15" hidden="false" customHeight="false" outlineLevel="0" collapsed="false">
      <c r="A185" s="40"/>
      <c r="B185" s="46"/>
      <c r="C185" s="47"/>
      <c r="D185" s="43"/>
      <c r="E185" s="43"/>
      <c r="F185" s="43"/>
      <c r="G185" s="43"/>
      <c r="H185" s="43"/>
      <c r="I185" s="48" t="str">
        <f aca="false">IF(AND(A185="",F185="",G185=""),"",N(F185)+N(G185))</f>
        <v/>
      </c>
      <c r="J185" s="42" t="str">
        <f aca="false">IF(AND(ISNUMBER(D185),D185&gt;0,ISNUMBER(I185)),I185/D185,"")</f>
        <v/>
      </c>
      <c r="K185" s="42" t="str">
        <f aca="false">IF(AND(ISNUMBER(D185),D185&gt;0),N(E185)/D185,"")</f>
        <v/>
      </c>
      <c r="L185" s="46"/>
      <c r="M185" s="46"/>
    </row>
    <row r="186" customFormat="false" ht="15" hidden="false" customHeight="false" outlineLevel="0" collapsed="false">
      <c r="A186" s="40"/>
      <c r="B186" s="46"/>
      <c r="C186" s="47"/>
      <c r="D186" s="43"/>
      <c r="E186" s="43"/>
      <c r="F186" s="43"/>
      <c r="G186" s="43"/>
      <c r="H186" s="43"/>
      <c r="I186" s="48" t="str">
        <f aca="false">IF(AND(A186="",F186="",G186=""),"",N(F186)+N(G186))</f>
        <v/>
      </c>
      <c r="J186" s="42" t="str">
        <f aca="false">IF(AND(ISNUMBER(D186),D186&gt;0,ISNUMBER(I186)),I186/D186,"")</f>
        <v/>
      </c>
      <c r="K186" s="42" t="str">
        <f aca="false">IF(AND(ISNUMBER(D186),D186&gt;0),N(E186)/D186,"")</f>
        <v/>
      </c>
      <c r="L186" s="46"/>
      <c r="M186" s="46"/>
    </row>
    <row r="187" customFormat="false" ht="15" hidden="false" customHeight="false" outlineLevel="0" collapsed="false">
      <c r="A187" s="40"/>
      <c r="B187" s="46"/>
      <c r="C187" s="47"/>
      <c r="D187" s="43"/>
      <c r="E187" s="43"/>
      <c r="F187" s="43"/>
      <c r="G187" s="43"/>
      <c r="H187" s="43"/>
      <c r="I187" s="48" t="str">
        <f aca="false">IF(AND(A187="",F187="",G187=""),"",N(F187)+N(G187))</f>
        <v/>
      </c>
      <c r="J187" s="42" t="str">
        <f aca="false">IF(AND(ISNUMBER(D187),D187&gt;0,ISNUMBER(I187)),I187/D187,"")</f>
        <v/>
      </c>
      <c r="K187" s="42" t="str">
        <f aca="false">IF(AND(ISNUMBER(D187),D187&gt;0),N(E187)/D187,"")</f>
        <v/>
      </c>
      <c r="L187" s="46"/>
      <c r="M187" s="46"/>
    </row>
    <row r="188" customFormat="false" ht="15" hidden="false" customHeight="false" outlineLevel="0" collapsed="false">
      <c r="A188" s="40"/>
      <c r="B188" s="46"/>
      <c r="C188" s="47"/>
      <c r="D188" s="43"/>
      <c r="E188" s="43"/>
      <c r="F188" s="43"/>
      <c r="G188" s="43"/>
      <c r="H188" s="43"/>
      <c r="I188" s="48" t="str">
        <f aca="false">IF(AND(A188="",F188="",G188=""),"",N(F188)+N(G188))</f>
        <v/>
      </c>
      <c r="J188" s="42" t="str">
        <f aca="false">IF(AND(ISNUMBER(D188),D188&gt;0,ISNUMBER(I188)),I188/D188,"")</f>
        <v/>
      </c>
      <c r="K188" s="42" t="str">
        <f aca="false">IF(AND(ISNUMBER(D188),D188&gt;0),N(E188)/D188,"")</f>
        <v/>
      </c>
      <c r="L188" s="46"/>
      <c r="M188" s="46"/>
    </row>
    <row r="189" customFormat="false" ht="15" hidden="false" customHeight="false" outlineLevel="0" collapsed="false">
      <c r="A189" s="40"/>
      <c r="B189" s="46"/>
      <c r="C189" s="47"/>
      <c r="D189" s="43"/>
      <c r="E189" s="43"/>
      <c r="F189" s="43"/>
      <c r="G189" s="43"/>
      <c r="H189" s="43"/>
      <c r="I189" s="48" t="str">
        <f aca="false">IF(AND(A189="",F189="",G189=""),"",N(F189)+N(G189))</f>
        <v/>
      </c>
      <c r="J189" s="42" t="str">
        <f aca="false">IF(AND(ISNUMBER(D189),D189&gt;0,ISNUMBER(I189)),I189/D189,"")</f>
        <v/>
      </c>
      <c r="K189" s="42" t="str">
        <f aca="false">IF(AND(ISNUMBER(D189),D189&gt;0),N(E189)/D189,"")</f>
        <v/>
      </c>
      <c r="L189" s="46"/>
      <c r="M189" s="46"/>
    </row>
    <row r="190" customFormat="false" ht="15" hidden="false" customHeight="false" outlineLevel="0" collapsed="false">
      <c r="A190" s="40"/>
      <c r="B190" s="46"/>
      <c r="C190" s="47"/>
      <c r="D190" s="43"/>
      <c r="E190" s="43"/>
      <c r="F190" s="43"/>
      <c r="G190" s="43"/>
      <c r="H190" s="43"/>
      <c r="I190" s="48" t="str">
        <f aca="false">IF(AND(A190="",F190="",G190=""),"",N(F190)+N(G190))</f>
        <v/>
      </c>
      <c r="J190" s="42" t="str">
        <f aca="false">IF(AND(ISNUMBER(D190),D190&gt;0,ISNUMBER(I190)),I190/D190,"")</f>
        <v/>
      </c>
      <c r="K190" s="42" t="str">
        <f aca="false">IF(AND(ISNUMBER(D190),D190&gt;0),N(E190)/D190,"")</f>
        <v/>
      </c>
      <c r="L190" s="46"/>
      <c r="M190" s="46"/>
    </row>
    <row r="191" customFormat="false" ht="15" hidden="false" customHeight="false" outlineLevel="0" collapsed="false">
      <c r="A191" s="40"/>
      <c r="B191" s="46"/>
      <c r="C191" s="47"/>
      <c r="D191" s="43"/>
      <c r="E191" s="43"/>
      <c r="F191" s="43"/>
      <c r="G191" s="43"/>
      <c r="H191" s="43"/>
      <c r="I191" s="48" t="str">
        <f aca="false">IF(AND(A191="",F191="",G191=""),"",N(F191)+N(G191))</f>
        <v/>
      </c>
      <c r="J191" s="42" t="str">
        <f aca="false">IF(AND(ISNUMBER(D191),D191&gt;0,ISNUMBER(I191)),I191/D191,"")</f>
        <v/>
      </c>
      <c r="K191" s="42" t="str">
        <f aca="false">IF(AND(ISNUMBER(D191),D191&gt;0),N(E191)/D191,"")</f>
        <v/>
      </c>
      <c r="L191" s="46"/>
      <c r="M191" s="46"/>
    </row>
    <row r="192" customFormat="false" ht="15" hidden="false" customHeight="false" outlineLevel="0" collapsed="false">
      <c r="A192" s="40"/>
      <c r="B192" s="46"/>
      <c r="C192" s="47"/>
      <c r="D192" s="43"/>
      <c r="E192" s="43"/>
      <c r="F192" s="43"/>
      <c r="G192" s="43"/>
      <c r="H192" s="43"/>
      <c r="I192" s="48" t="str">
        <f aca="false">IF(AND(A192="",F192="",G192=""),"",N(F192)+N(G192))</f>
        <v/>
      </c>
      <c r="J192" s="42" t="str">
        <f aca="false">IF(AND(ISNUMBER(D192),D192&gt;0,ISNUMBER(I192)),I192/D192,"")</f>
        <v/>
      </c>
      <c r="K192" s="42" t="str">
        <f aca="false">IF(AND(ISNUMBER(D192),D192&gt;0),N(E192)/D192,"")</f>
        <v/>
      </c>
      <c r="L192" s="46"/>
      <c r="M192" s="46"/>
    </row>
    <row r="193" customFormat="false" ht="15" hidden="false" customHeight="false" outlineLevel="0" collapsed="false">
      <c r="A193" s="40"/>
      <c r="B193" s="46"/>
      <c r="C193" s="47"/>
      <c r="D193" s="43"/>
      <c r="E193" s="43"/>
      <c r="F193" s="43"/>
      <c r="G193" s="43"/>
      <c r="H193" s="43"/>
      <c r="I193" s="48" t="str">
        <f aca="false">IF(AND(A193="",F193="",G193=""),"",N(F193)+N(G193))</f>
        <v/>
      </c>
      <c r="J193" s="42" t="str">
        <f aca="false">IF(AND(ISNUMBER(D193),D193&gt;0,ISNUMBER(I193)),I193/D193,"")</f>
        <v/>
      </c>
      <c r="K193" s="42" t="str">
        <f aca="false">IF(AND(ISNUMBER(D193),D193&gt;0),N(E193)/D193,"")</f>
        <v/>
      </c>
      <c r="L193" s="46"/>
      <c r="M193" s="46"/>
    </row>
    <row r="194" customFormat="false" ht="15" hidden="false" customHeight="false" outlineLevel="0" collapsed="false">
      <c r="A194" s="40"/>
      <c r="B194" s="46"/>
      <c r="C194" s="47"/>
      <c r="D194" s="43"/>
      <c r="E194" s="43"/>
      <c r="F194" s="43"/>
      <c r="G194" s="43"/>
      <c r="H194" s="43"/>
      <c r="I194" s="48" t="str">
        <f aca="false">IF(AND(A194="",F194="",G194=""),"",N(F194)+N(G194))</f>
        <v/>
      </c>
      <c r="J194" s="42" t="str">
        <f aca="false">IF(AND(ISNUMBER(D194),D194&gt;0,ISNUMBER(I194)),I194/D194,"")</f>
        <v/>
      </c>
      <c r="K194" s="42" t="str">
        <f aca="false">IF(AND(ISNUMBER(D194),D194&gt;0),N(E194)/D194,"")</f>
        <v/>
      </c>
      <c r="L194" s="46"/>
      <c r="M194" s="46"/>
    </row>
    <row r="195" customFormat="false" ht="15" hidden="false" customHeight="false" outlineLevel="0" collapsed="false">
      <c r="A195" s="40"/>
      <c r="B195" s="46"/>
      <c r="C195" s="47"/>
      <c r="D195" s="43"/>
      <c r="E195" s="43"/>
      <c r="F195" s="43"/>
      <c r="G195" s="43"/>
      <c r="H195" s="43"/>
      <c r="I195" s="48" t="str">
        <f aca="false">IF(AND(A195="",F195="",G195=""),"",N(F195)+N(G195))</f>
        <v/>
      </c>
      <c r="J195" s="42" t="str">
        <f aca="false">IF(AND(ISNUMBER(D195),D195&gt;0,ISNUMBER(I195)),I195/D195,"")</f>
        <v/>
      </c>
      <c r="K195" s="42" t="str">
        <f aca="false">IF(AND(ISNUMBER(D195),D195&gt;0),N(E195)/D195,"")</f>
        <v/>
      </c>
      <c r="L195" s="46"/>
      <c r="M195" s="46"/>
    </row>
    <row r="196" customFormat="false" ht="15" hidden="false" customHeight="false" outlineLevel="0" collapsed="false">
      <c r="A196" s="40"/>
      <c r="B196" s="46"/>
      <c r="C196" s="47"/>
      <c r="D196" s="43"/>
      <c r="E196" s="43"/>
      <c r="F196" s="43"/>
      <c r="G196" s="43"/>
      <c r="H196" s="43"/>
      <c r="I196" s="48" t="str">
        <f aca="false">IF(AND(A196="",F196="",G196=""),"",N(F196)+N(G196))</f>
        <v/>
      </c>
      <c r="J196" s="42" t="str">
        <f aca="false">IF(AND(ISNUMBER(D196),D196&gt;0,ISNUMBER(I196)),I196/D196,"")</f>
        <v/>
      </c>
      <c r="K196" s="42" t="str">
        <f aca="false">IF(AND(ISNUMBER(D196),D196&gt;0),N(E196)/D196,"")</f>
        <v/>
      </c>
      <c r="L196" s="46"/>
      <c r="M196" s="46"/>
    </row>
    <row r="197" customFormat="false" ht="15" hidden="false" customHeight="false" outlineLevel="0" collapsed="false">
      <c r="A197" s="40"/>
      <c r="B197" s="46"/>
      <c r="C197" s="47"/>
      <c r="D197" s="43"/>
      <c r="E197" s="43"/>
      <c r="F197" s="43"/>
      <c r="G197" s="43"/>
      <c r="H197" s="43"/>
      <c r="I197" s="48" t="str">
        <f aca="false">IF(AND(A197="",F197="",G197=""),"",N(F197)+N(G197))</f>
        <v/>
      </c>
      <c r="J197" s="42" t="str">
        <f aca="false">IF(AND(ISNUMBER(D197),D197&gt;0,ISNUMBER(I197)),I197/D197,"")</f>
        <v/>
      </c>
      <c r="K197" s="42" t="str">
        <f aca="false">IF(AND(ISNUMBER(D197),D197&gt;0),N(E197)/D197,"")</f>
        <v/>
      </c>
      <c r="L197" s="46"/>
      <c r="M197" s="46"/>
    </row>
    <row r="198" customFormat="false" ht="15" hidden="false" customHeight="false" outlineLevel="0" collapsed="false">
      <c r="A198" s="40"/>
      <c r="B198" s="46"/>
      <c r="C198" s="47"/>
      <c r="D198" s="43"/>
      <c r="E198" s="43"/>
      <c r="F198" s="43"/>
      <c r="G198" s="43"/>
      <c r="H198" s="43"/>
      <c r="I198" s="48" t="str">
        <f aca="false">IF(AND(A198="",F198="",G198=""),"",N(F198)+N(G198))</f>
        <v/>
      </c>
      <c r="J198" s="42" t="str">
        <f aca="false">IF(AND(ISNUMBER(D198),D198&gt;0,ISNUMBER(I198)),I198/D198,"")</f>
        <v/>
      </c>
      <c r="K198" s="42" t="str">
        <f aca="false">IF(AND(ISNUMBER(D198),D198&gt;0),N(E198)/D198,"")</f>
        <v/>
      </c>
      <c r="L198" s="46"/>
      <c r="M198" s="46"/>
    </row>
    <row r="199" customFormat="false" ht="15" hidden="false" customHeight="false" outlineLevel="0" collapsed="false">
      <c r="A199" s="40"/>
      <c r="B199" s="46"/>
      <c r="C199" s="47"/>
      <c r="D199" s="43"/>
      <c r="E199" s="43"/>
      <c r="F199" s="43"/>
      <c r="G199" s="43"/>
      <c r="H199" s="43"/>
      <c r="I199" s="48" t="str">
        <f aca="false">IF(AND(A199="",F199="",G199=""),"",N(F199)+N(G199))</f>
        <v/>
      </c>
      <c r="J199" s="42" t="str">
        <f aca="false">IF(AND(ISNUMBER(D199),D199&gt;0,ISNUMBER(I199)),I199/D199,"")</f>
        <v/>
      </c>
      <c r="K199" s="42" t="str">
        <f aca="false">IF(AND(ISNUMBER(D199),D199&gt;0),N(E199)/D199,"")</f>
        <v/>
      </c>
      <c r="L199" s="46"/>
      <c r="M199" s="46"/>
    </row>
    <row r="200" customFormat="false" ht="15" hidden="false" customHeight="false" outlineLevel="0" collapsed="false">
      <c r="A200" s="40"/>
      <c r="B200" s="46"/>
      <c r="C200" s="47"/>
      <c r="D200" s="43"/>
      <c r="E200" s="43"/>
      <c r="F200" s="43"/>
      <c r="G200" s="43"/>
      <c r="H200" s="43"/>
      <c r="I200" s="48" t="str">
        <f aca="false">IF(AND(A200="",F200="",G200=""),"",N(F200)+N(G200))</f>
        <v/>
      </c>
      <c r="J200" s="42" t="str">
        <f aca="false">IF(AND(ISNUMBER(D200),D200&gt;0,ISNUMBER(I200)),I200/D200,"")</f>
        <v/>
      </c>
      <c r="K200" s="42" t="str">
        <f aca="false">IF(AND(ISNUMBER(D200),D200&gt;0),N(E200)/D200,"")</f>
        <v/>
      </c>
      <c r="L200" s="46"/>
      <c r="M200" s="46"/>
    </row>
    <row r="201" customFormat="false" ht="15" hidden="false" customHeight="false" outlineLevel="0" collapsed="false">
      <c r="A201" s="40"/>
      <c r="B201" s="46"/>
      <c r="C201" s="47"/>
      <c r="D201" s="43"/>
      <c r="E201" s="43"/>
      <c r="F201" s="43"/>
      <c r="G201" s="43"/>
      <c r="H201" s="43"/>
      <c r="I201" s="48" t="str">
        <f aca="false">IF(AND(A201="",F201="",G201=""),"",N(F201)+N(G201))</f>
        <v/>
      </c>
      <c r="J201" s="42" t="str">
        <f aca="false">IF(AND(ISNUMBER(D201),D201&gt;0,ISNUMBER(I201)),I201/D201,"")</f>
        <v/>
      </c>
      <c r="K201" s="42" t="str">
        <f aca="false">IF(AND(ISNUMBER(D201),D201&gt;0),N(E201)/D201,"")</f>
        <v/>
      </c>
      <c r="L201" s="46"/>
      <c r="M201" s="46"/>
    </row>
    <row r="202" customFormat="false" ht="15" hidden="false" customHeight="false" outlineLevel="0" collapsed="false">
      <c r="A202" s="40"/>
      <c r="B202" s="46"/>
      <c r="C202" s="47"/>
      <c r="D202" s="43"/>
      <c r="E202" s="43"/>
      <c r="F202" s="43"/>
      <c r="G202" s="43"/>
      <c r="H202" s="43"/>
      <c r="I202" s="48" t="str">
        <f aca="false">IF(AND(A202="",F202="",G202=""),"",N(F202)+N(G202))</f>
        <v/>
      </c>
      <c r="J202" s="42" t="str">
        <f aca="false">IF(AND(ISNUMBER(D202),D202&gt;0,ISNUMBER(I202)),I202/D202,"")</f>
        <v/>
      </c>
      <c r="K202" s="42" t="str">
        <f aca="false">IF(AND(ISNUMBER(D202),D202&gt;0),N(E202)/D202,"")</f>
        <v/>
      </c>
      <c r="L202" s="46"/>
      <c r="M202" s="46"/>
    </row>
    <row r="203" customFormat="false" ht="15" hidden="false" customHeight="false" outlineLevel="0" collapsed="false">
      <c r="A203" s="40"/>
      <c r="B203" s="46"/>
      <c r="C203" s="47"/>
      <c r="D203" s="43"/>
      <c r="E203" s="43"/>
      <c r="F203" s="43"/>
      <c r="G203" s="43"/>
      <c r="H203" s="43"/>
      <c r="I203" s="48" t="str">
        <f aca="false">IF(AND(A203="",F203="",G203=""),"",N(F203)+N(G203))</f>
        <v/>
      </c>
      <c r="J203" s="42" t="str">
        <f aca="false">IF(AND(ISNUMBER(D203),D203&gt;0,ISNUMBER(I203)),I203/D203,"")</f>
        <v/>
      </c>
      <c r="K203" s="42" t="str">
        <f aca="false">IF(AND(ISNUMBER(D203),D203&gt;0),N(E203)/D203,"")</f>
        <v/>
      </c>
      <c r="L203" s="46"/>
      <c r="M203" s="46"/>
    </row>
    <row r="204" customFormat="false" ht="15" hidden="false" customHeight="false" outlineLevel="0" collapsed="false">
      <c r="A204" s="40"/>
      <c r="B204" s="46"/>
      <c r="C204" s="47"/>
      <c r="D204" s="43"/>
      <c r="E204" s="43"/>
      <c r="F204" s="43"/>
      <c r="G204" s="43"/>
      <c r="H204" s="43"/>
      <c r="I204" s="48" t="str">
        <f aca="false">IF(AND(A204="",F204="",G204=""),"",N(F204)+N(G204))</f>
        <v/>
      </c>
      <c r="J204" s="42" t="str">
        <f aca="false">IF(AND(ISNUMBER(D204),D204&gt;0,ISNUMBER(I204)),I204/D204,"")</f>
        <v/>
      </c>
      <c r="K204" s="42" t="str">
        <f aca="false">IF(AND(ISNUMBER(D204),D204&gt;0),N(E204)/D204,"")</f>
        <v/>
      </c>
      <c r="L204" s="46"/>
      <c r="M204" s="46"/>
    </row>
    <row r="205" customFormat="false" ht="15" hidden="false" customHeight="false" outlineLevel="0" collapsed="false">
      <c r="A205" s="40"/>
      <c r="B205" s="46"/>
      <c r="C205" s="47"/>
      <c r="D205" s="43"/>
      <c r="E205" s="43"/>
      <c r="F205" s="43"/>
      <c r="G205" s="43"/>
      <c r="H205" s="43"/>
      <c r="I205" s="48" t="str">
        <f aca="false">IF(AND(A205="",F205="",G205=""),"",N(F205)+N(G205))</f>
        <v/>
      </c>
      <c r="J205" s="42" t="str">
        <f aca="false">IF(AND(ISNUMBER(D205),D205&gt;0,ISNUMBER(I205)),I205/D205,"")</f>
        <v/>
      </c>
      <c r="K205" s="42" t="str">
        <f aca="false">IF(AND(ISNUMBER(D205),D205&gt;0),N(E205)/D205,"")</f>
        <v/>
      </c>
      <c r="L205" s="46"/>
      <c r="M205" s="46"/>
    </row>
    <row r="206" customFormat="false" ht="15" hidden="false" customHeight="false" outlineLevel="0" collapsed="false">
      <c r="A206" s="40"/>
      <c r="B206" s="46"/>
      <c r="C206" s="47"/>
      <c r="D206" s="43"/>
      <c r="E206" s="43"/>
      <c r="F206" s="43"/>
      <c r="G206" s="43"/>
      <c r="H206" s="43"/>
      <c r="I206" s="48" t="str">
        <f aca="false">IF(AND(A206="",F206="",G206=""),"",N(F206)+N(G206))</f>
        <v/>
      </c>
      <c r="J206" s="42" t="str">
        <f aca="false">IF(AND(ISNUMBER(D206),D206&gt;0,ISNUMBER(I206)),I206/D206,"")</f>
        <v/>
      </c>
      <c r="K206" s="42" t="str">
        <f aca="false">IF(AND(ISNUMBER(D206),D206&gt;0),N(E206)/D206,"")</f>
        <v/>
      </c>
      <c r="L206" s="46"/>
      <c r="M206" s="46"/>
    </row>
    <row r="207" customFormat="false" ht="15" hidden="false" customHeight="false" outlineLevel="0" collapsed="false">
      <c r="A207" s="40"/>
      <c r="B207" s="46"/>
      <c r="C207" s="47"/>
      <c r="D207" s="43"/>
      <c r="E207" s="43"/>
      <c r="F207" s="43"/>
      <c r="G207" s="43"/>
      <c r="H207" s="43"/>
      <c r="I207" s="48" t="str">
        <f aca="false">IF(AND(A207="",F207="",G207=""),"",N(F207)+N(G207))</f>
        <v/>
      </c>
      <c r="J207" s="42" t="str">
        <f aca="false">IF(AND(ISNUMBER(D207),D207&gt;0,ISNUMBER(I207)),I207/D207,"")</f>
        <v/>
      </c>
      <c r="K207" s="42" t="str">
        <f aca="false">IF(AND(ISNUMBER(D207),D207&gt;0),N(E207)/D207,"")</f>
        <v/>
      </c>
      <c r="L207" s="46"/>
      <c r="M207" s="46"/>
    </row>
    <row r="208" customFormat="false" ht="15" hidden="false" customHeight="false" outlineLevel="0" collapsed="false">
      <c r="A208" s="40"/>
      <c r="B208" s="46"/>
      <c r="C208" s="47"/>
      <c r="D208" s="43"/>
      <c r="E208" s="43"/>
      <c r="F208" s="43"/>
      <c r="G208" s="43"/>
      <c r="H208" s="43"/>
      <c r="I208" s="48" t="str">
        <f aca="false">IF(AND(A208="",F208="",G208=""),"",N(F208)+N(G208))</f>
        <v/>
      </c>
      <c r="J208" s="42" t="str">
        <f aca="false">IF(AND(ISNUMBER(D208),D208&gt;0,ISNUMBER(I208)),I208/D208,"")</f>
        <v/>
      </c>
      <c r="K208" s="42" t="str">
        <f aca="false">IF(AND(ISNUMBER(D208),D208&gt;0),N(E208)/D208,"")</f>
        <v/>
      </c>
      <c r="L208" s="46"/>
      <c r="M208" s="46"/>
    </row>
    <row r="209" customFormat="false" ht="15" hidden="false" customHeight="false" outlineLevel="0" collapsed="false">
      <c r="A209" s="40"/>
      <c r="B209" s="46"/>
      <c r="C209" s="47"/>
      <c r="D209" s="43"/>
      <c r="E209" s="43"/>
      <c r="F209" s="43"/>
      <c r="G209" s="43"/>
      <c r="H209" s="43"/>
      <c r="I209" s="48" t="str">
        <f aca="false">IF(AND(A209="",F209="",G209=""),"",N(F209)+N(G209))</f>
        <v/>
      </c>
      <c r="J209" s="42" t="str">
        <f aca="false">IF(AND(ISNUMBER(D209),D209&gt;0,ISNUMBER(I209)),I209/D209,"")</f>
        <v/>
      </c>
      <c r="K209" s="42" t="str">
        <f aca="false">IF(AND(ISNUMBER(D209),D209&gt;0),N(E209)/D209,"")</f>
        <v/>
      </c>
      <c r="L209" s="46"/>
      <c r="M209" s="46"/>
    </row>
    <row r="210" customFormat="false" ht="15" hidden="false" customHeight="false" outlineLevel="0" collapsed="false">
      <c r="A210" s="40"/>
      <c r="B210" s="46"/>
      <c r="C210" s="47"/>
      <c r="D210" s="43"/>
      <c r="E210" s="43"/>
      <c r="F210" s="43"/>
      <c r="G210" s="43"/>
      <c r="H210" s="43"/>
      <c r="I210" s="48" t="str">
        <f aca="false">IF(AND(A210="",F210="",G210=""),"",N(F210)+N(G210))</f>
        <v/>
      </c>
      <c r="J210" s="42" t="str">
        <f aca="false">IF(AND(ISNUMBER(D210),D210&gt;0,ISNUMBER(I210)),I210/D210,"")</f>
        <v/>
      </c>
      <c r="K210" s="42" t="str">
        <f aca="false">IF(AND(ISNUMBER(D210),D210&gt;0),N(E210)/D210,"")</f>
        <v/>
      </c>
      <c r="L210" s="46"/>
      <c r="M210" s="46"/>
    </row>
    <row r="211" customFormat="false" ht="15" hidden="false" customHeight="false" outlineLevel="0" collapsed="false">
      <c r="A211" s="40"/>
      <c r="B211" s="46"/>
      <c r="C211" s="47"/>
      <c r="D211" s="43"/>
      <c r="E211" s="43"/>
      <c r="F211" s="43"/>
      <c r="G211" s="43"/>
      <c r="H211" s="43"/>
      <c r="I211" s="48" t="str">
        <f aca="false">IF(AND(A211="",F211="",G211=""),"",N(F211)+N(G211))</f>
        <v/>
      </c>
      <c r="J211" s="42" t="str">
        <f aca="false">IF(AND(ISNUMBER(D211),D211&gt;0,ISNUMBER(I211)),I211/D211,"")</f>
        <v/>
      </c>
      <c r="K211" s="42" t="str">
        <f aca="false">IF(AND(ISNUMBER(D211),D211&gt;0),N(E211)/D211,"")</f>
        <v/>
      </c>
      <c r="L211" s="46"/>
      <c r="M211" s="46"/>
    </row>
    <row r="212" customFormat="false" ht="15" hidden="false" customHeight="false" outlineLevel="0" collapsed="false">
      <c r="A212" s="40"/>
      <c r="B212" s="46"/>
      <c r="C212" s="47"/>
      <c r="D212" s="43"/>
      <c r="E212" s="43"/>
      <c r="F212" s="43"/>
      <c r="G212" s="43"/>
      <c r="H212" s="43"/>
      <c r="I212" s="48" t="str">
        <f aca="false">IF(AND(A212="",F212="",G212=""),"",N(F212)+N(G212))</f>
        <v/>
      </c>
      <c r="J212" s="42" t="str">
        <f aca="false">IF(AND(ISNUMBER(D212),D212&gt;0,ISNUMBER(I212)),I212/D212,"")</f>
        <v/>
      </c>
      <c r="K212" s="42" t="str">
        <f aca="false">IF(AND(ISNUMBER(D212),D212&gt;0),N(E212)/D212,"")</f>
        <v/>
      </c>
      <c r="L212" s="46"/>
      <c r="M212" s="46"/>
    </row>
    <row r="213" customFormat="false" ht="15" hidden="false" customHeight="false" outlineLevel="0" collapsed="false">
      <c r="A213" s="40"/>
      <c r="B213" s="46"/>
      <c r="C213" s="47"/>
      <c r="D213" s="43"/>
      <c r="E213" s="43"/>
      <c r="F213" s="43"/>
      <c r="G213" s="43"/>
      <c r="H213" s="43"/>
      <c r="I213" s="48" t="str">
        <f aca="false">IF(AND(A213="",F213="",G213=""),"",N(F213)+N(G213))</f>
        <v/>
      </c>
      <c r="J213" s="42" t="str">
        <f aca="false">IF(AND(ISNUMBER(D213),D213&gt;0,ISNUMBER(I213)),I213/D213,"")</f>
        <v/>
      </c>
      <c r="K213" s="42" t="str">
        <f aca="false">IF(AND(ISNUMBER(D213),D213&gt;0),N(E213)/D213,"")</f>
        <v/>
      </c>
      <c r="L213" s="46"/>
      <c r="M213" s="46"/>
    </row>
    <row r="214" customFormat="false" ht="15" hidden="false" customHeight="false" outlineLevel="0" collapsed="false">
      <c r="A214" s="40"/>
      <c r="B214" s="46"/>
      <c r="C214" s="47"/>
      <c r="D214" s="43"/>
      <c r="E214" s="43"/>
      <c r="F214" s="43"/>
      <c r="G214" s="43"/>
      <c r="H214" s="43"/>
      <c r="I214" s="48" t="str">
        <f aca="false">IF(AND(A214="",F214="",G214=""),"",N(F214)+N(G214))</f>
        <v/>
      </c>
      <c r="J214" s="42" t="str">
        <f aca="false">IF(AND(ISNUMBER(D214),D214&gt;0,ISNUMBER(I214)),I214/D214,"")</f>
        <v/>
      </c>
      <c r="K214" s="42" t="str">
        <f aca="false">IF(AND(ISNUMBER(D214),D214&gt;0),N(E214)/D214,"")</f>
        <v/>
      </c>
      <c r="L214" s="46"/>
      <c r="M214" s="46"/>
    </row>
    <row r="215" customFormat="false" ht="15" hidden="false" customHeight="false" outlineLevel="0" collapsed="false">
      <c r="A215" s="40"/>
      <c r="B215" s="46"/>
      <c r="C215" s="47"/>
      <c r="D215" s="43"/>
      <c r="E215" s="43"/>
      <c r="F215" s="43"/>
      <c r="G215" s="43"/>
      <c r="H215" s="43"/>
      <c r="I215" s="48" t="str">
        <f aca="false">IF(AND(A215="",F215="",G215=""),"",N(F215)+N(G215))</f>
        <v/>
      </c>
      <c r="J215" s="42" t="str">
        <f aca="false">IF(AND(ISNUMBER(D215),D215&gt;0,ISNUMBER(I215)),I215/D215,"")</f>
        <v/>
      </c>
      <c r="K215" s="42" t="str">
        <f aca="false">IF(AND(ISNUMBER(D215),D215&gt;0),N(E215)/D215,"")</f>
        <v/>
      </c>
      <c r="L215" s="46"/>
      <c r="M215" s="46"/>
    </row>
    <row r="216" customFormat="false" ht="15" hidden="false" customHeight="false" outlineLevel="0" collapsed="false">
      <c r="A216" s="40"/>
      <c r="B216" s="46"/>
      <c r="C216" s="47"/>
      <c r="D216" s="43"/>
      <c r="E216" s="43"/>
      <c r="F216" s="43"/>
      <c r="G216" s="43"/>
      <c r="H216" s="43"/>
      <c r="I216" s="48" t="str">
        <f aca="false">IF(AND(A216="",F216="",G216=""),"",N(F216)+N(G216))</f>
        <v/>
      </c>
      <c r="J216" s="42" t="str">
        <f aca="false">IF(AND(ISNUMBER(D216),D216&gt;0,ISNUMBER(I216)),I216/D216,"")</f>
        <v/>
      </c>
      <c r="K216" s="42" t="str">
        <f aca="false">IF(AND(ISNUMBER(D216),D216&gt;0),N(E216)/D216,"")</f>
        <v/>
      </c>
      <c r="L216" s="46"/>
      <c r="M216" s="46"/>
    </row>
    <row r="217" customFormat="false" ht="15" hidden="false" customHeight="false" outlineLevel="0" collapsed="false">
      <c r="A217" s="40"/>
      <c r="B217" s="46"/>
      <c r="C217" s="47"/>
      <c r="D217" s="43"/>
      <c r="E217" s="43"/>
      <c r="F217" s="43"/>
      <c r="G217" s="43"/>
      <c r="H217" s="43"/>
      <c r="I217" s="48" t="str">
        <f aca="false">IF(AND(A217="",F217="",G217=""),"",N(F217)+N(G217))</f>
        <v/>
      </c>
      <c r="J217" s="42" t="str">
        <f aca="false">IF(AND(ISNUMBER(D217),D217&gt;0,ISNUMBER(I217)),I217/D217,"")</f>
        <v/>
      </c>
      <c r="K217" s="42" t="str">
        <f aca="false">IF(AND(ISNUMBER(D217),D217&gt;0),N(E217)/D217,"")</f>
        <v/>
      </c>
      <c r="L217" s="46"/>
      <c r="M217" s="46"/>
    </row>
    <row r="218" customFormat="false" ht="15" hidden="false" customHeight="false" outlineLevel="0" collapsed="false">
      <c r="A218" s="40"/>
      <c r="B218" s="46"/>
      <c r="C218" s="47"/>
      <c r="D218" s="43"/>
      <c r="E218" s="43"/>
      <c r="F218" s="43"/>
      <c r="G218" s="43"/>
      <c r="H218" s="43"/>
      <c r="I218" s="48" t="str">
        <f aca="false">IF(AND(A218="",F218="",G218=""),"",N(F218)+N(G218))</f>
        <v/>
      </c>
      <c r="J218" s="42" t="str">
        <f aca="false">IF(AND(ISNUMBER(D218),D218&gt;0,ISNUMBER(I218)),I218/D218,"")</f>
        <v/>
      </c>
      <c r="K218" s="42" t="str">
        <f aca="false">IF(AND(ISNUMBER(D218),D218&gt;0),N(E218)/D218,"")</f>
        <v/>
      </c>
      <c r="L218" s="46"/>
      <c r="M218" s="46"/>
    </row>
    <row r="219" customFormat="false" ht="15" hidden="false" customHeight="false" outlineLevel="0" collapsed="false">
      <c r="A219" s="40"/>
      <c r="B219" s="46"/>
      <c r="C219" s="47"/>
      <c r="D219" s="43"/>
      <c r="E219" s="43"/>
      <c r="F219" s="43"/>
      <c r="G219" s="43"/>
      <c r="H219" s="43"/>
      <c r="I219" s="48" t="str">
        <f aca="false">IF(AND(A219="",F219="",G219=""),"",N(F219)+N(G219))</f>
        <v/>
      </c>
      <c r="J219" s="42" t="str">
        <f aca="false">IF(AND(ISNUMBER(D219),D219&gt;0,ISNUMBER(I219)),I219/D219,"")</f>
        <v/>
      </c>
      <c r="K219" s="42" t="str">
        <f aca="false">IF(AND(ISNUMBER(D219),D219&gt;0),N(E219)/D219,"")</f>
        <v/>
      </c>
      <c r="L219" s="46"/>
      <c r="M219" s="46"/>
    </row>
    <row r="220" customFormat="false" ht="15" hidden="false" customHeight="false" outlineLevel="0" collapsed="false">
      <c r="A220" s="40"/>
      <c r="B220" s="46"/>
      <c r="C220" s="47"/>
      <c r="D220" s="43"/>
      <c r="E220" s="43"/>
      <c r="F220" s="43"/>
      <c r="G220" s="43"/>
      <c r="H220" s="43"/>
      <c r="I220" s="48" t="str">
        <f aca="false">IF(AND(A220="",F220="",G220=""),"",N(F220)+N(G220))</f>
        <v/>
      </c>
      <c r="J220" s="42" t="str">
        <f aca="false">IF(AND(ISNUMBER(D220),D220&gt;0,ISNUMBER(I220)),I220/D220,"")</f>
        <v/>
      </c>
      <c r="K220" s="42" t="str">
        <f aca="false">IF(AND(ISNUMBER(D220),D220&gt;0),N(E220)/D220,"")</f>
        <v/>
      </c>
      <c r="L220" s="46"/>
      <c r="M220" s="46"/>
    </row>
    <row r="221" customFormat="false" ht="15" hidden="false" customHeight="false" outlineLevel="0" collapsed="false">
      <c r="A221" s="40"/>
      <c r="B221" s="46"/>
      <c r="C221" s="47"/>
      <c r="D221" s="43"/>
      <c r="E221" s="43"/>
      <c r="F221" s="43"/>
      <c r="G221" s="43"/>
      <c r="H221" s="43"/>
      <c r="I221" s="48" t="str">
        <f aca="false">IF(AND(A221="",F221="",G221=""),"",N(F221)+N(G221))</f>
        <v/>
      </c>
      <c r="J221" s="42" t="str">
        <f aca="false">IF(AND(ISNUMBER(D221),D221&gt;0,ISNUMBER(I221)),I221/D221,"")</f>
        <v/>
      </c>
      <c r="K221" s="42" t="str">
        <f aca="false">IF(AND(ISNUMBER(D221),D221&gt;0),N(E221)/D221,"")</f>
        <v/>
      </c>
      <c r="L221" s="46"/>
      <c r="M221" s="46"/>
    </row>
    <row r="222" customFormat="false" ht="15" hidden="false" customHeight="false" outlineLevel="0" collapsed="false">
      <c r="A222" s="40"/>
      <c r="B222" s="46"/>
      <c r="C222" s="47"/>
      <c r="D222" s="43"/>
      <c r="E222" s="43"/>
      <c r="F222" s="43"/>
      <c r="G222" s="43"/>
      <c r="H222" s="43"/>
      <c r="I222" s="48" t="str">
        <f aca="false">IF(AND(A222="",F222="",G222=""),"",N(F222)+N(G222))</f>
        <v/>
      </c>
      <c r="J222" s="42" t="str">
        <f aca="false">IF(AND(ISNUMBER(D222),D222&gt;0,ISNUMBER(I222)),I222/D222,"")</f>
        <v/>
      </c>
      <c r="K222" s="42" t="str">
        <f aca="false">IF(AND(ISNUMBER(D222),D222&gt;0),N(E222)/D222,"")</f>
        <v/>
      </c>
      <c r="L222" s="46"/>
      <c r="M222" s="46"/>
    </row>
    <row r="223" customFormat="false" ht="15" hidden="false" customHeight="false" outlineLevel="0" collapsed="false">
      <c r="A223" s="40"/>
      <c r="B223" s="46"/>
      <c r="C223" s="47"/>
      <c r="D223" s="43"/>
      <c r="E223" s="43"/>
      <c r="F223" s="43"/>
      <c r="G223" s="43"/>
      <c r="H223" s="43"/>
      <c r="I223" s="48" t="str">
        <f aca="false">IF(AND(A223="",F223="",G223=""),"",N(F223)+N(G223))</f>
        <v/>
      </c>
      <c r="J223" s="42" t="str">
        <f aca="false">IF(AND(ISNUMBER(D223),D223&gt;0,ISNUMBER(I223)),I223/D223,"")</f>
        <v/>
      </c>
      <c r="K223" s="42" t="str">
        <f aca="false">IF(AND(ISNUMBER(D223),D223&gt;0),N(E223)/D223,"")</f>
        <v/>
      </c>
      <c r="L223" s="46"/>
      <c r="M223" s="46"/>
    </row>
    <row r="224" customFormat="false" ht="15" hidden="false" customHeight="false" outlineLevel="0" collapsed="false">
      <c r="A224" s="40"/>
      <c r="B224" s="46"/>
      <c r="C224" s="47"/>
      <c r="D224" s="43"/>
      <c r="E224" s="43"/>
      <c r="F224" s="43"/>
      <c r="G224" s="43"/>
      <c r="H224" s="43"/>
      <c r="I224" s="48" t="str">
        <f aca="false">IF(AND(A224="",F224="",G224=""),"",N(F224)+N(G224))</f>
        <v/>
      </c>
      <c r="J224" s="42" t="str">
        <f aca="false">IF(AND(ISNUMBER(D224),D224&gt;0,ISNUMBER(I224)),I224/D224,"")</f>
        <v/>
      </c>
      <c r="K224" s="42" t="str">
        <f aca="false">IF(AND(ISNUMBER(D224),D224&gt;0),N(E224)/D224,"")</f>
        <v/>
      </c>
      <c r="L224" s="46"/>
      <c r="M224" s="46"/>
    </row>
    <row r="225" customFormat="false" ht="15" hidden="false" customHeight="false" outlineLevel="0" collapsed="false">
      <c r="A225" s="40"/>
      <c r="B225" s="46"/>
      <c r="C225" s="47"/>
      <c r="D225" s="43"/>
      <c r="E225" s="43"/>
      <c r="F225" s="43"/>
      <c r="G225" s="43"/>
      <c r="H225" s="43"/>
      <c r="I225" s="48" t="str">
        <f aca="false">IF(AND(A225="",F225="",G225=""),"",N(F225)+N(G225))</f>
        <v/>
      </c>
      <c r="J225" s="42" t="str">
        <f aca="false">IF(AND(ISNUMBER(D225),D225&gt;0,ISNUMBER(I225)),I225/D225,"")</f>
        <v/>
      </c>
      <c r="K225" s="42" t="str">
        <f aca="false">IF(AND(ISNUMBER(D225),D225&gt;0),N(E225)/D225,"")</f>
        <v/>
      </c>
      <c r="L225" s="46"/>
      <c r="M225" s="46"/>
    </row>
    <row r="226" customFormat="false" ht="15" hidden="false" customHeight="false" outlineLevel="0" collapsed="false">
      <c r="A226" s="40"/>
      <c r="B226" s="46"/>
      <c r="C226" s="47"/>
      <c r="D226" s="43"/>
      <c r="E226" s="43"/>
      <c r="F226" s="43"/>
      <c r="G226" s="43"/>
      <c r="H226" s="43"/>
      <c r="I226" s="48" t="str">
        <f aca="false">IF(AND(A226="",F226="",G226=""),"",N(F226)+N(G226))</f>
        <v/>
      </c>
      <c r="J226" s="42" t="str">
        <f aca="false">IF(AND(ISNUMBER(D226),D226&gt;0,ISNUMBER(I226)),I226/D226,"")</f>
        <v/>
      </c>
      <c r="K226" s="42" t="str">
        <f aca="false">IF(AND(ISNUMBER(D226),D226&gt;0),N(E226)/D226,"")</f>
        <v/>
      </c>
      <c r="L226" s="46"/>
      <c r="M226" s="46"/>
    </row>
    <row r="227" customFormat="false" ht="15" hidden="false" customHeight="false" outlineLevel="0" collapsed="false">
      <c r="A227" s="40"/>
      <c r="B227" s="46"/>
      <c r="C227" s="47"/>
      <c r="D227" s="43"/>
      <c r="E227" s="43"/>
      <c r="F227" s="43"/>
      <c r="G227" s="43"/>
      <c r="H227" s="43"/>
      <c r="I227" s="48" t="str">
        <f aca="false">IF(AND(A227="",F227="",G227=""),"",N(F227)+N(G227))</f>
        <v/>
      </c>
      <c r="J227" s="42" t="str">
        <f aca="false">IF(AND(ISNUMBER(D227),D227&gt;0,ISNUMBER(I227)),I227/D227,"")</f>
        <v/>
      </c>
      <c r="K227" s="42" t="str">
        <f aca="false">IF(AND(ISNUMBER(D227),D227&gt;0),N(E227)/D227,"")</f>
        <v/>
      </c>
      <c r="L227" s="46"/>
      <c r="M227" s="46"/>
    </row>
    <row r="228" customFormat="false" ht="15" hidden="false" customHeight="false" outlineLevel="0" collapsed="false">
      <c r="A228" s="40"/>
      <c r="B228" s="46"/>
      <c r="C228" s="47"/>
      <c r="D228" s="43"/>
      <c r="E228" s="43"/>
      <c r="F228" s="43"/>
      <c r="G228" s="43"/>
      <c r="H228" s="43"/>
      <c r="I228" s="48" t="str">
        <f aca="false">IF(AND(A228="",F228="",G228=""),"",N(F228)+N(G228))</f>
        <v/>
      </c>
      <c r="J228" s="42" t="str">
        <f aca="false">IF(AND(ISNUMBER(D228),D228&gt;0,ISNUMBER(I228)),I228/D228,"")</f>
        <v/>
      </c>
      <c r="K228" s="42" t="str">
        <f aca="false">IF(AND(ISNUMBER(D228),D228&gt;0),N(E228)/D228,"")</f>
        <v/>
      </c>
      <c r="L228" s="46"/>
      <c r="M228" s="46"/>
    </row>
    <row r="229" customFormat="false" ht="15" hidden="false" customHeight="false" outlineLevel="0" collapsed="false">
      <c r="A229" s="40"/>
      <c r="B229" s="46"/>
      <c r="C229" s="47"/>
      <c r="D229" s="43"/>
      <c r="E229" s="43"/>
      <c r="F229" s="43"/>
      <c r="G229" s="43"/>
      <c r="H229" s="43"/>
      <c r="I229" s="48" t="str">
        <f aca="false">IF(AND(A229="",F229="",G229=""),"",N(F229)+N(G229))</f>
        <v/>
      </c>
      <c r="J229" s="42" t="str">
        <f aca="false">IF(AND(ISNUMBER(D229),D229&gt;0,ISNUMBER(I229)),I229/D229,"")</f>
        <v/>
      </c>
      <c r="K229" s="42" t="str">
        <f aca="false">IF(AND(ISNUMBER(D229),D229&gt;0),N(E229)/D229,"")</f>
        <v/>
      </c>
      <c r="L229" s="46"/>
      <c r="M229" s="46"/>
    </row>
    <row r="230" customFormat="false" ht="15" hidden="false" customHeight="false" outlineLevel="0" collapsed="false">
      <c r="A230" s="40"/>
      <c r="B230" s="46"/>
      <c r="C230" s="47"/>
      <c r="D230" s="43"/>
      <c r="E230" s="43"/>
      <c r="F230" s="43"/>
      <c r="G230" s="43"/>
      <c r="H230" s="43"/>
      <c r="I230" s="48" t="str">
        <f aca="false">IF(AND(A230="",F230="",G230=""),"",N(F230)+N(G230))</f>
        <v/>
      </c>
      <c r="J230" s="42" t="str">
        <f aca="false">IF(AND(ISNUMBER(D230),D230&gt;0,ISNUMBER(I230)),I230/D230,"")</f>
        <v/>
      </c>
      <c r="K230" s="42" t="str">
        <f aca="false">IF(AND(ISNUMBER(D230),D230&gt;0),N(E230)/D230,"")</f>
        <v/>
      </c>
      <c r="L230" s="46"/>
      <c r="M230" s="46"/>
    </row>
    <row r="231" customFormat="false" ht="15" hidden="false" customHeight="false" outlineLevel="0" collapsed="false">
      <c r="A231" s="40"/>
      <c r="B231" s="46"/>
      <c r="C231" s="47"/>
      <c r="D231" s="43"/>
      <c r="E231" s="43"/>
      <c r="F231" s="43"/>
      <c r="G231" s="43"/>
      <c r="H231" s="43"/>
      <c r="I231" s="48" t="str">
        <f aca="false">IF(AND(A231="",F231="",G231=""),"",N(F231)+N(G231))</f>
        <v/>
      </c>
      <c r="J231" s="42" t="str">
        <f aca="false">IF(AND(ISNUMBER(D231),D231&gt;0,ISNUMBER(I231)),I231/D231,"")</f>
        <v/>
      </c>
      <c r="K231" s="42" t="str">
        <f aca="false">IF(AND(ISNUMBER(D231),D231&gt;0),N(E231)/D231,"")</f>
        <v/>
      </c>
      <c r="L231" s="46"/>
      <c r="M231" s="46"/>
    </row>
    <row r="232" customFormat="false" ht="15" hidden="false" customHeight="false" outlineLevel="0" collapsed="false">
      <c r="A232" s="40"/>
      <c r="B232" s="46"/>
      <c r="C232" s="47"/>
      <c r="D232" s="43"/>
      <c r="E232" s="43"/>
      <c r="F232" s="43"/>
      <c r="G232" s="43"/>
      <c r="H232" s="43"/>
      <c r="I232" s="48" t="str">
        <f aca="false">IF(AND(A232="",F232="",G232=""),"",N(F232)+N(G232))</f>
        <v/>
      </c>
      <c r="J232" s="42" t="str">
        <f aca="false">IF(AND(ISNUMBER(D232),D232&gt;0,ISNUMBER(I232)),I232/D232,"")</f>
        <v/>
      </c>
      <c r="K232" s="42" t="str">
        <f aca="false">IF(AND(ISNUMBER(D232),D232&gt;0),N(E232)/D232,"")</f>
        <v/>
      </c>
      <c r="L232" s="46"/>
      <c r="M232" s="46"/>
    </row>
    <row r="233" customFormat="false" ht="15" hidden="false" customHeight="false" outlineLevel="0" collapsed="false">
      <c r="A233" s="40"/>
      <c r="B233" s="46"/>
      <c r="C233" s="47"/>
      <c r="D233" s="43"/>
      <c r="E233" s="43"/>
      <c r="F233" s="43"/>
      <c r="G233" s="43"/>
      <c r="H233" s="43"/>
      <c r="I233" s="48" t="str">
        <f aca="false">IF(AND(A233="",F233="",G233=""),"",N(F233)+N(G233))</f>
        <v/>
      </c>
      <c r="J233" s="42" t="str">
        <f aca="false">IF(AND(ISNUMBER(D233),D233&gt;0,ISNUMBER(I233)),I233/D233,"")</f>
        <v/>
      </c>
      <c r="K233" s="42" t="str">
        <f aca="false">IF(AND(ISNUMBER(D233),D233&gt;0),N(E233)/D233,"")</f>
        <v/>
      </c>
      <c r="L233" s="46"/>
      <c r="M233" s="46"/>
    </row>
    <row r="234" customFormat="false" ht="15" hidden="false" customHeight="false" outlineLevel="0" collapsed="false">
      <c r="A234" s="40"/>
      <c r="B234" s="46"/>
      <c r="C234" s="47"/>
      <c r="D234" s="43"/>
      <c r="E234" s="43"/>
      <c r="F234" s="43"/>
      <c r="G234" s="43"/>
      <c r="H234" s="43"/>
      <c r="I234" s="48" t="str">
        <f aca="false">IF(AND(A234="",F234="",G234=""),"",N(F234)+N(G234))</f>
        <v/>
      </c>
      <c r="J234" s="42" t="str">
        <f aca="false">IF(AND(ISNUMBER(D234),D234&gt;0,ISNUMBER(I234)),I234/D234,"")</f>
        <v/>
      </c>
      <c r="K234" s="42" t="str">
        <f aca="false">IF(AND(ISNUMBER(D234),D234&gt;0),N(E234)/D234,"")</f>
        <v/>
      </c>
      <c r="L234" s="46"/>
      <c r="M234" s="46"/>
    </row>
    <row r="235" customFormat="false" ht="15" hidden="false" customHeight="false" outlineLevel="0" collapsed="false">
      <c r="A235" s="40"/>
      <c r="B235" s="46"/>
      <c r="C235" s="47"/>
      <c r="D235" s="43"/>
      <c r="E235" s="43"/>
      <c r="F235" s="43"/>
      <c r="G235" s="43"/>
      <c r="H235" s="43"/>
      <c r="I235" s="48" t="str">
        <f aca="false">IF(AND(A235="",F235="",G235=""),"",N(F235)+N(G235))</f>
        <v/>
      </c>
      <c r="J235" s="42" t="str">
        <f aca="false">IF(AND(ISNUMBER(D235),D235&gt;0,ISNUMBER(I235)),I235/D235,"")</f>
        <v/>
      </c>
      <c r="K235" s="42" t="str">
        <f aca="false">IF(AND(ISNUMBER(D235),D235&gt;0),N(E235)/D235,"")</f>
        <v/>
      </c>
      <c r="L235" s="46"/>
      <c r="M235" s="46"/>
    </row>
    <row r="236" customFormat="false" ht="15" hidden="false" customHeight="false" outlineLevel="0" collapsed="false">
      <c r="A236" s="40"/>
      <c r="B236" s="46"/>
      <c r="C236" s="47"/>
      <c r="D236" s="43"/>
      <c r="E236" s="43"/>
      <c r="F236" s="43"/>
      <c r="G236" s="43"/>
      <c r="H236" s="43"/>
      <c r="I236" s="48" t="str">
        <f aca="false">IF(AND(A236="",F236="",G236=""),"",N(F236)+N(G236))</f>
        <v/>
      </c>
      <c r="J236" s="42" t="str">
        <f aca="false">IF(AND(ISNUMBER(D236),D236&gt;0,ISNUMBER(I236)),I236/D236,"")</f>
        <v/>
      </c>
      <c r="K236" s="42" t="str">
        <f aca="false">IF(AND(ISNUMBER(D236),D236&gt;0),N(E236)/D236,"")</f>
        <v/>
      </c>
      <c r="L236" s="46"/>
      <c r="M236" s="46"/>
    </row>
    <row r="237" customFormat="false" ht="15" hidden="false" customHeight="false" outlineLevel="0" collapsed="false">
      <c r="A237" s="40"/>
      <c r="B237" s="46"/>
      <c r="C237" s="47"/>
      <c r="D237" s="43"/>
      <c r="E237" s="43"/>
      <c r="F237" s="43"/>
      <c r="G237" s="43"/>
      <c r="H237" s="43"/>
      <c r="I237" s="48" t="str">
        <f aca="false">IF(AND(A237="",F237="",G237=""),"",N(F237)+N(G237))</f>
        <v/>
      </c>
      <c r="J237" s="42" t="str">
        <f aca="false">IF(AND(ISNUMBER(D237),D237&gt;0,ISNUMBER(I237)),I237/D237,"")</f>
        <v/>
      </c>
      <c r="K237" s="42" t="str">
        <f aca="false">IF(AND(ISNUMBER(D237),D237&gt;0),N(E237)/D237,"")</f>
        <v/>
      </c>
      <c r="L237" s="46"/>
      <c r="M237" s="46"/>
    </row>
    <row r="238" customFormat="false" ht="15" hidden="false" customHeight="false" outlineLevel="0" collapsed="false">
      <c r="A238" s="40"/>
      <c r="B238" s="46"/>
      <c r="C238" s="47"/>
      <c r="D238" s="43"/>
      <c r="E238" s="43"/>
      <c r="F238" s="43"/>
      <c r="G238" s="43"/>
      <c r="H238" s="43"/>
      <c r="I238" s="48" t="str">
        <f aca="false">IF(AND(A238="",F238="",G238=""),"",N(F238)+N(G238))</f>
        <v/>
      </c>
      <c r="J238" s="42" t="str">
        <f aca="false">IF(AND(ISNUMBER(D238),D238&gt;0,ISNUMBER(I238)),I238/D238,"")</f>
        <v/>
      </c>
      <c r="K238" s="42" t="str">
        <f aca="false">IF(AND(ISNUMBER(D238),D238&gt;0),N(E238)/D238,"")</f>
        <v/>
      </c>
      <c r="L238" s="46"/>
      <c r="M238" s="46"/>
    </row>
    <row r="239" customFormat="false" ht="15" hidden="false" customHeight="false" outlineLevel="0" collapsed="false">
      <c r="A239" s="40"/>
      <c r="B239" s="46"/>
      <c r="C239" s="47"/>
      <c r="D239" s="43"/>
      <c r="E239" s="43"/>
      <c r="F239" s="43"/>
      <c r="G239" s="43"/>
      <c r="H239" s="43"/>
      <c r="I239" s="48" t="str">
        <f aca="false">IF(AND(A239="",F239="",G239=""),"",N(F239)+N(G239))</f>
        <v/>
      </c>
      <c r="J239" s="42" t="str">
        <f aca="false">IF(AND(ISNUMBER(D239),D239&gt;0,ISNUMBER(I239)),I239/D239,"")</f>
        <v/>
      </c>
      <c r="K239" s="42" t="str">
        <f aca="false">IF(AND(ISNUMBER(D239),D239&gt;0),N(E239)/D239,"")</f>
        <v/>
      </c>
      <c r="L239" s="46"/>
      <c r="M239" s="46"/>
    </row>
    <row r="240" customFormat="false" ht="15" hidden="false" customHeight="false" outlineLevel="0" collapsed="false">
      <c r="A240" s="40"/>
      <c r="B240" s="46"/>
      <c r="C240" s="47"/>
      <c r="D240" s="43"/>
      <c r="E240" s="43"/>
      <c r="F240" s="43"/>
      <c r="G240" s="43"/>
      <c r="H240" s="43"/>
      <c r="I240" s="48" t="str">
        <f aca="false">IF(AND(A240="",F240="",G240=""),"",N(F240)+N(G240))</f>
        <v/>
      </c>
      <c r="J240" s="42" t="str">
        <f aca="false">IF(AND(ISNUMBER(D240),D240&gt;0,ISNUMBER(I240)),I240/D240,"")</f>
        <v/>
      </c>
      <c r="K240" s="42" t="str">
        <f aca="false">IF(AND(ISNUMBER(D240),D240&gt;0),N(E240)/D240,"")</f>
        <v/>
      </c>
      <c r="L240" s="46"/>
      <c r="M240" s="46"/>
    </row>
    <row r="241" customFormat="false" ht="15" hidden="false" customHeight="false" outlineLevel="0" collapsed="false">
      <c r="A241" s="40"/>
      <c r="B241" s="46"/>
      <c r="C241" s="47"/>
      <c r="D241" s="43"/>
      <c r="E241" s="43"/>
      <c r="F241" s="43"/>
      <c r="G241" s="43"/>
      <c r="H241" s="43"/>
      <c r="I241" s="48" t="str">
        <f aca="false">IF(AND(A241="",F241="",G241=""),"",N(F241)+N(G241))</f>
        <v/>
      </c>
      <c r="J241" s="42" t="str">
        <f aca="false">IF(AND(ISNUMBER(D241),D241&gt;0,ISNUMBER(I241)),I241/D241,"")</f>
        <v/>
      </c>
      <c r="K241" s="42" t="str">
        <f aca="false">IF(AND(ISNUMBER(D241),D241&gt;0),N(E241)/D241,"")</f>
        <v/>
      </c>
      <c r="L241" s="46"/>
      <c r="M241" s="46"/>
    </row>
    <row r="242" customFormat="false" ht="15" hidden="false" customHeight="false" outlineLevel="0" collapsed="false">
      <c r="A242" s="40"/>
      <c r="B242" s="46"/>
      <c r="C242" s="47"/>
      <c r="D242" s="43"/>
      <c r="E242" s="43"/>
      <c r="F242" s="43"/>
      <c r="G242" s="43"/>
      <c r="H242" s="43"/>
      <c r="I242" s="48" t="str">
        <f aca="false">IF(AND(A242="",F242="",G242=""),"",N(F242)+N(G242))</f>
        <v/>
      </c>
      <c r="J242" s="42" t="str">
        <f aca="false">IF(AND(ISNUMBER(D242),D242&gt;0,ISNUMBER(I242)),I242/D242,"")</f>
        <v/>
      </c>
      <c r="K242" s="42" t="str">
        <f aca="false">IF(AND(ISNUMBER(D242),D242&gt;0),N(E242)/D242,"")</f>
        <v/>
      </c>
      <c r="L242" s="46"/>
      <c r="M242" s="46"/>
    </row>
    <row r="243" customFormat="false" ht="15" hidden="false" customHeight="false" outlineLevel="0" collapsed="false">
      <c r="A243" s="40"/>
      <c r="B243" s="46"/>
      <c r="C243" s="47"/>
      <c r="D243" s="43"/>
      <c r="E243" s="43"/>
      <c r="F243" s="43"/>
      <c r="G243" s="43"/>
      <c r="H243" s="43"/>
      <c r="I243" s="48" t="str">
        <f aca="false">IF(AND(A243="",F243="",G243=""),"",N(F243)+N(G243))</f>
        <v/>
      </c>
      <c r="J243" s="42" t="str">
        <f aca="false">IF(AND(ISNUMBER(D243),D243&gt;0,ISNUMBER(I243)),I243/D243,"")</f>
        <v/>
      </c>
      <c r="K243" s="42" t="str">
        <f aca="false">IF(AND(ISNUMBER(D243),D243&gt;0),N(E243)/D243,"")</f>
        <v/>
      </c>
      <c r="L243" s="46"/>
      <c r="M243" s="46"/>
    </row>
    <row r="244" customFormat="false" ht="15" hidden="false" customHeight="false" outlineLevel="0" collapsed="false">
      <c r="A244" s="40"/>
      <c r="B244" s="46"/>
      <c r="C244" s="47"/>
      <c r="D244" s="43"/>
      <c r="E244" s="43"/>
      <c r="F244" s="43"/>
      <c r="G244" s="43"/>
      <c r="H244" s="43"/>
      <c r="I244" s="48" t="str">
        <f aca="false">IF(AND(A244="",F244="",G244=""),"",N(F244)+N(G244))</f>
        <v/>
      </c>
      <c r="J244" s="42" t="str">
        <f aca="false">IF(AND(ISNUMBER(D244),D244&gt;0,ISNUMBER(I244)),I244/D244,"")</f>
        <v/>
      </c>
      <c r="K244" s="42" t="str">
        <f aca="false">IF(AND(ISNUMBER(D244),D244&gt;0),N(E244)/D244,"")</f>
        <v/>
      </c>
      <c r="L244" s="46"/>
      <c r="M244" s="46"/>
    </row>
    <row r="245" customFormat="false" ht="15" hidden="false" customHeight="false" outlineLevel="0" collapsed="false">
      <c r="A245" s="40"/>
      <c r="B245" s="46"/>
      <c r="C245" s="47"/>
      <c r="D245" s="43"/>
      <c r="E245" s="43"/>
      <c r="F245" s="43"/>
      <c r="G245" s="43"/>
      <c r="H245" s="43"/>
      <c r="I245" s="48" t="str">
        <f aca="false">IF(AND(A245="",F245="",G245=""),"",N(F245)+N(G245))</f>
        <v/>
      </c>
      <c r="J245" s="42" t="str">
        <f aca="false">IF(AND(ISNUMBER(D245),D245&gt;0,ISNUMBER(I245)),I245/D245,"")</f>
        <v/>
      </c>
      <c r="K245" s="42" t="str">
        <f aca="false">IF(AND(ISNUMBER(D245),D245&gt;0),N(E245)/D245,"")</f>
        <v/>
      </c>
      <c r="L245" s="46"/>
      <c r="M245" s="46"/>
    </row>
    <row r="246" customFormat="false" ht="15" hidden="false" customHeight="false" outlineLevel="0" collapsed="false">
      <c r="A246" s="40"/>
      <c r="B246" s="46"/>
      <c r="C246" s="47"/>
      <c r="D246" s="43"/>
      <c r="E246" s="43"/>
      <c r="F246" s="43"/>
      <c r="G246" s="43"/>
      <c r="H246" s="43"/>
      <c r="I246" s="48" t="str">
        <f aca="false">IF(AND(A246="",F246="",G246=""),"",N(F246)+N(G246))</f>
        <v/>
      </c>
      <c r="J246" s="42" t="str">
        <f aca="false">IF(AND(ISNUMBER(D246),D246&gt;0,ISNUMBER(I246)),I246/D246,"")</f>
        <v/>
      </c>
      <c r="K246" s="42" t="str">
        <f aca="false">IF(AND(ISNUMBER(D246),D246&gt;0),N(E246)/D246,"")</f>
        <v/>
      </c>
      <c r="L246" s="46"/>
      <c r="M246" s="46"/>
    </row>
    <row r="247" customFormat="false" ht="15" hidden="false" customHeight="false" outlineLevel="0" collapsed="false">
      <c r="A247" s="40"/>
      <c r="B247" s="46"/>
      <c r="C247" s="47"/>
      <c r="D247" s="43"/>
      <c r="E247" s="43"/>
      <c r="F247" s="43"/>
      <c r="G247" s="43"/>
      <c r="H247" s="43"/>
      <c r="I247" s="48" t="str">
        <f aca="false">IF(AND(A247="",F247="",G247=""),"",N(F247)+N(G247))</f>
        <v/>
      </c>
      <c r="J247" s="42" t="str">
        <f aca="false">IF(AND(ISNUMBER(D247),D247&gt;0,ISNUMBER(I247)),I247/D247,"")</f>
        <v/>
      </c>
      <c r="K247" s="42" t="str">
        <f aca="false">IF(AND(ISNUMBER(D247),D247&gt;0),N(E247)/D247,"")</f>
        <v/>
      </c>
      <c r="L247" s="46"/>
      <c r="M247" s="46"/>
    </row>
    <row r="248" customFormat="false" ht="15" hidden="false" customHeight="false" outlineLevel="0" collapsed="false">
      <c r="A248" s="40"/>
      <c r="B248" s="46"/>
      <c r="C248" s="47"/>
      <c r="D248" s="43"/>
      <c r="E248" s="43"/>
      <c r="F248" s="43"/>
      <c r="G248" s="43"/>
      <c r="H248" s="43"/>
      <c r="I248" s="48" t="str">
        <f aca="false">IF(AND(A248="",F248="",G248=""),"",N(F248)+N(G248))</f>
        <v/>
      </c>
      <c r="J248" s="42" t="str">
        <f aca="false">IF(AND(ISNUMBER(D248),D248&gt;0,ISNUMBER(I248)),I248/D248,"")</f>
        <v/>
      </c>
      <c r="K248" s="42" t="str">
        <f aca="false">IF(AND(ISNUMBER(D248),D248&gt;0),N(E248)/D248,"")</f>
        <v/>
      </c>
      <c r="L248" s="46"/>
      <c r="M248" s="46"/>
    </row>
    <row r="249" customFormat="false" ht="15" hidden="false" customHeight="false" outlineLevel="0" collapsed="false">
      <c r="A249" s="40"/>
      <c r="B249" s="46"/>
      <c r="C249" s="47"/>
      <c r="D249" s="43"/>
      <c r="E249" s="43"/>
      <c r="F249" s="43"/>
      <c r="G249" s="43"/>
      <c r="H249" s="43"/>
      <c r="I249" s="48" t="str">
        <f aca="false">IF(AND(A249="",F249="",G249=""),"",N(F249)+N(G249))</f>
        <v/>
      </c>
      <c r="J249" s="42" t="str">
        <f aca="false">IF(AND(ISNUMBER(D249),D249&gt;0,ISNUMBER(I249)),I249/D249,"")</f>
        <v/>
      </c>
      <c r="K249" s="42" t="str">
        <f aca="false">IF(AND(ISNUMBER(D249),D249&gt;0),N(E249)/D249,"")</f>
        <v/>
      </c>
      <c r="L249" s="46"/>
      <c r="M249" s="46"/>
    </row>
    <row r="250" customFormat="false" ht="15" hidden="false" customHeight="false" outlineLevel="0" collapsed="false">
      <c r="A250" s="40"/>
      <c r="B250" s="46"/>
      <c r="C250" s="47"/>
      <c r="D250" s="43"/>
      <c r="E250" s="43"/>
      <c r="F250" s="43"/>
      <c r="G250" s="43"/>
      <c r="H250" s="43"/>
      <c r="I250" s="48" t="str">
        <f aca="false">IF(AND(A250="",F250="",G250=""),"",N(F250)+N(G250))</f>
        <v/>
      </c>
      <c r="J250" s="42" t="str">
        <f aca="false">IF(AND(ISNUMBER(D250),D250&gt;0,ISNUMBER(I250)),I250/D250,"")</f>
        <v/>
      </c>
      <c r="K250" s="42" t="str">
        <f aca="false">IF(AND(ISNUMBER(D250),D250&gt;0),N(E250)/D250,"")</f>
        <v/>
      </c>
      <c r="L250" s="46"/>
      <c r="M250" s="46"/>
    </row>
    <row r="251" customFormat="false" ht="15" hidden="false" customHeight="false" outlineLevel="0" collapsed="false">
      <c r="A251" s="40"/>
      <c r="B251" s="46"/>
      <c r="C251" s="47"/>
      <c r="D251" s="43"/>
      <c r="E251" s="43"/>
      <c r="F251" s="43"/>
      <c r="G251" s="43"/>
      <c r="H251" s="43"/>
      <c r="I251" s="48" t="str">
        <f aca="false">IF(AND(A251="",F251="",G251=""),"",N(F251)+N(G251))</f>
        <v/>
      </c>
      <c r="J251" s="42" t="str">
        <f aca="false">IF(AND(ISNUMBER(D251),D251&gt;0,ISNUMBER(I251)),I251/D251,"")</f>
        <v/>
      </c>
      <c r="K251" s="42" t="str">
        <f aca="false">IF(AND(ISNUMBER(D251),D251&gt;0),N(E251)/D251,"")</f>
        <v/>
      </c>
      <c r="L251" s="46"/>
      <c r="M251" s="46"/>
    </row>
    <row r="252" customFormat="false" ht="15" hidden="false" customHeight="false" outlineLevel="0" collapsed="false">
      <c r="A252" s="40"/>
      <c r="B252" s="46"/>
      <c r="C252" s="47"/>
      <c r="D252" s="43"/>
      <c r="E252" s="43"/>
      <c r="F252" s="43"/>
      <c r="G252" s="43"/>
      <c r="H252" s="43"/>
      <c r="I252" s="48" t="str">
        <f aca="false">IF(AND(A252="",F252="",G252=""),"",N(F252)+N(G252))</f>
        <v/>
      </c>
      <c r="J252" s="42" t="str">
        <f aca="false">IF(AND(ISNUMBER(D252),D252&gt;0,ISNUMBER(I252)),I252/D252,"")</f>
        <v/>
      </c>
      <c r="K252" s="42" t="str">
        <f aca="false">IF(AND(ISNUMBER(D252),D252&gt;0),N(E252)/D252,"")</f>
        <v/>
      </c>
      <c r="L252" s="46"/>
      <c r="M252" s="46"/>
    </row>
    <row r="253" customFormat="false" ht="15" hidden="false" customHeight="false" outlineLevel="0" collapsed="false">
      <c r="A253" s="40"/>
      <c r="B253" s="46"/>
      <c r="C253" s="47"/>
      <c r="D253" s="43"/>
      <c r="E253" s="43"/>
      <c r="F253" s="43"/>
      <c r="G253" s="43"/>
      <c r="H253" s="43"/>
      <c r="I253" s="48" t="str">
        <f aca="false">IF(AND(A253="",F253="",G253=""),"",N(F253)+N(G253))</f>
        <v/>
      </c>
      <c r="J253" s="42" t="str">
        <f aca="false">IF(AND(ISNUMBER(D253),D253&gt;0,ISNUMBER(I253)),I253/D253,"")</f>
        <v/>
      </c>
      <c r="K253" s="42" t="str">
        <f aca="false">IF(AND(ISNUMBER(D253),D253&gt;0),N(E253)/D253,"")</f>
        <v/>
      </c>
      <c r="L253" s="46"/>
      <c r="M253" s="46"/>
    </row>
    <row r="254" customFormat="false" ht="15" hidden="false" customHeight="false" outlineLevel="0" collapsed="false">
      <c r="A254" s="40"/>
      <c r="B254" s="46"/>
      <c r="C254" s="47"/>
      <c r="D254" s="43"/>
      <c r="E254" s="43"/>
      <c r="F254" s="43"/>
      <c r="G254" s="43"/>
      <c r="H254" s="43"/>
      <c r="I254" s="48" t="str">
        <f aca="false">IF(AND(A254="",F254="",G254=""),"",N(F254)+N(G254))</f>
        <v/>
      </c>
      <c r="J254" s="42" t="str">
        <f aca="false">IF(AND(ISNUMBER(D254),D254&gt;0,ISNUMBER(I254)),I254/D254,"")</f>
        <v/>
      </c>
      <c r="K254" s="42" t="str">
        <f aca="false">IF(AND(ISNUMBER(D254),D254&gt;0),N(E254)/D254,"")</f>
        <v/>
      </c>
      <c r="L254" s="46"/>
      <c r="M254" s="46"/>
    </row>
    <row r="255" customFormat="false" ht="15" hidden="false" customHeight="false" outlineLevel="0" collapsed="false">
      <c r="A255" s="40"/>
      <c r="B255" s="46"/>
      <c r="C255" s="47"/>
      <c r="D255" s="43"/>
      <c r="E255" s="43"/>
      <c r="F255" s="43"/>
      <c r="G255" s="43"/>
      <c r="H255" s="43"/>
      <c r="I255" s="48" t="str">
        <f aca="false">IF(AND(A255="",F255="",G255=""),"",N(F255)+N(G255))</f>
        <v/>
      </c>
      <c r="J255" s="42" t="str">
        <f aca="false">IF(AND(ISNUMBER(D255),D255&gt;0,ISNUMBER(I255)),I255/D255,"")</f>
        <v/>
      </c>
      <c r="K255" s="42" t="str">
        <f aca="false">IF(AND(ISNUMBER(D255),D255&gt;0),N(E255)/D255,"")</f>
        <v/>
      </c>
      <c r="L255" s="46"/>
      <c r="M255" s="46"/>
    </row>
    <row r="256" customFormat="false" ht="15" hidden="false" customHeight="false" outlineLevel="0" collapsed="false">
      <c r="A256" s="40"/>
      <c r="B256" s="46"/>
      <c r="C256" s="47"/>
      <c r="D256" s="43"/>
      <c r="E256" s="43"/>
      <c r="F256" s="43"/>
      <c r="G256" s="43"/>
      <c r="H256" s="43"/>
      <c r="I256" s="48" t="str">
        <f aca="false">IF(AND(A256="",F256="",G256=""),"",N(F256)+N(G256))</f>
        <v/>
      </c>
      <c r="J256" s="42" t="str">
        <f aca="false">IF(AND(ISNUMBER(D256),D256&gt;0,ISNUMBER(I256)),I256/D256,"")</f>
        <v/>
      </c>
      <c r="K256" s="42" t="str">
        <f aca="false">IF(AND(ISNUMBER(D256),D256&gt;0),N(E256)/D256,"")</f>
        <v/>
      </c>
      <c r="L256" s="46"/>
      <c r="M256" s="46"/>
    </row>
    <row r="257" customFormat="false" ht="15" hidden="false" customHeight="false" outlineLevel="0" collapsed="false">
      <c r="A257" s="40"/>
      <c r="B257" s="46"/>
      <c r="C257" s="47"/>
      <c r="D257" s="43"/>
      <c r="E257" s="43"/>
      <c r="F257" s="43"/>
      <c r="G257" s="43"/>
      <c r="H257" s="43"/>
      <c r="I257" s="48" t="str">
        <f aca="false">IF(AND(A257="",F257="",G257=""),"",N(F257)+N(G257))</f>
        <v/>
      </c>
      <c r="J257" s="42" t="str">
        <f aca="false">IF(AND(ISNUMBER(D257),D257&gt;0,ISNUMBER(I257)),I257/D257,"")</f>
        <v/>
      </c>
      <c r="K257" s="42" t="str">
        <f aca="false">IF(AND(ISNUMBER(D257),D257&gt;0),N(E257)/D257,"")</f>
        <v/>
      </c>
      <c r="L257" s="46"/>
      <c r="M257" s="46"/>
    </row>
    <row r="258" customFormat="false" ht="15" hidden="false" customHeight="false" outlineLevel="0" collapsed="false">
      <c r="A258" s="40"/>
      <c r="B258" s="46"/>
      <c r="C258" s="47"/>
      <c r="D258" s="43"/>
      <c r="E258" s="43"/>
      <c r="F258" s="43"/>
      <c r="G258" s="43"/>
      <c r="H258" s="43"/>
      <c r="I258" s="48" t="str">
        <f aca="false">IF(AND(A258="",F258="",G258=""),"",N(F258)+N(G258))</f>
        <v/>
      </c>
      <c r="J258" s="42" t="str">
        <f aca="false">IF(AND(ISNUMBER(D258),D258&gt;0,ISNUMBER(I258)),I258/D258,"")</f>
        <v/>
      </c>
      <c r="K258" s="42" t="str">
        <f aca="false">IF(AND(ISNUMBER(D258),D258&gt;0),N(E258)/D258,"")</f>
        <v/>
      </c>
      <c r="L258" s="46"/>
      <c r="M258" s="46"/>
    </row>
    <row r="259" customFormat="false" ht="15" hidden="false" customHeight="false" outlineLevel="0" collapsed="false">
      <c r="A259" s="40"/>
      <c r="B259" s="46"/>
      <c r="C259" s="47"/>
      <c r="D259" s="43"/>
      <c r="E259" s="43"/>
      <c r="F259" s="43"/>
      <c r="G259" s="43"/>
      <c r="H259" s="43"/>
      <c r="I259" s="48" t="str">
        <f aca="false">IF(AND(A259="",F259="",G259=""),"",N(F259)+N(G259))</f>
        <v/>
      </c>
      <c r="J259" s="42" t="str">
        <f aca="false">IF(AND(ISNUMBER(D259),D259&gt;0,ISNUMBER(I259)),I259/D259,"")</f>
        <v/>
      </c>
      <c r="K259" s="42" t="str">
        <f aca="false">IF(AND(ISNUMBER(D259),D259&gt;0),N(E259)/D259,"")</f>
        <v/>
      </c>
      <c r="L259" s="46"/>
      <c r="M259" s="46"/>
    </row>
    <row r="260" customFormat="false" ht="15" hidden="false" customHeight="false" outlineLevel="0" collapsed="false">
      <c r="A260" s="40"/>
      <c r="B260" s="46"/>
      <c r="C260" s="47"/>
      <c r="D260" s="43"/>
      <c r="E260" s="43"/>
      <c r="F260" s="43"/>
      <c r="G260" s="43"/>
      <c r="H260" s="43"/>
      <c r="I260" s="48" t="str">
        <f aca="false">IF(AND(A260="",F260="",G260=""),"",N(F260)+N(G260))</f>
        <v/>
      </c>
      <c r="J260" s="42" t="str">
        <f aca="false">IF(AND(ISNUMBER(D260),D260&gt;0,ISNUMBER(I260)),I260/D260,"")</f>
        <v/>
      </c>
      <c r="K260" s="42" t="str">
        <f aca="false">IF(AND(ISNUMBER(D260),D260&gt;0),N(E260)/D260,"")</f>
        <v/>
      </c>
      <c r="L260" s="46"/>
      <c r="M260" s="46"/>
    </row>
    <row r="261" customFormat="false" ht="15" hidden="false" customHeight="false" outlineLevel="0" collapsed="false">
      <c r="A261" s="40"/>
      <c r="B261" s="46"/>
      <c r="C261" s="47"/>
      <c r="D261" s="43"/>
      <c r="E261" s="43"/>
      <c r="F261" s="43"/>
      <c r="G261" s="43"/>
      <c r="H261" s="43"/>
      <c r="I261" s="48" t="str">
        <f aca="false">IF(AND(A261="",F261="",G261=""),"",N(F261)+N(G261))</f>
        <v/>
      </c>
      <c r="J261" s="42" t="str">
        <f aca="false">IF(AND(ISNUMBER(D261),D261&gt;0,ISNUMBER(I261)),I261/D261,"")</f>
        <v/>
      </c>
      <c r="K261" s="42" t="str">
        <f aca="false">IF(AND(ISNUMBER(D261),D261&gt;0),N(E261)/D261,"")</f>
        <v/>
      </c>
      <c r="L261" s="46"/>
      <c r="M261" s="46"/>
    </row>
    <row r="262" customFormat="false" ht="15" hidden="false" customHeight="false" outlineLevel="0" collapsed="false">
      <c r="A262" s="40"/>
      <c r="B262" s="46"/>
      <c r="C262" s="47"/>
      <c r="D262" s="43"/>
      <c r="E262" s="43"/>
      <c r="F262" s="43"/>
      <c r="G262" s="43"/>
      <c r="H262" s="43"/>
      <c r="I262" s="48" t="str">
        <f aca="false">IF(AND(A262="",F262="",G262=""),"",N(F262)+N(G262))</f>
        <v/>
      </c>
      <c r="J262" s="42" t="str">
        <f aca="false">IF(AND(ISNUMBER(D262),D262&gt;0,ISNUMBER(I262)),I262/D262,"")</f>
        <v/>
      </c>
      <c r="K262" s="42" t="str">
        <f aca="false">IF(AND(ISNUMBER(D262),D262&gt;0),N(E262)/D262,"")</f>
        <v/>
      </c>
      <c r="L262" s="46"/>
      <c r="M262" s="46"/>
    </row>
    <row r="263" customFormat="false" ht="15" hidden="false" customHeight="false" outlineLevel="0" collapsed="false">
      <c r="A263" s="40"/>
      <c r="B263" s="46"/>
      <c r="C263" s="47"/>
      <c r="D263" s="43"/>
      <c r="E263" s="43"/>
      <c r="F263" s="43"/>
      <c r="G263" s="43"/>
      <c r="H263" s="43"/>
      <c r="I263" s="48" t="str">
        <f aca="false">IF(AND(A263="",F263="",G263=""),"",N(F263)+N(G263))</f>
        <v/>
      </c>
      <c r="J263" s="42" t="str">
        <f aca="false">IF(AND(ISNUMBER(D263),D263&gt;0,ISNUMBER(I263)),I263/D263,"")</f>
        <v/>
      </c>
      <c r="K263" s="42" t="str">
        <f aca="false">IF(AND(ISNUMBER(D263),D263&gt;0),N(E263)/D263,"")</f>
        <v/>
      </c>
      <c r="L263" s="46"/>
      <c r="M263" s="46"/>
    </row>
    <row r="264" customFormat="false" ht="15" hidden="false" customHeight="false" outlineLevel="0" collapsed="false">
      <c r="A264" s="40"/>
      <c r="B264" s="46"/>
      <c r="C264" s="47"/>
      <c r="D264" s="43"/>
      <c r="E264" s="43"/>
      <c r="F264" s="43"/>
      <c r="G264" s="43"/>
      <c r="H264" s="43"/>
      <c r="I264" s="48" t="str">
        <f aca="false">IF(AND(A264="",F264="",G264=""),"",N(F264)+N(G264))</f>
        <v/>
      </c>
      <c r="J264" s="42" t="str">
        <f aca="false">IF(AND(ISNUMBER(D264),D264&gt;0,ISNUMBER(I264)),I264/D264,"")</f>
        <v/>
      </c>
      <c r="K264" s="42" t="str">
        <f aca="false">IF(AND(ISNUMBER(D264),D264&gt;0),N(E264)/D264,"")</f>
        <v/>
      </c>
      <c r="L264" s="46"/>
      <c r="M264" s="46"/>
    </row>
    <row r="265" customFormat="false" ht="15" hidden="false" customHeight="false" outlineLevel="0" collapsed="false">
      <c r="A265" s="40"/>
      <c r="B265" s="46"/>
      <c r="C265" s="47"/>
      <c r="D265" s="43"/>
      <c r="E265" s="43"/>
      <c r="F265" s="43"/>
      <c r="G265" s="43"/>
      <c r="H265" s="43"/>
      <c r="I265" s="48" t="str">
        <f aca="false">IF(AND(A265="",F265="",G265=""),"",N(F265)+N(G265))</f>
        <v/>
      </c>
      <c r="J265" s="42" t="str">
        <f aca="false">IF(AND(ISNUMBER(D265),D265&gt;0,ISNUMBER(I265)),I265/D265,"")</f>
        <v/>
      </c>
      <c r="K265" s="42" t="str">
        <f aca="false">IF(AND(ISNUMBER(D265),D265&gt;0),N(E265)/D265,"")</f>
        <v/>
      </c>
      <c r="L265" s="46"/>
      <c r="M265" s="46"/>
    </row>
    <row r="266" customFormat="false" ht="15" hidden="false" customHeight="false" outlineLevel="0" collapsed="false">
      <c r="A266" s="40"/>
      <c r="B266" s="46"/>
      <c r="C266" s="47"/>
      <c r="D266" s="43"/>
      <c r="E266" s="43"/>
      <c r="F266" s="43"/>
      <c r="G266" s="43"/>
      <c r="H266" s="43"/>
      <c r="I266" s="48" t="str">
        <f aca="false">IF(AND(A266="",F266="",G266=""),"",N(F266)+N(G266))</f>
        <v/>
      </c>
      <c r="J266" s="42" t="str">
        <f aca="false">IF(AND(ISNUMBER(D266),D266&gt;0,ISNUMBER(I266)),I266/D266,"")</f>
        <v/>
      </c>
      <c r="K266" s="42" t="str">
        <f aca="false">IF(AND(ISNUMBER(D266),D266&gt;0),N(E266)/D266,"")</f>
        <v/>
      </c>
      <c r="L266" s="46"/>
      <c r="M266" s="46"/>
    </row>
    <row r="267" customFormat="false" ht="15" hidden="false" customHeight="false" outlineLevel="0" collapsed="false">
      <c r="A267" s="40"/>
      <c r="B267" s="46"/>
      <c r="C267" s="47"/>
      <c r="D267" s="43"/>
      <c r="E267" s="43"/>
      <c r="F267" s="43"/>
      <c r="G267" s="43"/>
      <c r="H267" s="43"/>
      <c r="I267" s="48" t="str">
        <f aca="false">IF(AND(A267="",F267="",G267=""),"",N(F267)+N(G267))</f>
        <v/>
      </c>
      <c r="J267" s="42" t="str">
        <f aca="false">IF(AND(ISNUMBER(D267),D267&gt;0,ISNUMBER(I267)),I267/D267,"")</f>
        <v/>
      </c>
      <c r="K267" s="42" t="str">
        <f aca="false">IF(AND(ISNUMBER(D267),D267&gt;0),N(E267)/D267,"")</f>
        <v/>
      </c>
      <c r="L267" s="46"/>
      <c r="M267" s="46"/>
    </row>
    <row r="268" customFormat="false" ht="15" hidden="false" customHeight="false" outlineLevel="0" collapsed="false">
      <c r="A268" s="40"/>
      <c r="B268" s="46"/>
      <c r="C268" s="47"/>
      <c r="D268" s="43"/>
      <c r="E268" s="43"/>
      <c r="F268" s="43"/>
      <c r="G268" s="43"/>
      <c r="H268" s="43"/>
      <c r="I268" s="48" t="str">
        <f aca="false">IF(AND(A268="",F268="",G268=""),"",N(F268)+N(G268))</f>
        <v/>
      </c>
      <c r="J268" s="42" t="str">
        <f aca="false">IF(AND(ISNUMBER(D268),D268&gt;0,ISNUMBER(I268)),I268/D268,"")</f>
        <v/>
      </c>
      <c r="K268" s="42" t="str">
        <f aca="false">IF(AND(ISNUMBER(D268),D268&gt;0),N(E268)/D268,"")</f>
        <v/>
      </c>
      <c r="L268" s="46"/>
      <c r="M268" s="46"/>
    </row>
    <row r="269" customFormat="false" ht="15" hidden="false" customHeight="false" outlineLevel="0" collapsed="false">
      <c r="A269" s="40"/>
      <c r="B269" s="46"/>
      <c r="C269" s="47"/>
      <c r="D269" s="43"/>
      <c r="E269" s="43"/>
      <c r="F269" s="43"/>
      <c r="G269" s="43"/>
      <c r="H269" s="43"/>
      <c r="I269" s="48" t="str">
        <f aca="false">IF(AND(A269="",F269="",G269=""),"",N(F269)+N(G269))</f>
        <v/>
      </c>
      <c r="J269" s="42" t="str">
        <f aca="false">IF(AND(ISNUMBER(D269),D269&gt;0,ISNUMBER(I269)),I269/D269,"")</f>
        <v/>
      </c>
      <c r="K269" s="42" t="str">
        <f aca="false">IF(AND(ISNUMBER(D269),D269&gt;0),N(E269)/D269,"")</f>
        <v/>
      </c>
      <c r="L269" s="46"/>
      <c r="M269" s="46"/>
    </row>
    <row r="270" customFormat="false" ht="15" hidden="false" customHeight="false" outlineLevel="0" collapsed="false">
      <c r="A270" s="40"/>
      <c r="B270" s="46"/>
      <c r="C270" s="47"/>
      <c r="D270" s="43"/>
      <c r="E270" s="43"/>
      <c r="F270" s="43"/>
      <c r="G270" s="43"/>
      <c r="H270" s="43"/>
      <c r="I270" s="48" t="str">
        <f aca="false">IF(AND(A270="",F270="",G270=""),"",N(F270)+N(G270))</f>
        <v/>
      </c>
      <c r="J270" s="42" t="str">
        <f aca="false">IF(AND(ISNUMBER(D270),D270&gt;0,ISNUMBER(I270)),I270/D270,"")</f>
        <v/>
      </c>
      <c r="K270" s="42" t="str">
        <f aca="false">IF(AND(ISNUMBER(D270),D270&gt;0),N(E270)/D270,"")</f>
        <v/>
      </c>
      <c r="L270" s="46"/>
      <c r="M270" s="46"/>
    </row>
    <row r="271" customFormat="false" ht="15" hidden="false" customHeight="false" outlineLevel="0" collapsed="false">
      <c r="A271" s="40"/>
      <c r="B271" s="46"/>
      <c r="C271" s="47"/>
      <c r="D271" s="43"/>
      <c r="E271" s="43"/>
      <c r="F271" s="43"/>
      <c r="G271" s="43"/>
      <c r="H271" s="43"/>
      <c r="I271" s="48" t="str">
        <f aca="false">IF(AND(A271="",F271="",G271=""),"",N(F271)+N(G271))</f>
        <v/>
      </c>
      <c r="J271" s="42" t="str">
        <f aca="false">IF(AND(ISNUMBER(D271),D271&gt;0,ISNUMBER(I271)),I271/D271,"")</f>
        <v/>
      </c>
      <c r="K271" s="42" t="str">
        <f aca="false">IF(AND(ISNUMBER(D271),D271&gt;0),N(E271)/D271,"")</f>
        <v/>
      </c>
      <c r="L271" s="46"/>
      <c r="M271" s="46"/>
    </row>
    <row r="272" customFormat="false" ht="15" hidden="false" customHeight="false" outlineLevel="0" collapsed="false">
      <c r="A272" s="40"/>
      <c r="B272" s="46"/>
      <c r="C272" s="47"/>
      <c r="D272" s="43"/>
      <c r="E272" s="43"/>
      <c r="F272" s="43"/>
      <c r="G272" s="43"/>
      <c r="H272" s="43"/>
      <c r="I272" s="48" t="str">
        <f aca="false">IF(AND(A272="",F272="",G272=""),"",N(F272)+N(G272))</f>
        <v/>
      </c>
      <c r="J272" s="42" t="str">
        <f aca="false">IF(AND(ISNUMBER(D272),D272&gt;0,ISNUMBER(I272)),I272/D272,"")</f>
        <v/>
      </c>
      <c r="K272" s="42" t="str">
        <f aca="false">IF(AND(ISNUMBER(D272),D272&gt;0),N(E272)/D272,"")</f>
        <v/>
      </c>
      <c r="L272" s="46"/>
      <c r="M272" s="46"/>
    </row>
    <row r="273" customFormat="false" ht="15" hidden="false" customHeight="false" outlineLevel="0" collapsed="false">
      <c r="A273" s="40"/>
      <c r="B273" s="46"/>
      <c r="C273" s="47"/>
      <c r="D273" s="43"/>
      <c r="E273" s="43"/>
      <c r="F273" s="43"/>
      <c r="G273" s="43"/>
      <c r="H273" s="43"/>
      <c r="I273" s="48" t="str">
        <f aca="false">IF(AND(A273="",F273="",G273=""),"",N(F273)+N(G273))</f>
        <v/>
      </c>
      <c r="J273" s="42" t="str">
        <f aca="false">IF(AND(ISNUMBER(D273),D273&gt;0,ISNUMBER(I273)),I273/D273,"")</f>
        <v/>
      </c>
      <c r="K273" s="42" t="str">
        <f aca="false">IF(AND(ISNUMBER(D273),D273&gt;0),N(E273)/D273,"")</f>
        <v/>
      </c>
      <c r="L273" s="46"/>
      <c r="M273" s="46"/>
    </row>
    <row r="274" customFormat="false" ht="15" hidden="false" customHeight="false" outlineLevel="0" collapsed="false">
      <c r="A274" s="40"/>
      <c r="B274" s="46"/>
      <c r="C274" s="47"/>
      <c r="D274" s="43"/>
      <c r="E274" s="43"/>
      <c r="F274" s="43"/>
      <c r="G274" s="43"/>
      <c r="H274" s="43"/>
      <c r="I274" s="48" t="str">
        <f aca="false">IF(AND(A274="",F274="",G274=""),"",N(F274)+N(G274))</f>
        <v/>
      </c>
      <c r="J274" s="42" t="str">
        <f aca="false">IF(AND(ISNUMBER(D274),D274&gt;0,ISNUMBER(I274)),I274/D274,"")</f>
        <v/>
      </c>
      <c r="K274" s="42" t="str">
        <f aca="false">IF(AND(ISNUMBER(D274),D274&gt;0),N(E274)/D274,"")</f>
        <v/>
      </c>
      <c r="L274" s="46"/>
      <c r="M274" s="46"/>
    </row>
    <row r="275" customFormat="false" ht="15" hidden="false" customHeight="false" outlineLevel="0" collapsed="false">
      <c r="A275" s="40"/>
      <c r="B275" s="46"/>
      <c r="C275" s="47"/>
      <c r="D275" s="43"/>
      <c r="E275" s="43"/>
      <c r="F275" s="43"/>
      <c r="G275" s="43"/>
      <c r="H275" s="43"/>
      <c r="I275" s="48" t="str">
        <f aca="false">IF(AND(A275="",F275="",G275=""),"",N(F275)+N(G275))</f>
        <v/>
      </c>
      <c r="J275" s="42" t="str">
        <f aca="false">IF(AND(ISNUMBER(D275),D275&gt;0,ISNUMBER(I275)),I275/D275,"")</f>
        <v/>
      </c>
      <c r="K275" s="42" t="str">
        <f aca="false">IF(AND(ISNUMBER(D275),D275&gt;0),N(E275)/D275,"")</f>
        <v/>
      </c>
      <c r="L275" s="46"/>
      <c r="M275" s="46"/>
    </row>
    <row r="276" customFormat="false" ht="15" hidden="false" customHeight="false" outlineLevel="0" collapsed="false">
      <c r="A276" s="40"/>
      <c r="B276" s="46"/>
      <c r="C276" s="47"/>
      <c r="D276" s="43"/>
      <c r="E276" s="43"/>
      <c r="F276" s="43"/>
      <c r="G276" s="43"/>
      <c r="H276" s="43"/>
      <c r="I276" s="48" t="str">
        <f aca="false">IF(AND(A276="",F276="",G276=""),"",N(F276)+N(G276))</f>
        <v/>
      </c>
      <c r="J276" s="42" t="str">
        <f aca="false">IF(AND(ISNUMBER(D276),D276&gt;0,ISNUMBER(I276)),I276/D276,"")</f>
        <v/>
      </c>
      <c r="K276" s="42" t="str">
        <f aca="false">IF(AND(ISNUMBER(D276),D276&gt;0),N(E276)/D276,"")</f>
        <v/>
      </c>
      <c r="L276" s="46"/>
      <c r="M276" s="46"/>
    </row>
    <row r="277" customFormat="false" ht="15" hidden="false" customHeight="false" outlineLevel="0" collapsed="false">
      <c r="A277" s="40"/>
      <c r="B277" s="46"/>
      <c r="C277" s="47"/>
      <c r="D277" s="43"/>
      <c r="E277" s="43"/>
      <c r="F277" s="43"/>
      <c r="G277" s="43"/>
      <c r="H277" s="43"/>
      <c r="I277" s="48" t="str">
        <f aca="false">IF(AND(A277="",F277="",G277=""),"",N(F277)+N(G277))</f>
        <v/>
      </c>
      <c r="J277" s="42" t="str">
        <f aca="false">IF(AND(ISNUMBER(D277),D277&gt;0,ISNUMBER(I277)),I277/D277,"")</f>
        <v/>
      </c>
      <c r="K277" s="42" t="str">
        <f aca="false">IF(AND(ISNUMBER(D277),D277&gt;0),N(E277)/D277,"")</f>
        <v/>
      </c>
      <c r="L277" s="46"/>
      <c r="M277" s="46"/>
    </row>
    <row r="278" customFormat="false" ht="15" hidden="false" customHeight="false" outlineLevel="0" collapsed="false">
      <c r="A278" s="40"/>
      <c r="B278" s="46"/>
      <c r="C278" s="47"/>
      <c r="D278" s="43"/>
      <c r="E278" s="43"/>
      <c r="F278" s="43"/>
      <c r="G278" s="43"/>
      <c r="H278" s="43"/>
      <c r="I278" s="48" t="str">
        <f aca="false">IF(AND(A278="",F278="",G278=""),"",N(F278)+N(G278))</f>
        <v/>
      </c>
      <c r="J278" s="42" t="str">
        <f aca="false">IF(AND(ISNUMBER(D278),D278&gt;0,ISNUMBER(I278)),I278/D278,"")</f>
        <v/>
      </c>
      <c r="K278" s="42" t="str">
        <f aca="false">IF(AND(ISNUMBER(D278),D278&gt;0),N(E278)/D278,"")</f>
        <v/>
      </c>
      <c r="L278" s="46"/>
      <c r="M278" s="46"/>
    </row>
    <row r="279" customFormat="false" ht="15" hidden="false" customHeight="false" outlineLevel="0" collapsed="false">
      <c r="A279" s="40"/>
      <c r="B279" s="46"/>
      <c r="C279" s="47"/>
      <c r="D279" s="43"/>
      <c r="E279" s="43"/>
      <c r="F279" s="43"/>
      <c r="G279" s="43"/>
      <c r="H279" s="43"/>
      <c r="I279" s="48" t="str">
        <f aca="false">IF(AND(A279="",F279="",G279=""),"",N(F279)+N(G279))</f>
        <v/>
      </c>
      <c r="J279" s="42" t="str">
        <f aca="false">IF(AND(ISNUMBER(D279),D279&gt;0,ISNUMBER(I279)),I279/D279,"")</f>
        <v/>
      </c>
      <c r="K279" s="42" t="str">
        <f aca="false">IF(AND(ISNUMBER(D279),D279&gt;0),N(E279)/D279,"")</f>
        <v/>
      </c>
      <c r="L279" s="46"/>
      <c r="M279" s="46"/>
    </row>
    <row r="280" customFormat="false" ht="15" hidden="false" customHeight="false" outlineLevel="0" collapsed="false">
      <c r="A280" s="40"/>
      <c r="B280" s="46"/>
      <c r="C280" s="47"/>
      <c r="D280" s="43"/>
      <c r="E280" s="43"/>
      <c r="F280" s="43"/>
      <c r="G280" s="43"/>
      <c r="H280" s="43"/>
      <c r="I280" s="48" t="str">
        <f aca="false">IF(AND(A280="",F280="",G280=""),"",N(F280)+N(G280))</f>
        <v/>
      </c>
      <c r="J280" s="42" t="str">
        <f aca="false">IF(AND(ISNUMBER(D280),D280&gt;0,ISNUMBER(I280)),I280/D280,"")</f>
        <v/>
      </c>
      <c r="K280" s="42" t="str">
        <f aca="false">IF(AND(ISNUMBER(D280),D280&gt;0),N(E280)/D280,"")</f>
        <v/>
      </c>
      <c r="L280" s="46"/>
      <c r="M280" s="46"/>
    </row>
    <row r="281" customFormat="false" ht="15" hidden="false" customHeight="false" outlineLevel="0" collapsed="false">
      <c r="A281" s="40"/>
      <c r="B281" s="46"/>
      <c r="C281" s="47"/>
      <c r="D281" s="43"/>
      <c r="E281" s="43"/>
      <c r="F281" s="43"/>
      <c r="G281" s="43"/>
      <c r="H281" s="43"/>
      <c r="I281" s="48" t="str">
        <f aca="false">IF(AND(A281="",F281="",G281=""),"",N(F281)+N(G281))</f>
        <v/>
      </c>
      <c r="J281" s="42" t="str">
        <f aca="false">IF(AND(ISNUMBER(D281),D281&gt;0,ISNUMBER(I281)),I281/D281,"")</f>
        <v/>
      </c>
      <c r="K281" s="42" t="str">
        <f aca="false">IF(AND(ISNUMBER(D281),D281&gt;0),N(E281)/D281,"")</f>
        <v/>
      </c>
      <c r="L281" s="46"/>
      <c r="M281" s="46"/>
    </row>
    <row r="282" customFormat="false" ht="15" hidden="false" customHeight="false" outlineLevel="0" collapsed="false">
      <c r="A282" s="40"/>
      <c r="B282" s="46"/>
      <c r="C282" s="47"/>
      <c r="D282" s="43"/>
      <c r="E282" s="43"/>
      <c r="F282" s="43"/>
      <c r="G282" s="43"/>
      <c r="H282" s="43"/>
      <c r="I282" s="48" t="str">
        <f aca="false">IF(AND(A282="",F282="",G282=""),"",N(F282)+N(G282))</f>
        <v/>
      </c>
      <c r="J282" s="42" t="str">
        <f aca="false">IF(AND(ISNUMBER(D282),D282&gt;0,ISNUMBER(I282)),I282/D282,"")</f>
        <v/>
      </c>
      <c r="K282" s="42" t="str">
        <f aca="false">IF(AND(ISNUMBER(D282),D282&gt;0),N(E282)/D282,"")</f>
        <v/>
      </c>
      <c r="L282" s="46"/>
      <c r="M282" s="46"/>
    </row>
    <row r="283" customFormat="false" ht="15" hidden="false" customHeight="false" outlineLevel="0" collapsed="false">
      <c r="A283" s="40"/>
      <c r="B283" s="46"/>
      <c r="C283" s="47"/>
      <c r="D283" s="43"/>
      <c r="E283" s="43"/>
      <c r="F283" s="43"/>
      <c r="G283" s="43"/>
      <c r="H283" s="43"/>
      <c r="I283" s="48" t="str">
        <f aca="false">IF(AND(A283="",F283="",G283=""),"",N(F283)+N(G283))</f>
        <v/>
      </c>
      <c r="J283" s="42" t="str">
        <f aca="false">IF(AND(ISNUMBER(D283),D283&gt;0,ISNUMBER(I283)),I283/D283,"")</f>
        <v/>
      </c>
      <c r="K283" s="42" t="str">
        <f aca="false">IF(AND(ISNUMBER(D283),D283&gt;0),N(E283)/D283,"")</f>
        <v/>
      </c>
      <c r="L283" s="46"/>
      <c r="M283" s="46"/>
    </row>
    <row r="284" customFormat="false" ht="15" hidden="false" customHeight="false" outlineLevel="0" collapsed="false">
      <c r="A284" s="40"/>
      <c r="B284" s="46"/>
      <c r="C284" s="47"/>
      <c r="D284" s="43"/>
      <c r="E284" s="43"/>
      <c r="F284" s="43"/>
      <c r="G284" s="43"/>
      <c r="H284" s="43"/>
      <c r="I284" s="48" t="str">
        <f aca="false">IF(AND(A284="",F284="",G284=""),"",N(F284)+N(G284))</f>
        <v/>
      </c>
      <c r="J284" s="42" t="str">
        <f aca="false">IF(AND(ISNUMBER(D284),D284&gt;0,ISNUMBER(I284)),I284/D284,"")</f>
        <v/>
      </c>
      <c r="K284" s="42" t="str">
        <f aca="false">IF(AND(ISNUMBER(D284),D284&gt;0),N(E284)/D284,"")</f>
        <v/>
      </c>
      <c r="L284" s="46"/>
      <c r="M284" s="46"/>
    </row>
    <row r="285" customFormat="false" ht="15" hidden="false" customHeight="false" outlineLevel="0" collapsed="false">
      <c r="A285" s="40"/>
      <c r="B285" s="46"/>
      <c r="C285" s="47"/>
      <c r="D285" s="43"/>
      <c r="E285" s="43"/>
      <c r="F285" s="43"/>
      <c r="G285" s="43"/>
      <c r="H285" s="43"/>
      <c r="I285" s="48" t="str">
        <f aca="false">IF(AND(A285="",F285="",G285=""),"",N(F285)+N(G285))</f>
        <v/>
      </c>
      <c r="J285" s="42" t="str">
        <f aca="false">IF(AND(ISNUMBER(D285),D285&gt;0,ISNUMBER(I285)),I285/D285,"")</f>
        <v/>
      </c>
      <c r="K285" s="42" t="str">
        <f aca="false">IF(AND(ISNUMBER(D285),D285&gt;0),N(E285)/D285,"")</f>
        <v/>
      </c>
      <c r="L285" s="46"/>
      <c r="M285" s="46"/>
    </row>
    <row r="286" customFormat="false" ht="15" hidden="false" customHeight="false" outlineLevel="0" collapsed="false">
      <c r="A286" s="40"/>
      <c r="B286" s="46"/>
      <c r="C286" s="47"/>
      <c r="D286" s="43"/>
      <c r="E286" s="43"/>
      <c r="F286" s="43"/>
      <c r="G286" s="43"/>
      <c r="H286" s="43"/>
      <c r="I286" s="48" t="str">
        <f aca="false">IF(AND(A286="",F286="",G286=""),"",N(F286)+N(G286))</f>
        <v/>
      </c>
      <c r="J286" s="42" t="str">
        <f aca="false">IF(AND(ISNUMBER(D286),D286&gt;0,ISNUMBER(I286)),I286/D286,"")</f>
        <v/>
      </c>
      <c r="K286" s="42" t="str">
        <f aca="false">IF(AND(ISNUMBER(D286),D286&gt;0),N(E286)/D286,"")</f>
        <v/>
      </c>
      <c r="L286" s="46"/>
      <c r="M286" s="46"/>
    </row>
    <row r="287" customFormat="false" ht="15" hidden="false" customHeight="false" outlineLevel="0" collapsed="false">
      <c r="A287" s="40"/>
      <c r="B287" s="46"/>
      <c r="C287" s="47"/>
      <c r="D287" s="43"/>
      <c r="E287" s="43"/>
      <c r="F287" s="43"/>
      <c r="G287" s="43"/>
      <c r="H287" s="43"/>
      <c r="I287" s="48" t="str">
        <f aca="false">IF(AND(A287="",F287="",G287=""),"",N(F287)+N(G287))</f>
        <v/>
      </c>
      <c r="J287" s="42" t="str">
        <f aca="false">IF(AND(ISNUMBER(D287),D287&gt;0,ISNUMBER(I287)),I287/D287,"")</f>
        <v/>
      </c>
      <c r="K287" s="42" t="str">
        <f aca="false">IF(AND(ISNUMBER(D287),D287&gt;0),N(E287)/D287,"")</f>
        <v/>
      </c>
      <c r="L287" s="46"/>
      <c r="M287" s="46"/>
    </row>
    <row r="288" customFormat="false" ht="15" hidden="false" customHeight="false" outlineLevel="0" collapsed="false">
      <c r="A288" s="40"/>
      <c r="B288" s="46"/>
      <c r="C288" s="47"/>
      <c r="D288" s="43"/>
      <c r="E288" s="43"/>
      <c r="F288" s="43"/>
      <c r="G288" s="43"/>
      <c r="H288" s="43"/>
      <c r="I288" s="48" t="str">
        <f aca="false">IF(AND(A288="",F288="",G288=""),"",N(F288)+N(G288))</f>
        <v/>
      </c>
      <c r="J288" s="42" t="str">
        <f aca="false">IF(AND(ISNUMBER(D288),D288&gt;0,ISNUMBER(I288)),I288/D288,"")</f>
        <v/>
      </c>
      <c r="K288" s="42" t="str">
        <f aca="false">IF(AND(ISNUMBER(D288),D288&gt;0),N(E288)/D288,"")</f>
        <v/>
      </c>
      <c r="L288" s="46"/>
      <c r="M288" s="46"/>
    </row>
    <row r="289" customFormat="false" ht="15" hidden="false" customHeight="false" outlineLevel="0" collapsed="false">
      <c r="A289" s="40"/>
      <c r="B289" s="46"/>
      <c r="C289" s="47"/>
      <c r="D289" s="43"/>
      <c r="E289" s="43"/>
      <c r="F289" s="43"/>
      <c r="G289" s="43"/>
      <c r="H289" s="43"/>
      <c r="I289" s="48" t="str">
        <f aca="false">IF(AND(A289="",F289="",G289=""),"",N(F289)+N(G289))</f>
        <v/>
      </c>
      <c r="J289" s="42" t="str">
        <f aca="false">IF(AND(ISNUMBER(D289),D289&gt;0,ISNUMBER(I289)),I289/D289,"")</f>
        <v/>
      </c>
      <c r="K289" s="42" t="str">
        <f aca="false">IF(AND(ISNUMBER(D289),D289&gt;0),N(E289)/D289,"")</f>
        <v/>
      </c>
      <c r="L289" s="46"/>
      <c r="M289" s="46"/>
    </row>
    <row r="290" customFormat="false" ht="15" hidden="false" customHeight="false" outlineLevel="0" collapsed="false">
      <c r="A290" s="40"/>
      <c r="B290" s="46"/>
      <c r="C290" s="47"/>
      <c r="D290" s="43"/>
      <c r="E290" s="43"/>
      <c r="F290" s="43"/>
      <c r="G290" s="43"/>
      <c r="H290" s="43"/>
      <c r="I290" s="48" t="str">
        <f aca="false">IF(AND(A290="",F290="",G290=""),"",N(F290)+N(G290))</f>
        <v/>
      </c>
      <c r="J290" s="42" t="str">
        <f aca="false">IF(AND(ISNUMBER(D290),D290&gt;0,ISNUMBER(I290)),I290/D290,"")</f>
        <v/>
      </c>
      <c r="K290" s="42" t="str">
        <f aca="false">IF(AND(ISNUMBER(D290),D290&gt;0),N(E290)/D290,"")</f>
        <v/>
      </c>
      <c r="L290" s="46"/>
      <c r="M290" s="46"/>
    </row>
    <row r="291" customFormat="false" ht="15" hidden="false" customHeight="false" outlineLevel="0" collapsed="false">
      <c r="A291" s="40"/>
      <c r="B291" s="46"/>
      <c r="C291" s="47"/>
      <c r="D291" s="43"/>
      <c r="E291" s="43"/>
      <c r="F291" s="43"/>
      <c r="G291" s="43"/>
      <c r="H291" s="43"/>
      <c r="I291" s="48" t="str">
        <f aca="false">IF(AND(A291="",F291="",G291=""),"",N(F291)+N(G291))</f>
        <v/>
      </c>
      <c r="J291" s="42" t="str">
        <f aca="false">IF(AND(ISNUMBER(D291),D291&gt;0,ISNUMBER(I291)),I291/D291,"")</f>
        <v/>
      </c>
      <c r="K291" s="42" t="str">
        <f aca="false">IF(AND(ISNUMBER(D291),D291&gt;0),N(E291)/D291,"")</f>
        <v/>
      </c>
      <c r="L291" s="46"/>
      <c r="M291" s="46"/>
    </row>
    <row r="292" customFormat="false" ht="15" hidden="false" customHeight="false" outlineLevel="0" collapsed="false">
      <c r="A292" s="40"/>
      <c r="B292" s="46"/>
      <c r="C292" s="47"/>
      <c r="D292" s="43"/>
      <c r="E292" s="43"/>
      <c r="F292" s="43"/>
      <c r="G292" s="43"/>
      <c r="H292" s="43"/>
      <c r="I292" s="48" t="str">
        <f aca="false">IF(AND(A292="",F292="",G292=""),"",N(F292)+N(G292))</f>
        <v/>
      </c>
      <c r="J292" s="42" t="str">
        <f aca="false">IF(AND(ISNUMBER(D292),D292&gt;0,ISNUMBER(I292)),I292/D292,"")</f>
        <v/>
      </c>
      <c r="K292" s="42" t="str">
        <f aca="false">IF(AND(ISNUMBER(D292),D292&gt;0),N(E292)/D292,"")</f>
        <v/>
      </c>
      <c r="L292" s="46"/>
      <c r="M292" s="46"/>
    </row>
    <row r="293" customFormat="false" ht="15" hidden="false" customHeight="false" outlineLevel="0" collapsed="false">
      <c r="A293" s="40"/>
      <c r="B293" s="46"/>
      <c r="C293" s="47"/>
      <c r="D293" s="43"/>
      <c r="E293" s="43"/>
      <c r="F293" s="43"/>
      <c r="G293" s="43"/>
      <c r="H293" s="43"/>
      <c r="I293" s="48" t="str">
        <f aca="false">IF(AND(A293="",F293="",G293=""),"",N(F293)+N(G293))</f>
        <v/>
      </c>
      <c r="J293" s="42" t="str">
        <f aca="false">IF(AND(ISNUMBER(D293),D293&gt;0,ISNUMBER(I293)),I293/D293,"")</f>
        <v/>
      </c>
      <c r="K293" s="42" t="str">
        <f aca="false">IF(AND(ISNUMBER(D293),D293&gt;0),N(E293)/D293,"")</f>
        <v/>
      </c>
      <c r="L293" s="46"/>
      <c r="M293" s="46"/>
    </row>
    <row r="294" customFormat="false" ht="15" hidden="false" customHeight="false" outlineLevel="0" collapsed="false">
      <c r="A294" s="40"/>
      <c r="B294" s="46"/>
      <c r="C294" s="47"/>
      <c r="D294" s="43"/>
      <c r="E294" s="43"/>
      <c r="F294" s="43"/>
      <c r="G294" s="43"/>
      <c r="H294" s="43"/>
      <c r="I294" s="48" t="str">
        <f aca="false">IF(AND(A294="",F294="",G294=""),"",N(F294)+N(G294))</f>
        <v/>
      </c>
      <c r="J294" s="42" t="str">
        <f aca="false">IF(AND(ISNUMBER(D294),D294&gt;0,ISNUMBER(I294)),I294/D294,"")</f>
        <v/>
      </c>
      <c r="K294" s="42" t="str">
        <f aca="false">IF(AND(ISNUMBER(D294),D294&gt;0),N(E294)/D294,"")</f>
        <v/>
      </c>
      <c r="L294" s="46"/>
      <c r="M294" s="46"/>
    </row>
    <row r="295" customFormat="false" ht="15" hidden="false" customHeight="false" outlineLevel="0" collapsed="false">
      <c r="A295" s="40"/>
      <c r="B295" s="46"/>
      <c r="C295" s="47"/>
      <c r="D295" s="43"/>
      <c r="E295" s="43"/>
      <c r="F295" s="43"/>
      <c r="G295" s="43"/>
      <c r="H295" s="43"/>
      <c r="I295" s="48" t="str">
        <f aca="false">IF(AND(A295="",F295="",G295=""),"",N(F295)+N(G295))</f>
        <v/>
      </c>
      <c r="J295" s="42" t="str">
        <f aca="false">IF(AND(ISNUMBER(D295),D295&gt;0,ISNUMBER(I295)),I295/D295,"")</f>
        <v/>
      </c>
      <c r="K295" s="42" t="str">
        <f aca="false">IF(AND(ISNUMBER(D295),D295&gt;0),N(E295)/D295,"")</f>
        <v/>
      </c>
      <c r="L295" s="46"/>
      <c r="M295" s="46"/>
    </row>
    <row r="296" customFormat="false" ht="15" hidden="false" customHeight="false" outlineLevel="0" collapsed="false">
      <c r="A296" s="40"/>
      <c r="B296" s="46"/>
      <c r="C296" s="47"/>
      <c r="D296" s="43"/>
      <c r="E296" s="43"/>
      <c r="F296" s="43"/>
      <c r="G296" s="43"/>
      <c r="H296" s="43"/>
      <c r="I296" s="48" t="str">
        <f aca="false">IF(AND(A296="",F296="",G296=""),"",N(F296)+N(G296))</f>
        <v/>
      </c>
      <c r="J296" s="42" t="str">
        <f aca="false">IF(AND(ISNUMBER(D296),D296&gt;0,ISNUMBER(I296)),I296/D296,"")</f>
        <v/>
      </c>
      <c r="K296" s="42" t="str">
        <f aca="false">IF(AND(ISNUMBER(D296),D296&gt;0),N(E296)/D296,"")</f>
        <v/>
      </c>
      <c r="L296" s="46"/>
      <c r="M296" s="46"/>
    </row>
    <row r="297" customFormat="false" ht="15" hidden="false" customHeight="false" outlineLevel="0" collapsed="false">
      <c r="A297" s="40"/>
      <c r="B297" s="46"/>
      <c r="C297" s="47"/>
      <c r="D297" s="43"/>
      <c r="E297" s="43"/>
      <c r="F297" s="43"/>
      <c r="G297" s="43"/>
      <c r="H297" s="43"/>
      <c r="I297" s="48" t="str">
        <f aca="false">IF(AND(A297="",F297="",G297=""),"",N(F297)+N(G297))</f>
        <v/>
      </c>
      <c r="J297" s="42" t="str">
        <f aca="false">IF(AND(ISNUMBER(D297),D297&gt;0,ISNUMBER(I297)),I297/D297,"")</f>
        <v/>
      </c>
      <c r="K297" s="42" t="str">
        <f aca="false">IF(AND(ISNUMBER(D297),D297&gt;0),N(E297)/D297,"")</f>
        <v/>
      </c>
      <c r="L297" s="46"/>
      <c r="M297" s="46"/>
    </row>
    <row r="298" customFormat="false" ht="15" hidden="false" customHeight="false" outlineLevel="0" collapsed="false">
      <c r="A298" s="40"/>
      <c r="B298" s="46"/>
      <c r="C298" s="47"/>
      <c r="D298" s="43"/>
      <c r="E298" s="43"/>
      <c r="F298" s="43"/>
      <c r="G298" s="43"/>
      <c r="H298" s="43"/>
      <c r="I298" s="48" t="str">
        <f aca="false">IF(AND(A298="",F298="",G298=""),"",N(F298)+N(G298))</f>
        <v/>
      </c>
      <c r="J298" s="42" t="str">
        <f aca="false">IF(AND(ISNUMBER(D298),D298&gt;0,ISNUMBER(I298)),I298/D298,"")</f>
        <v/>
      </c>
      <c r="K298" s="42" t="str">
        <f aca="false">IF(AND(ISNUMBER(D298),D298&gt;0),N(E298)/D298,"")</f>
        <v/>
      </c>
      <c r="L298" s="46"/>
      <c r="M298" s="46"/>
    </row>
    <row r="299" customFormat="false" ht="15" hidden="false" customHeight="false" outlineLevel="0" collapsed="false">
      <c r="A299" s="40"/>
      <c r="B299" s="46"/>
      <c r="C299" s="47"/>
      <c r="D299" s="43"/>
      <c r="E299" s="43"/>
      <c r="F299" s="43"/>
      <c r="G299" s="43"/>
      <c r="H299" s="43"/>
      <c r="I299" s="48" t="str">
        <f aca="false">IF(AND(A299="",F299="",G299=""),"",N(F299)+N(G299))</f>
        <v/>
      </c>
      <c r="J299" s="42" t="str">
        <f aca="false">IF(AND(ISNUMBER(D299),D299&gt;0,ISNUMBER(I299)),I299/D299,"")</f>
        <v/>
      </c>
      <c r="K299" s="42" t="str">
        <f aca="false">IF(AND(ISNUMBER(D299),D299&gt;0),N(E299)/D299,"")</f>
        <v/>
      </c>
      <c r="L299" s="46"/>
      <c r="M299" s="46"/>
    </row>
    <row r="300" customFormat="false" ht="15" hidden="false" customHeight="false" outlineLevel="0" collapsed="false">
      <c r="A300" s="40"/>
      <c r="B300" s="46"/>
      <c r="C300" s="47"/>
      <c r="D300" s="43"/>
      <c r="E300" s="43"/>
      <c r="F300" s="43"/>
      <c r="G300" s="43"/>
      <c r="H300" s="43"/>
      <c r="I300" s="48" t="str">
        <f aca="false">IF(AND(A300="",F300="",G300=""),"",N(F300)+N(G300))</f>
        <v/>
      </c>
      <c r="J300" s="42" t="str">
        <f aca="false">IF(AND(ISNUMBER(D300),D300&gt;0,ISNUMBER(I300)),I300/D300,"")</f>
        <v/>
      </c>
      <c r="K300" s="42" t="str">
        <f aca="false">IF(AND(ISNUMBER(D300),D300&gt;0),N(E300)/D300,"")</f>
        <v/>
      </c>
      <c r="L300" s="46"/>
      <c r="M300" s="46"/>
    </row>
    <row r="301" customFormat="false" ht="15" hidden="false" customHeight="false" outlineLevel="0" collapsed="false">
      <c r="A301" s="40"/>
      <c r="B301" s="46"/>
      <c r="C301" s="47"/>
      <c r="D301" s="43"/>
      <c r="E301" s="43"/>
      <c r="F301" s="43"/>
      <c r="G301" s="43"/>
      <c r="H301" s="43"/>
      <c r="I301" s="48" t="str">
        <f aca="false">IF(AND(A301="",F301="",G301=""),"",N(F301)+N(G301))</f>
        <v/>
      </c>
      <c r="J301" s="42" t="str">
        <f aca="false">IF(AND(ISNUMBER(D301),D301&gt;0,ISNUMBER(I301)),I301/D301,"")</f>
        <v/>
      </c>
      <c r="K301" s="42" t="str">
        <f aca="false">IF(AND(ISNUMBER(D301),D301&gt;0),N(E301)/D301,"")</f>
        <v/>
      </c>
      <c r="L301" s="46"/>
      <c r="M301" s="46"/>
    </row>
    <row r="302" customFormat="false" ht="15" hidden="false" customHeight="false" outlineLevel="0" collapsed="false">
      <c r="A302" s="40"/>
      <c r="B302" s="46"/>
      <c r="C302" s="47"/>
      <c r="D302" s="43"/>
      <c r="E302" s="43"/>
      <c r="F302" s="43"/>
      <c r="G302" s="43"/>
      <c r="H302" s="43"/>
      <c r="I302" s="48" t="str">
        <f aca="false">IF(AND(A302="",F302="",G302=""),"",N(F302)+N(G302))</f>
        <v/>
      </c>
      <c r="J302" s="42" t="str">
        <f aca="false">IF(AND(ISNUMBER(D302),D302&gt;0,ISNUMBER(I302)),I302/D302,"")</f>
        <v/>
      </c>
      <c r="K302" s="42" t="str">
        <f aca="false">IF(AND(ISNUMBER(D302),D302&gt;0),N(E302)/D302,"")</f>
        <v/>
      </c>
      <c r="L302" s="46"/>
      <c r="M302" s="46"/>
    </row>
    <row r="303" customFormat="false" ht="15" hidden="false" customHeight="false" outlineLevel="0" collapsed="false">
      <c r="A303" s="40"/>
      <c r="B303" s="46"/>
      <c r="C303" s="47"/>
      <c r="D303" s="43"/>
      <c r="E303" s="43"/>
      <c r="F303" s="43"/>
      <c r="G303" s="43"/>
      <c r="H303" s="43"/>
      <c r="I303" s="48" t="str">
        <f aca="false">IF(AND(A303="",F303="",G303=""),"",N(F303)+N(G303))</f>
        <v/>
      </c>
      <c r="J303" s="42" t="str">
        <f aca="false">IF(AND(ISNUMBER(D303),D303&gt;0,ISNUMBER(I303)),I303/D303,"")</f>
        <v/>
      </c>
      <c r="K303" s="42" t="str">
        <f aca="false">IF(AND(ISNUMBER(D303),D303&gt;0),N(E303)/D303,"")</f>
        <v/>
      </c>
      <c r="L303" s="46"/>
      <c r="M303" s="46"/>
    </row>
    <row r="304" customFormat="false" ht="15" hidden="false" customHeight="false" outlineLevel="0" collapsed="false">
      <c r="A304" s="40"/>
      <c r="B304" s="46"/>
      <c r="C304" s="47"/>
      <c r="D304" s="43"/>
      <c r="E304" s="43"/>
      <c r="F304" s="43"/>
      <c r="G304" s="43"/>
      <c r="H304" s="43"/>
      <c r="I304" s="48" t="str">
        <f aca="false">IF(AND(A304="",F304="",G304=""),"",N(F304)+N(G304))</f>
        <v/>
      </c>
      <c r="J304" s="42" t="str">
        <f aca="false">IF(AND(ISNUMBER(D304),D304&gt;0,ISNUMBER(I304)),I304/D304,"")</f>
        <v/>
      </c>
      <c r="K304" s="42" t="str">
        <f aca="false">IF(AND(ISNUMBER(D304),D304&gt;0),N(E304)/D304,"")</f>
        <v/>
      </c>
      <c r="L304" s="46"/>
      <c r="M304" s="46"/>
    </row>
    <row r="305" customFormat="false" ht="15" hidden="false" customHeight="false" outlineLevel="0" collapsed="false">
      <c r="A305" s="40"/>
      <c r="B305" s="46"/>
      <c r="C305" s="47"/>
      <c r="D305" s="43"/>
      <c r="E305" s="43"/>
      <c r="F305" s="43"/>
      <c r="G305" s="43"/>
      <c r="H305" s="43"/>
      <c r="I305" s="48" t="str">
        <f aca="false">IF(AND(A305="",F305="",G305=""),"",N(F305)+N(G305))</f>
        <v/>
      </c>
      <c r="J305" s="42" t="str">
        <f aca="false">IF(AND(ISNUMBER(D305),D305&gt;0,ISNUMBER(I305)),I305/D305,"")</f>
        <v/>
      </c>
      <c r="K305" s="42" t="str">
        <f aca="false">IF(AND(ISNUMBER(D305),D305&gt;0),N(E305)/D305,"")</f>
        <v/>
      </c>
      <c r="L305" s="46"/>
      <c r="M305" s="46"/>
    </row>
  </sheetData>
  <autoFilter ref="A5:M305"/>
  <dataValidations count="8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false" error="Please choose a value from the dropdown (list 'Phase' on the Lists sheet)." errorStyle="stop" errorTitle="Pick from the list" operator="between" showDropDown="false" showErrorMessage="true" showInputMessage="false" sqref="C6:C305" type="list">
      <formula1>Lists!$I$2:$I$40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D6:D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P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2"/>
    <col collapsed="false" customWidth="true" hidden="false" outlineLevel="0" max="3" min="3" style="1" width="34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5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21.75" hidden="false" customHeight="true" outlineLevel="0" collapsed="false">
      <c r="A1" s="22" t="s">
        <v>340</v>
      </c>
    </row>
    <row r="2" customFormat="false" ht="15" hidden="false" customHeight="true" outlineLevel="0" collapsed="false">
      <c r="A2" s="23" t="s">
        <v>341</v>
      </c>
    </row>
    <row r="3" customFormat="false" ht="15" hidden="false" customHeight="true" outlineLevel="0" collapsed="false">
      <c r="A3" s="35" t="s">
        <v>342</v>
      </c>
    </row>
    <row r="5" customFormat="false" ht="43.5" hidden="false" customHeight="true" outlineLevel="0" collapsed="false">
      <c r="A5" s="39" t="s">
        <v>343</v>
      </c>
      <c r="B5" s="39" t="s">
        <v>344</v>
      </c>
      <c r="C5" s="39" t="s">
        <v>281</v>
      </c>
      <c r="D5" s="39" t="s">
        <v>345</v>
      </c>
      <c r="E5" s="39" t="s">
        <v>346</v>
      </c>
      <c r="F5" s="39" t="s">
        <v>347</v>
      </c>
      <c r="G5" s="39" t="s">
        <v>348</v>
      </c>
      <c r="H5" s="39" t="s">
        <v>349</v>
      </c>
      <c r="I5" s="39" t="s">
        <v>350</v>
      </c>
      <c r="J5" s="39" t="s">
        <v>351</v>
      </c>
      <c r="K5" s="39" t="s">
        <v>352</v>
      </c>
      <c r="L5" s="39" t="s">
        <v>353</v>
      </c>
      <c r="M5" s="39" t="s">
        <v>354</v>
      </c>
      <c r="N5" s="39" t="s">
        <v>355</v>
      </c>
      <c r="O5" s="39" t="s">
        <v>356</v>
      </c>
      <c r="P5" s="39" t="s">
        <v>262</v>
      </c>
    </row>
    <row r="6" customFormat="false" ht="15" hidden="false" customHeight="false" outlineLevel="0" collapsed="false">
      <c r="A6" s="47" t="s">
        <v>357</v>
      </c>
      <c r="B6" s="46" t="s">
        <v>358</v>
      </c>
      <c r="C6" s="46" t="s">
        <v>292</v>
      </c>
      <c r="D6" s="47" t="s">
        <v>298</v>
      </c>
      <c r="E6" s="47" t="s">
        <v>359</v>
      </c>
      <c r="F6" s="47" t="s">
        <v>360</v>
      </c>
      <c r="G6" s="40" t="n">
        <v>46239</v>
      </c>
      <c r="H6" s="40" t="n">
        <v>46240</v>
      </c>
      <c r="I6" s="47" t="s">
        <v>361</v>
      </c>
      <c r="J6" s="47" t="s">
        <v>362</v>
      </c>
      <c r="K6" s="47" t="s">
        <v>363</v>
      </c>
      <c r="L6" s="43" t="n">
        <v>0</v>
      </c>
      <c r="M6" s="46" t="s">
        <v>364</v>
      </c>
      <c r="N6" s="48" t="n">
        <f aca="true">IF(OR(A6="",G6=""),"",MAX(1,NETWORKDAYS(G6,IF(H6="",TODAY(),H6),Bank_Holidays!$A$6:$A$60)))</f>
        <v>2</v>
      </c>
      <c r="O6" s="49" t="str">
        <f aca="false">IF(N6="","",IF(N6&lt;=2,"0-2 Days",IF(N6&lt;=5,"3-5 Days",IF(N6&lt;=10,"6-10 Days","&gt;10 Days"))))</f>
        <v>0-2 Days</v>
      </c>
      <c r="P6" s="46"/>
    </row>
    <row r="7" customFormat="false" ht="15" hidden="false" customHeight="false" outlineLevel="0" collapsed="false">
      <c r="A7" s="47" t="s">
        <v>365</v>
      </c>
      <c r="B7" s="46" t="s">
        <v>366</v>
      </c>
      <c r="C7" s="46" t="s">
        <v>292</v>
      </c>
      <c r="D7" s="47" t="s">
        <v>298</v>
      </c>
      <c r="E7" s="47" t="s">
        <v>367</v>
      </c>
      <c r="F7" s="47" t="s">
        <v>368</v>
      </c>
      <c r="G7" s="40" t="n">
        <v>46247</v>
      </c>
      <c r="H7" s="40" t="n">
        <v>46247</v>
      </c>
      <c r="I7" s="47" t="s">
        <v>361</v>
      </c>
      <c r="J7" s="47" t="s">
        <v>362</v>
      </c>
      <c r="K7" s="47" t="s">
        <v>369</v>
      </c>
      <c r="L7" s="43" t="n">
        <v>0</v>
      </c>
      <c r="M7" s="46" t="s">
        <v>364</v>
      </c>
      <c r="N7" s="48" t="n">
        <f aca="true">IF(OR(A7="",G7=""),"",MAX(1,NETWORKDAYS(G7,IF(H7="",TODAY(),H7),Bank_Holidays!$A$6:$A$60)))</f>
        <v>1</v>
      </c>
      <c r="O7" s="49" t="str">
        <f aca="false">IF(N7="","",IF(N7&lt;=2,"0-2 Days",IF(N7&lt;=5,"3-5 Days",IF(N7&lt;=10,"6-10 Days","&gt;10 Days"))))</f>
        <v>0-2 Days</v>
      </c>
      <c r="P7" s="46"/>
    </row>
    <row r="8" customFormat="false" ht="15" hidden="false" customHeight="false" outlineLevel="0" collapsed="false">
      <c r="A8" s="47" t="s">
        <v>370</v>
      </c>
      <c r="B8" s="46" t="s">
        <v>371</v>
      </c>
      <c r="C8" s="46" t="s">
        <v>292</v>
      </c>
      <c r="D8" s="47" t="s">
        <v>300</v>
      </c>
      <c r="E8" s="47" t="s">
        <v>359</v>
      </c>
      <c r="F8" s="47" t="s">
        <v>372</v>
      </c>
      <c r="G8" s="40" t="n">
        <v>46253</v>
      </c>
      <c r="H8" s="40" t="n">
        <v>46255</v>
      </c>
      <c r="I8" s="47" t="s">
        <v>361</v>
      </c>
      <c r="J8" s="47" t="s">
        <v>362</v>
      </c>
      <c r="K8" s="47" t="s">
        <v>373</v>
      </c>
      <c r="L8" s="43" t="n">
        <v>0</v>
      </c>
      <c r="M8" s="46" t="s">
        <v>364</v>
      </c>
      <c r="N8" s="48" t="n">
        <f aca="true">IF(OR(A8="",G8=""),"",MAX(1,NETWORKDAYS(G8,IF(H8="",TODAY(),H8),Bank_Holidays!$A$6:$A$60)))</f>
        <v>3</v>
      </c>
      <c r="O8" s="49" t="str">
        <f aca="false">IF(N8="","",IF(N8&lt;=2,"0-2 Days",IF(N8&lt;=5,"3-5 Days",IF(N8&lt;=10,"6-10 Days","&gt;10 Days"))))</f>
        <v>3-5 Days</v>
      </c>
      <c r="P8" s="46"/>
    </row>
    <row r="9" customFormat="false" ht="15" hidden="false" customHeight="false" outlineLevel="0" collapsed="false">
      <c r="A9" s="47" t="s">
        <v>374</v>
      </c>
      <c r="B9" s="46" t="s">
        <v>375</v>
      </c>
      <c r="C9" s="46" t="s">
        <v>292</v>
      </c>
      <c r="D9" s="47" t="s">
        <v>300</v>
      </c>
      <c r="E9" s="47" t="s">
        <v>367</v>
      </c>
      <c r="F9" s="47" t="s">
        <v>376</v>
      </c>
      <c r="G9" s="40" t="n">
        <v>46259</v>
      </c>
      <c r="H9" s="40" t="n">
        <v>46262</v>
      </c>
      <c r="I9" s="47" t="s">
        <v>377</v>
      </c>
      <c r="J9" s="47" t="s">
        <v>362</v>
      </c>
      <c r="K9" s="47" t="s">
        <v>378</v>
      </c>
      <c r="L9" s="43" t="n">
        <v>0</v>
      </c>
      <c r="M9" s="46" t="s">
        <v>364</v>
      </c>
      <c r="N9" s="48" t="n">
        <f aca="true">IF(OR(A9="",G9=""),"",MAX(1,NETWORKDAYS(G9,IF(H9="",TODAY(),H9),Bank_Holidays!$A$6:$A$60)))</f>
        <v>4</v>
      </c>
      <c r="O9" s="49" t="str">
        <f aca="false">IF(N9="","",IF(N9&lt;=2,"0-2 Days",IF(N9&lt;=5,"3-5 Days",IF(N9&lt;=10,"6-10 Days","&gt;10 Days"))))</f>
        <v>3-5 Days</v>
      </c>
      <c r="P9" s="46"/>
    </row>
    <row r="10" customFormat="false" ht="15" hidden="false" customHeight="false" outlineLevel="0" collapsed="false">
      <c r="A10" s="47" t="s">
        <v>379</v>
      </c>
      <c r="B10" s="46" t="s">
        <v>380</v>
      </c>
      <c r="C10" s="46" t="s">
        <v>309</v>
      </c>
      <c r="D10" s="47" t="s">
        <v>300</v>
      </c>
      <c r="E10" s="47" t="s">
        <v>381</v>
      </c>
      <c r="F10" s="47" t="s">
        <v>360</v>
      </c>
      <c r="G10" s="40" t="n">
        <v>46261</v>
      </c>
      <c r="H10" s="40" t="n">
        <v>46262</v>
      </c>
      <c r="I10" s="47" t="s">
        <v>361</v>
      </c>
      <c r="J10" s="47" t="s">
        <v>362</v>
      </c>
      <c r="K10" s="47" t="s">
        <v>382</v>
      </c>
      <c r="L10" s="43" t="n">
        <v>2</v>
      </c>
      <c r="M10" s="46" t="s">
        <v>364</v>
      </c>
      <c r="N10" s="48" t="n">
        <f aca="true">IF(OR(A10="",G10=""),"",MAX(1,NETWORKDAYS(G10,IF(H10="",TODAY(),H10),Bank_Holidays!$A$6:$A$60)))</f>
        <v>2</v>
      </c>
      <c r="O10" s="49" t="str">
        <f aca="false">IF(N10="","",IF(N10&lt;=2,"0-2 Days",IF(N10&lt;=5,"3-5 Days",IF(N10&lt;=10,"6-10 Days","&gt;10 Days"))))</f>
        <v>0-2 Days</v>
      </c>
      <c r="P10" s="46"/>
    </row>
    <row r="11" customFormat="false" ht="15" hidden="false" customHeight="false" outlineLevel="0" collapsed="false">
      <c r="A11" s="47" t="s">
        <v>383</v>
      </c>
      <c r="B11" s="46" t="s">
        <v>384</v>
      </c>
      <c r="C11" s="46" t="s">
        <v>309</v>
      </c>
      <c r="D11" s="47" t="s">
        <v>300</v>
      </c>
      <c r="E11" s="47" t="s">
        <v>359</v>
      </c>
      <c r="F11" s="47" t="s">
        <v>360</v>
      </c>
      <c r="G11" s="40" t="n">
        <v>46267</v>
      </c>
      <c r="H11" s="40" t="n">
        <v>46275</v>
      </c>
      <c r="I11" s="47" t="s">
        <v>361</v>
      </c>
      <c r="J11" s="47" t="s">
        <v>362</v>
      </c>
      <c r="K11" s="47" t="s">
        <v>385</v>
      </c>
      <c r="L11" s="43" t="n">
        <v>1</v>
      </c>
      <c r="M11" s="46" t="s">
        <v>364</v>
      </c>
      <c r="N11" s="48" t="n">
        <f aca="true">IF(OR(A11="",G11=""),"",MAX(1,NETWORKDAYS(G11,IF(H11="",TODAY(),H11),Bank_Holidays!$A$6:$A$60)))</f>
        <v>7</v>
      </c>
      <c r="O11" s="49" t="str">
        <f aca="false">IF(N11="","",IF(N11&lt;=2,"0-2 Days",IF(N11&lt;=5,"3-5 Days",IF(N11&lt;=10,"6-10 Days","&gt;10 Days"))))</f>
        <v>6-10 Days</v>
      </c>
      <c r="P11" s="46"/>
    </row>
    <row r="12" customFormat="false" ht="15" hidden="false" customHeight="false" outlineLevel="0" collapsed="false">
      <c r="A12" s="47" t="s">
        <v>386</v>
      </c>
      <c r="B12" s="46" t="s">
        <v>387</v>
      </c>
      <c r="C12" s="46" t="s">
        <v>292</v>
      </c>
      <c r="D12" s="47" t="s">
        <v>300</v>
      </c>
      <c r="E12" s="47" t="s">
        <v>359</v>
      </c>
      <c r="F12" s="47" t="s">
        <v>372</v>
      </c>
      <c r="G12" s="40" t="n">
        <v>46275</v>
      </c>
      <c r="H12" s="40" t="n">
        <v>46276</v>
      </c>
      <c r="I12" s="47" t="s">
        <v>361</v>
      </c>
      <c r="J12" s="47" t="s">
        <v>362</v>
      </c>
      <c r="K12" s="47" t="s">
        <v>363</v>
      </c>
      <c r="L12" s="43" t="n">
        <v>2</v>
      </c>
      <c r="M12" s="46" t="s">
        <v>364</v>
      </c>
      <c r="N12" s="48" t="n">
        <f aca="true">IF(OR(A12="",G12=""),"",MAX(1,NETWORKDAYS(G12,IF(H12="",TODAY(),H12),Bank_Holidays!$A$6:$A$60)))</f>
        <v>2</v>
      </c>
      <c r="O12" s="49" t="str">
        <f aca="false">IF(N12="","",IF(N12&lt;=2,"0-2 Days",IF(N12&lt;=5,"3-5 Days",IF(N12&lt;=10,"6-10 Days","&gt;10 Days"))))</f>
        <v>0-2 Days</v>
      </c>
      <c r="P12" s="46"/>
    </row>
    <row r="13" customFormat="false" ht="15" hidden="false" customHeight="false" outlineLevel="0" collapsed="false">
      <c r="A13" s="47" t="s">
        <v>388</v>
      </c>
      <c r="B13" s="46" t="s">
        <v>389</v>
      </c>
      <c r="C13" s="46" t="s">
        <v>333</v>
      </c>
      <c r="D13" s="47" t="s">
        <v>300</v>
      </c>
      <c r="E13" s="47" t="s">
        <v>367</v>
      </c>
      <c r="F13" s="47" t="s">
        <v>376</v>
      </c>
      <c r="G13" s="40" t="n">
        <v>46287</v>
      </c>
      <c r="H13" s="40" t="n">
        <v>46289</v>
      </c>
      <c r="I13" s="47" t="s">
        <v>377</v>
      </c>
      <c r="J13" s="47" t="s">
        <v>362</v>
      </c>
      <c r="K13" s="47" t="s">
        <v>369</v>
      </c>
      <c r="L13" s="43" t="n">
        <v>0</v>
      </c>
      <c r="M13" s="46" t="s">
        <v>364</v>
      </c>
      <c r="N13" s="48" t="n">
        <f aca="true">IF(OR(A13="",G13=""),"",MAX(1,NETWORKDAYS(G13,IF(H13="",TODAY(),H13),Bank_Holidays!$A$6:$A$60)))</f>
        <v>3</v>
      </c>
      <c r="O13" s="49" t="str">
        <f aca="false">IF(N13="","",IF(N13&lt;=2,"0-2 Days",IF(N13&lt;=5,"3-5 Days",IF(N13&lt;=10,"6-10 Days","&gt;10 Days"))))</f>
        <v>3-5 Days</v>
      </c>
      <c r="P13" s="46"/>
    </row>
    <row r="14" customFormat="false" ht="15" hidden="false" customHeight="false" outlineLevel="0" collapsed="false">
      <c r="A14" s="47" t="s">
        <v>390</v>
      </c>
      <c r="B14" s="46" t="s">
        <v>391</v>
      </c>
      <c r="C14" s="46" t="s">
        <v>322</v>
      </c>
      <c r="D14" s="47" t="s">
        <v>300</v>
      </c>
      <c r="E14" s="47" t="s">
        <v>367</v>
      </c>
      <c r="F14" s="47" t="s">
        <v>368</v>
      </c>
      <c r="G14" s="40" t="n">
        <v>46296</v>
      </c>
      <c r="H14" s="40"/>
      <c r="I14" s="47" t="s">
        <v>392</v>
      </c>
      <c r="J14" s="47" t="s">
        <v>362</v>
      </c>
      <c r="K14" s="47" t="s">
        <v>373</v>
      </c>
      <c r="L14" s="43" t="n">
        <v>3</v>
      </c>
      <c r="M14" s="46" t="s">
        <v>393</v>
      </c>
      <c r="N14" s="48" t="n">
        <f aca="true">IF(OR(A14="",G14=""),"",MAX(1,NETWORKDAYS(G14,IF(H14="",TODAY(),H14),Bank_Holidays!$A$6:$A$60)))</f>
        <v>2</v>
      </c>
      <c r="O14" s="49" t="str">
        <f aca="false">IF(N14="","",IF(N14&lt;=2,"0-2 Days",IF(N14&lt;=5,"3-5 Days",IF(N14&lt;=10,"6-10 Days","&gt;10 Days"))))</f>
        <v>0-2 Days</v>
      </c>
      <c r="P14" s="46"/>
    </row>
    <row r="15" customFormat="false" ht="15" hidden="false" customHeight="false" outlineLevel="0" collapsed="false">
      <c r="A15" s="47"/>
      <c r="B15" s="46"/>
      <c r="C15" s="46"/>
      <c r="D15" s="47"/>
      <c r="E15" s="47"/>
      <c r="F15" s="47"/>
      <c r="G15" s="40"/>
      <c r="H15" s="40"/>
      <c r="I15" s="47"/>
      <c r="J15" s="47"/>
      <c r="K15" s="47"/>
      <c r="L15" s="43"/>
      <c r="M15" s="46"/>
      <c r="N15" s="48" t="str">
        <f aca="true">IF(OR(A15="",G15=""),"",MAX(1,NETWORKDAYS(G15,IF(H15="",TODAY(),H15),Bank_Holidays!$A$6:$A$60)))</f>
        <v/>
      </c>
      <c r="O15" s="49" t="str">
        <f aca="false">IF(N15="","",IF(N15&lt;=2,"0-2 Days",IF(N15&lt;=5,"3-5 Days",IF(N15&lt;=10,"6-10 Days","&gt;10 Days"))))</f>
        <v/>
      </c>
      <c r="P15" s="46"/>
    </row>
    <row r="16" customFormat="false" ht="15" hidden="false" customHeight="false" outlineLevel="0" collapsed="false">
      <c r="A16" s="47"/>
      <c r="B16" s="46"/>
      <c r="C16" s="46"/>
      <c r="D16" s="47"/>
      <c r="E16" s="47"/>
      <c r="F16" s="47"/>
      <c r="G16" s="40"/>
      <c r="H16" s="40"/>
      <c r="I16" s="47"/>
      <c r="J16" s="47"/>
      <c r="K16" s="47"/>
      <c r="L16" s="43"/>
      <c r="M16" s="46"/>
      <c r="N16" s="48" t="str">
        <f aca="true">IF(OR(A16="",G16=""),"",MAX(1,NETWORKDAYS(G16,IF(H16="",TODAY(),H16),Bank_Holidays!$A$6:$A$60)))</f>
        <v/>
      </c>
      <c r="O16" s="49" t="str">
        <f aca="false">IF(N16="","",IF(N16&lt;=2,"0-2 Days",IF(N16&lt;=5,"3-5 Days",IF(N16&lt;=10,"6-10 Days","&gt;10 Days"))))</f>
        <v/>
      </c>
      <c r="P16" s="46"/>
    </row>
    <row r="17" customFormat="false" ht="15" hidden="false" customHeight="false" outlineLevel="0" collapsed="false">
      <c r="A17" s="47"/>
      <c r="B17" s="46"/>
      <c r="C17" s="46"/>
      <c r="D17" s="47"/>
      <c r="E17" s="47"/>
      <c r="F17" s="47"/>
      <c r="G17" s="40"/>
      <c r="H17" s="40"/>
      <c r="I17" s="47"/>
      <c r="J17" s="47"/>
      <c r="K17" s="47"/>
      <c r="L17" s="43"/>
      <c r="M17" s="46"/>
      <c r="N17" s="48" t="str">
        <f aca="true">IF(OR(A17="",G17=""),"",MAX(1,NETWORKDAYS(G17,IF(H17="",TODAY(),H17),Bank_Holidays!$A$6:$A$60)))</f>
        <v/>
      </c>
      <c r="O17" s="49" t="str">
        <f aca="false">IF(N17="","",IF(N17&lt;=2,"0-2 Days",IF(N17&lt;=5,"3-5 Days",IF(N17&lt;=10,"6-10 Days","&gt;10 Days"))))</f>
        <v/>
      </c>
      <c r="P17" s="46"/>
    </row>
    <row r="18" customFormat="false" ht="15" hidden="false" customHeight="false" outlineLevel="0" collapsed="false">
      <c r="A18" s="47"/>
      <c r="B18" s="46"/>
      <c r="C18" s="46"/>
      <c r="D18" s="47"/>
      <c r="E18" s="47"/>
      <c r="F18" s="47"/>
      <c r="G18" s="40"/>
      <c r="H18" s="40"/>
      <c r="I18" s="47"/>
      <c r="J18" s="47"/>
      <c r="K18" s="47"/>
      <c r="L18" s="43"/>
      <c r="M18" s="46"/>
      <c r="N18" s="48" t="str">
        <f aca="true">IF(OR(A18="",G18=""),"",MAX(1,NETWORKDAYS(G18,IF(H18="",TODAY(),H18),Bank_Holidays!$A$6:$A$60)))</f>
        <v/>
      </c>
      <c r="O18" s="49" t="str">
        <f aca="false">IF(N18="","",IF(N18&lt;=2,"0-2 Days",IF(N18&lt;=5,"3-5 Days",IF(N18&lt;=10,"6-10 Days","&gt;10 Days"))))</f>
        <v/>
      </c>
      <c r="P18" s="46"/>
    </row>
    <row r="19" customFormat="false" ht="15" hidden="false" customHeight="false" outlineLevel="0" collapsed="false">
      <c r="A19" s="47"/>
      <c r="B19" s="46"/>
      <c r="C19" s="46"/>
      <c r="D19" s="47"/>
      <c r="E19" s="47"/>
      <c r="F19" s="47"/>
      <c r="G19" s="40"/>
      <c r="H19" s="40"/>
      <c r="I19" s="47"/>
      <c r="J19" s="47"/>
      <c r="K19" s="47"/>
      <c r="L19" s="43"/>
      <c r="M19" s="46"/>
      <c r="N19" s="48" t="str">
        <f aca="true">IF(OR(A19="",G19=""),"",MAX(1,NETWORKDAYS(G19,IF(H19="",TODAY(),H19),Bank_Holidays!$A$6:$A$60)))</f>
        <v/>
      </c>
      <c r="O19" s="49" t="str">
        <f aca="false">IF(N19="","",IF(N19&lt;=2,"0-2 Days",IF(N19&lt;=5,"3-5 Days",IF(N19&lt;=10,"6-10 Days","&gt;10 Days"))))</f>
        <v/>
      </c>
      <c r="P19" s="46"/>
    </row>
    <row r="20" customFormat="false" ht="15" hidden="false" customHeight="false" outlineLevel="0" collapsed="false">
      <c r="A20" s="47"/>
      <c r="B20" s="46"/>
      <c r="C20" s="46"/>
      <c r="D20" s="47"/>
      <c r="E20" s="47"/>
      <c r="F20" s="47"/>
      <c r="G20" s="40"/>
      <c r="H20" s="40"/>
      <c r="I20" s="47"/>
      <c r="J20" s="47"/>
      <c r="K20" s="47"/>
      <c r="L20" s="43"/>
      <c r="M20" s="46"/>
      <c r="N20" s="48" t="str">
        <f aca="true">IF(OR(A20="",G20=""),"",MAX(1,NETWORKDAYS(G20,IF(H20="",TODAY(),H20),Bank_Holidays!$A$6:$A$60)))</f>
        <v/>
      </c>
      <c r="O20" s="49" t="str">
        <f aca="false">IF(N20="","",IF(N20&lt;=2,"0-2 Days",IF(N20&lt;=5,"3-5 Days",IF(N20&lt;=10,"6-10 Days","&gt;10 Days"))))</f>
        <v/>
      </c>
      <c r="P20" s="46"/>
    </row>
    <row r="21" customFormat="false" ht="15" hidden="false" customHeight="false" outlineLevel="0" collapsed="false">
      <c r="A21" s="47"/>
      <c r="B21" s="46"/>
      <c r="C21" s="46"/>
      <c r="D21" s="47"/>
      <c r="E21" s="47"/>
      <c r="F21" s="47"/>
      <c r="G21" s="40"/>
      <c r="H21" s="40"/>
      <c r="I21" s="47"/>
      <c r="J21" s="47"/>
      <c r="K21" s="47"/>
      <c r="L21" s="43"/>
      <c r="M21" s="46"/>
      <c r="N21" s="48" t="str">
        <f aca="true">IF(OR(A21="",G21=""),"",MAX(1,NETWORKDAYS(G21,IF(H21="",TODAY(),H21),Bank_Holidays!$A$6:$A$60)))</f>
        <v/>
      </c>
      <c r="O21" s="49" t="str">
        <f aca="false">IF(N21="","",IF(N21&lt;=2,"0-2 Days",IF(N21&lt;=5,"3-5 Days",IF(N21&lt;=10,"6-10 Days","&gt;10 Days"))))</f>
        <v/>
      </c>
      <c r="P21" s="46"/>
    </row>
    <row r="22" customFormat="false" ht="15" hidden="false" customHeight="false" outlineLevel="0" collapsed="false">
      <c r="A22" s="47"/>
      <c r="B22" s="46"/>
      <c r="C22" s="46"/>
      <c r="D22" s="47"/>
      <c r="E22" s="47"/>
      <c r="F22" s="47"/>
      <c r="G22" s="40"/>
      <c r="H22" s="40"/>
      <c r="I22" s="47"/>
      <c r="J22" s="47"/>
      <c r="K22" s="47"/>
      <c r="L22" s="43"/>
      <c r="M22" s="46"/>
      <c r="N22" s="48" t="str">
        <f aca="true">IF(OR(A22="",G22=""),"",MAX(1,NETWORKDAYS(G22,IF(H22="",TODAY(),H22),Bank_Holidays!$A$6:$A$60)))</f>
        <v/>
      </c>
      <c r="O22" s="49" t="str">
        <f aca="false">IF(N22="","",IF(N22&lt;=2,"0-2 Days",IF(N22&lt;=5,"3-5 Days",IF(N22&lt;=10,"6-10 Days","&gt;10 Days"))))</f>
        <v/>
      </c>
      <c r="P22" s="46"/>
    </row>
    <row r="23" customFormat="false" ht="15" hidden="false" customHeight="false" outlineLevel="0" collapsed="false">
      <c r="A23" s="47"/>
      <c r="B23" s="46"/>
      <c r="C23" s="46"/>
      <c r="D23" s="47"/>
      <c r="E23" s="47"/>
      <c r="F23" s="47"/>
      <c r="G23" s="40"/>
      <c r="H23" s="40"/>
      <c r="I23" s="47"/>
      <c r="J23" s="47"/>
      <c r="K23" s="47"/>
      <c r="L23" s="43"/>
      <c r="M23" s="46"/>
      <c r="N23" s="48" t="str">
        <f aca="true">IF(OR(A23="",G23=""),"",MAX(1,NETWORKDAYS(G23,IF(H23="",TODAY(),H23),Bank_Holidays!$A$6:$A$60)))</f>
        <v/>
      </c>
      <c r="O23" s="49" t="str">
        <f aca="false">IF(N23="","",IF(N23&lt;=2,"0-2 Days",IF(N23&lt;=5,"3-5 Days",IF(N23&lt;=10,"6-10 Days","&gt;10 Days"))))</f>
        <v/>
      </c>
      <c r="P23" s="46"/>
    </row>
    <row r="24" customFormat="false" ht="15" hidden="false" customHeight="false" outlineLevel="0" collapsed="false">
      <c r="A24" s="47"/>
      <c r="B24" s="46"/>
      <c r="C24" s="46"/>
      <c r="D24" s="47"/>
      <c r="E24" s="47"/>
      <c r="F24" s="47"/>
      <c r="G24" s="40"/>
      <c r="H24" s="40"/>
      <c r="I24" s="47"/>
      <c r="J24" s="47"/>
      <c r="K24" s="47"/>
      <c r="L24" s="43"/>
      <c r="M24" s="46"/>
      <c r="N24" s="48" t="str">
        <f aca="true">IF(OR(A24="",G24=""),"",MAX(1,NETWORKDAYS(G24,IF(H24="",TODAY(),H24),Bank_Holidays!$A$6:$A$60)))</f>
        <v/>
      </c>
      <c r="O24" s="49" t="str">
        <f aca="false">IF(N24="","",IF(N24&lt;=2,"0-2 Days",IF(N24&lt;=5,"3-5 Days",IF(N24&lt;=10,"6-10 Days","&gt;10 Days"))))</f>
        <v/>
      </c>
      <c r="P24" s="46"/>
    </row>
    <row r="25" customFormat="false" ht="15" hidden="false" customHeight="false" outlineLevel="0" collapsed="false">
      <c r="A25" s="47"/>
      <c r="B25" s="46"/>
      <c r="C25" s="46"/>
      <c r="D25" s="47"/>
      <c r="E25" s="47"/>
      <c r="F25" s="47"/>
      <c r="G25" s="40"/>
      <c r="H25" s="40"/>
      <c r="I25" s="47"/>
      <c r="J25" s="47"/>
      <c r="K25" s="47"/>
      <c r="L25" s="43"/>
      <c r="M25" s="46"/>
      <c r="N25" s="48" t="str">
        <f aca="true">IF(OR(A25="",G25=""),"",MAX(1,NETWORKDAYS(G25,IF(H25="",TODAY(),H25),Bank_Holidays!$A$6:$A$60)))</f>
        <v/>
      </c>
      <c r="O25" s="49" t="str">
        <f aca="false">IF(N25="","",IF(N25&lt;=2,"0-2 Days",IF(N25&lt;=5,"3-5 Days",IF(N25&lt;=10,"6-10 Days","&gt;10 Days"))))</f>
        <v/>
      </c>
      <c r="P25" s="46"/>
    </row>
    <row r="26" customFormat="false" ht="15" hidden="false" customHeight="false" outlineLevel="0" collapsed="false">
      <c r="A26" s="47"/>
      <c r="B26" s="46"/>
      <c r="C26" s="46"/>
      <c r="D26" s="47"/>
      <c r="E26" s="47"/>
      <c r="F26" s="47"/>
      <c r="G26" s="40"/>
      <c r="H26" s="40"/>
      <c r="I26" s="47"/>
      <c r="J26" s="47"/>
      <c r="K26" s="47"/>
      <c r="L26" s="43"/>
      <c r="M26" s="46"/>
      <c r="N26" s="48" t="str">
        <f aca="true">IF(OR(A26="",G26=""),"",MAX(1,NETWORKDAYS(G26,IF(H26="",TODAY(),H26),Bank_Holidays!$A$6:$A$60)))</f>
        <v/>
      </c>
      <c r="O26" s="49" t="str">
        <f aca="false">IF(N26="","",IF(N26&lt;=2,"0-2 Days",IF(N26&lt;=5,"3-5 Days",IF(N26&lt;=10,"6-10 Days","&gt;10 Days"))))</f>
        <v/>
      </c>
      <c r="P26" s="46"/>
    </row>
    <row r="27" customFormat="false" ht="15" hidden="false" customHeight="false" outlineLevel="0" collapsed="false">
      <c r="A27" s="47"/>
      <c r="B27" s="46"/>
      <c r="C27" s="46"/>
      <c r="D27" s="47"/>
      <c r="E27" s="47"/>
      <c r="F27" s="47"/>
      <c r="G27" s="40"/>
      <c r="H27" s="40"/>
      <c r="I27" s="47"/>
      <c r="J27" s="47"/>
      <c r="K27" s="47"/>
      <c r="L27" s="43"/>
      <c r="M27" s="46"/>
      <c r="N27" s="48" t="str">
        <f aca="true">IF(OR(A27="",G27=""),"",MAX(1,NETWORKDAYS(G27,IF(H27="",TODAY(),H27),Bank_Holidays!$A$6:$A$60)))</f>
        <v/>
      </c>
      <c r="O27" s="49" t="str">
        <f aca="false">IF(N27="","",IF(N27&lt;=2,"0-2 Days",IF(N27&lt;=5,"3-5 Days",IF(N27&lt;=10,"6-10 Days","&gt;10 Days"))))</f>
        <v/>
      </c>
      <c r="P27" s="46"/>
    </row>
    <row r="28" customFormat="false" ht="15" hidden="false" customHeight="false" outlineLevel="0" collapsed="false">
      <c r="A28" s="47"/>
      <c r="B28" s="46"/>
      <c r="C28" s="46"/>
      <c r="D28" s="47"/>
      <c r="E28" s="47"/>
      <c r="F28" s="47"/>
      <c r="G28" s="40"/>
      <c r="H28" s="40"/>
      <c r="I28" s="47"/>
      <c r="J28" s="47"/>
      <c r="K28" s="47"/>
      <c r="L28" s="43"/>
      <c r="M28" s="46"/>
      <c r="N28" s="48" t="str">
        <f aca="true">IF(OR(A28="",G28=""),"",MAX(1,NETWORKDAYS(G28,IF(H28="",TODAY(),H28),Bank_Holidays!$A$6:$A$60)))</f>
        <v/>
      </c>
      <c r="O28" s="49" t="str">
        <f aca="false">IF(N28="","",IF(N28&lt;=2,"0-2 Days",IF(N28&lt;=5,"3-5 Days",IF(N28&lt;=10,"6-10 Days","&gt;10 Days"))))</f>
        <v/>
      </c>
      <c r="P28" s="46"/>
    </row>
    <row r="29" customFormat="false" ht="15" hidden="false" customHeight="false" outlineLevel="0" collapsed="false">
      <c r="A29" s="47"/>
      <c r="B29" s="46"/>
      <c r="C29" s="46"/>
      <c r="D29" s="47"/>
      <c r="E29" s="47"/>
      <c r="F29" s="47"/>
      <c r="G29" s="40"/>
      <c r="H29" s="40"/>
      <c r="I29" s="47"/>
      <c r="J29" s="47"/>
      <c r="K29" s="47"/>
      <c r="L29" s="43"/>
      <c r="M29" s="46"/>
      <c r="N29" s="48" t="str">
        <f aca="true">IF(OR(A29="",G29=""),"",MAX(1,NETWORKDAYS(G29,IF(H29="",TODAY(),H29),Bank_Holidays!$A$6:$A$60)))</f>
        <v/>
      </c>
      <c r="O29" s="49" t="str">
        <f aca="false">IF(N29="","",IF(N29&lt;=2,"0-2 Days",IF(N29&lt;=5,"3-5 Days",IF(N29&lt;=10,"6-10 Days","&gt;10 Days"))))</f>
        <v/>
      </c>
      <c r="P29" s="46"/>
    </row>
    <row r="30" customFormat="false" ht="15" hidden="false" customHeight="false" outlineLevel="0" collapsed="false">
      <c r="A30" s="47"/>
      <c r="B30" s="46"/>
      <c r="C30" s="46"/>
      <c r="D30" s="47"/>
      <c r="E30" s="47"/>
      <c r="F30" s="47"/>
      <c r="G30" s="40"/>
      <c r="H30" s="40"/>
      <c r="I30" s="47"/>
      <c r="J30" s="47"/>
      <c r="K30" s="47"/>
      <c r="L30" s="43"/>
      <c r="M30" s="46"/>
      <c r="N30" s="48" t="str">
        <f aca="true">IF(OR(A30="",G30=""),"",MAX(1,NETWORKDAYS(G30,IF(H30="",TODAY(),H30),Bank_Holidays!$A$6:$A$60)))</f>
        <v/>
      </c>
      <c r="O30" s="49" t="str">
        <f aca="false">IF(N30="","",IF(N30&lt;=2,"0-2 Days",IF(N30&lt;=5,"3-5 Days",IF(N30&lt;=10,"6-10 Days","&gt;10 Days"))))</f>
        <v/>
      </c>
      <c r="P30" s="46"/>
    </row>
    <row r="31" customFormat="false" ht="15" hidden="false" customHeight="false" outlineLevel="0" collapsed="false">
      <c r="A31" s="47"/>
      <c r="B31" s="46"/>
      <c r="C31" s="46"/>
      <c r="D31" s="47"/>
      <c r="E31" s="47"/>
      <c r="F31" s="47"/>
      <c r="G31" s="40"/>
      <c r="H31" s="40"/>
      <c r="I31" s="47"/>
      <c r="J31" s="47"/>
      <c r="K31" s="47"/>
      <c r="L31" s="43"/>
      <c r="M31" s="46"/>
      <c r="N31" s="48" t="str">
        <f aca="true">IF(OR(A31="",G31=""),"",MAX(1,NETWORKDAYS(G31,IF(H31="",TODAY(),H31),Bank_Holidays!$A$6:$A$60)))</f>
        <v/>
      </c>
      <c r="O31" s="49" t="str">
        <f aca="false">IF(N31="","",IF(N31&lt;=2,"0-2 Days",IF(N31&lt;=5,"3-5 Days",IF(N31&lt;=10,"6-10 Days","&gt;10 Days"))))</f>
        <v/>
      </c>
      <c r="P31" s="46"/>
    </row>
    <row r="32" customFormat="false" ht="15" hidden="false" customHeight="false" outlineLevel="0" collapsed="false">
      <c r="A32" s="47"/>
      <c r="B32" s="46"/>
      <c r="C32" s="46"/>
      <c r="D32" s="47"/>
      <c r="E32" s="47"/>
      <c r="F32" s="47"/>
      <c r="G32" s="40"/>
      <c r="H32" s="40"/>
      <c r="I32" s="47"/>
      <c r="J32" s="47"/>
      <c r="K32" s="47"/>
      <c r="L32" s="43"/>
      <c r="M32" s="46"/>
      <c r="N32" s="48" t="str">
        <f aca="true">IF(OR(A32="",G32=""),"",MAX(1,NETWORKDAYS(G32,IF(H32="",TODAY(),H32),Bank_Holidays!$A$6:$A$60)))</f>
        <v/>
      </c>
      <c r="O32" s="49" t="str">
        <f aca="false">IF(N32="","",IF(N32&lt;=2,"0-2 Days",IF(N32&lt;=5,"3-5 Days",IF(N32&lt;=10,"6-10 Days","&gt;10 Days"))))</f>
        <v/>
      </c>
      <c r="P32" s="46"/>
    </row>
    <row r="33" customFormat="false" ht="15" hidden="false" customHeight="false" outlineLevel="0" collapsed="false">
      <c r="A33" s="47"/>
      <c r="B33" s="46"/>
      <c r="C33" s="46"/>
      <c r="D33" s="47"/>
      <c r="E33" s="47"/>
      <c r="F33" s="47"/>
      <c r="G33" s="40"/>
      <c r="H33" s="40"/>
      <c r="I33" s="47"/>
      <c r="J33" s="47"/>
      <c r="K33" s="47"/>
      <c r="L33" s="43"/>
      <c r="M33" s="46"/>
      <c r="N33" s="48" t="str">
        <f aca="true">IF(OR(A33="",G33=""),"",MAX(1,NETWORKDAYS(G33,IF(H33="",TODAY(),H33),Bank_Holidays!$A$6:$A$60)))</f>
        <v/>
      </c>
      <c r="O33" s="49" t="str">
        <f aca="false">IF(N33="","",IF(N33&lt;=2,"0-2 Days",IF(N33&lt;=5,"3-5 Days",IF(N33&lt;=10,"6-10 Days","&gt;10 Days"))))</f>
        <v/>
      </c>
      <c r="P33" s="46"/>
    </row>
    <row r="34" customFormat="false" ht="15" hidden="false" customHeight="false" outlineLevel="0" collapsed="false">
      <c r="A34" s="47"/>
      <c r="B34" s="46"/>
      <c r="C34" s="46"/>
      <c r="D34" s="47"/>
      <c r="E34" s="47"/>
      <c r="F34" s="47"/>
      <c r="G34" s="40"/>
      <c r="H34" s="40"/>
      <c r="I34" s="47"/>
      <c r="J34" s="47"/>
      <c r="K34" s="47"/>
      <c r="L34" s="43"/>
      <c r="M34" s="46"/>
      <c r="N34" s="48" t="str">
        <f aca="true">IF(OR(A34="",G34=""),"",MAX(1,NETWORKDAYS(G34,IF(H34="",TODAY(),H34),Bank_Holidays!$A$6:$A$60)))</f>
        <v/>
      </c>
      <c r="O34" s="49" t="str">
        <f aca="false">IF(N34="","",IF(N34&lt;=2,"0-2 Days",IF(N34&lt;=5,"3-5 Days",IF(N34&lt;=10,"6-10 Days","&gt;10 Days"))))</f>
        <v/>
      </c>
      <c r="P34" s="46"/>
    </row>
    <row r="35" customFormat="false" ht="15" hidden="false" customHeight="false" outlineLevel="0" collapsed="false">
      <c r="A35" s="47"/>
      <c r="B35" s="46"/>
      <c r="C35" s="46"/>
      <c r="D35" s="47"/>
      <c r="E35" s="47"/>
      <c r="F35" s="47"/>
      <c r="G35" s="40"/>
      <c r="H35" s="40"/>
      <c r="I35" s="47"/>
      <c r="J35" s="47"/>
      <c r="K35" s="47"/>
      <c r="L35" s="43"/>
      <c r="M35" s="46"/>
      <c r="N35" s="48" t="str">
        <f aca="true">IF(OR(A35="",G35=""),"",MAX(1,NETWORKDAYS(G35,IF(H35="",TODAY(),H35),Bank_Holidays!$A$6:$A$60)))</f>
        <v/>
      </c>
      <c r="O35" s="49" t="str">
        <f aca="false">IF(N35="","",IF(N35&lt;=2,"0-2 Days",IF(N35&lt;=5,"3-5 Days",IF(N35&lt;=10,"6-10 Days","&gt;10 Days"))))</f>
        <v/>
      </c>
      <c r="P35" s="46"/>
    </row>
    <row r="36" customFormat="false" ht="15" hidden="false" customHeight="false" outlineLevel="0" collapsed="false">
      <c r="A36" s="47"/>
      <c r="B36" s="46"/>
      <c r="C36" s="46"/>
      <c r="D36" s="47"/>
      <c r="E36" s="47"/>
      <c r="F36" s="47"/>
      <c r="G36" s="40"/>
      <c r="H36" s="40"/>
      <c r="I36" s="47"/>
      <c r="J36" s="47"/>
      <c r="K36" s="47"/>
      <c r="L36" s="43"/>
      <c r="M36" s="46"/>
      <c r="N36" s="48" t="str">
        <f aca="true">IF(OR(A36="",G36=""),"",MAX(1,NETWORKDAYS(G36,IF(H36="",TODAY(),H36),Bank_Holidays!$A$6:$A$60)))</f>
        <v/>
      </c>
      <c r="O36" s="49" t="str">
        <f aca="false">IF(N36="","",IF(N36&lt;=2,"0-2 Days",IF(N36&lt;=5,"3-5 Days",IF(N36&lt;=10,"6-10 Days","&gt;10 Days"))))</f>
        <v/>
      </c>
      <c r="P36" s="46"/>
    </row>
    <row r="37" customFormat="false" ht="15" hidden="false" customHeight="false" outlineLevel="0" collapsed="false">
      <c r="A37" s="47"/>
      <c r="B37" s="46"/>
      <c r="C37" s="46"/>
      <c r="D37" s="47"/>
      <c r="E37" s="47"/>
      <c r="F37" s="47"/>
      <c r="G37" s="40"/>
      <c r="H37" s="40"/>
      <c r="I37" s="47"/>
      <c r="J37" s="47"/>
      <c r="K37" s="47"/>
      <c r="L37" s="43"/>
      <c r="M37" s="46"/>
      <c r="N37" s="48" t="str">
        <f aca="true">IF(OR(A37="",G37=""),"",MAX(1,NETWORKDAYS(G37,IF(H37="",TODAY(),H37),Bank_Holidays!$A$6:$A$60)))</f>
        <v/>
      </c>
      <c r="O37" s="49" t="str">
        <f aca="false">IF(N37="","",IF(N37&lt;=2,"0-2 Days",IF(N37&lt;=5,"3-5 Days",IF(N37&lt;=10,"6-10 Days","&gt;10 Days"))))</f>
        <v/>
      </c>
      <c r="P37" s="46"/>
    </row>
    <row r="38" customFormat="false" ht="15" hidden="false" customHeight="false" outlineLevel="0" collapsed="false">
      <c r="A38" s="47"/>
      <c r="B38" s="46"/>
      <c r="C38" s="46"/>
      <c r="D38" s="47"/>
      <c r="E38" s="47"/>
      <c r="F38" s="47"/>
      <c r="G38" s="40"/>
      <c r="H38" s="40"/>
      <c r="I38" s="47"/>
      <c r="J38" s="47"/>
      <c r="K38" s="47"/>
      <c r="L38" s="43"/>
      <c r="M38" s="46"/>
      <c r="N38" s="48" t="str">
        <f aca="true">IF(OR(A38="",G38=""),"",MAX(1,NETWORKDAYS(G38,IF(H38="",TODAY(),H38),Bank_Holidays!$A$6:$A$60)))</f>
        <v/>
      </c>
      <c r="O38" s="49" t="str">
        <f aca="false">IF(N38="","",IF(N38&lt;=2,"0-2 Days",IF(N38&lt;=5,"3-5 Days",IF(N38&lt;=10,"6-10 Days","&gt;10 Days"))))</f>
        <v/>
      </c>
      <c r="P38" s="46"/>
    </row>
    <row r="39" customFormat="false" ht="15" hidden="false" customHeight="false" outlineLevel="0" collapsed="false">
      <c r="A39" s="47"/>
      <c r="B39" s="46"/>
      <c r="C39" s="46"/>
      <c r="D39" s="47"/>
      <c r="E39" s="47"/>
      <c r="F39" s="47"/>
      <c r="G39" s="40"/>
      <c r="H39" s="40"/>
      <c r="I39" s="47"/>
      <c r="J39" s="47"/>
      <c r="K39" s="47"/>
      <c r="L39" s="43"/>
      <c r="M39" s="46"/>
      <c r="N39" s="48" t="str">
        <f aca="true">IF(OR(A39="",G39=""),"",MAX(1,NETWORKDAYS(G39,IF(H39="",TODAY(),H39),Bank_Holidays!$A$6:$A$60)))</f>
        <v/>
      </c>
      <c r="O39" s="49" t="str">
        <f aca="false">IF(N39="","",IF(N39&lt;=2,"0-2 Days",IF(N39&lt;=5,"3-5 Days",IF(N39&lt;=10,"6-10 Days","&gt;10 Days"))))</f>
        <v/>
      </c>
      <c r="P39" s="46"/>
    </row>
    <row r="40" customFormat="false" ht="15" hidden="false" customHeight="false" outlineLevel="0" collapsed="false">
      <c r="A40" s="47"/>
      <c r="B40" s="46"/>
      <c r="C40" s="46"/>
      <c r="D40" s="47"/>
      <c r="E40" s="47"/>
      <c r="F40" s="47"/>
      <c r="G40" s="40"/>
      <c r="H40" s="40"/>
      <c r="I40" s="47"/>
      <c r="J40" s="47"/>
      <c r="K40" s="47"/>
      <c r="L40" s="43"/>
      <c r="M40" s="46"/>
      <c r="N40" s="48" t="str">
        <f aca="true">IF(OR(A40="",G40=""),"",MAX(1,NETWORKDAYS(G40,IF(H40="",TODAY(),H40),Bank_Holidays!$A$6:$A$60)))</f>
        <v/>
      </c>
      <c r="O40" s="49" t="str">
        <f aca="false">IF(N40="","",IF(N40&lt;=2,"0-2 Days",IF(N40&lt;=5,"3-5 Days",IF(N40&lt;=10,"6-10 Days","&gt;10 Days"))))</f>
        <v/>
      </c>
      <c r="P40" s="46"/>
    </row>
    <row r="41" customFormat="false" ht="15" hidden="false" customHeight="false" outlineLevel="0" collapsed="false">
      <c r="A41" s="47"/>
      <c r="B41" s="46"/>
      <c r="C41" s="46"/>
      <c r="D41" s="47"/>
      <c r="E41" s="47"/>
      <c r="F41" s="47"/>
      <c r="G41" s="40"/>
      <c r="H41" s="40"/>
      <c r="I41" s="47"/>
      <c r="J41" s="47"/>
      <c r="K41" s="47"/>
      <c r="L41" s="43"/>
      <c r="M41" s="46"/>
      <c r="N41" s="48" t="str">
        <f aca="true">IF(OR(A41="",G41=""),"",MAX(1,NETWORKDAYS(G41,IF(H41="",TODAY(),H41),Bank_Holidays!$A$6:$A$60)))</f>
        <v/>
      </c>
      <c r="O41" s="49" t="str">
        <f aca="false">IF(N41="","",IF(N41&lt;=2,"0-2 Days",IF(N41&lt;=5,"3-5 Days",IF(N41&lt;=10,"6-10 Days","&gt;10 Days"))))</f>
        <v/>
      </c>
      <c r="P41" s="46"/>
    </row>
    <row r="42" customFormat="false" ht="15" hidden="false" customHeight="false" outlineLevel="0" collapsed="false">
      <c r="A42" s="47"/>
      <c r="B42" s="46"/>
      <c r="C42" s="46"/>
      <c r="D42" s="47"/>
      <c r="E42" s="47"/>
      <c r="F42" s="47"/>
      <c r="G42" s="40"/>
      <c r="H42" s="40"/>
      <c r="I42" s="47"/>
      <c r="J42" s="47"/>
      <c r="K42" s="47"/>
      <c r="L42" s="43"/>
      <c r="M42" s="46"/>
      <c r="N42" s="48" t="str">
        <f aca="true">IF(OR(A42="",G42=""),"",MAX(1,NETWORKDAYS(G42,IF(H42="",TODAY(),H42),Bank_Holidays!$A$6:$A$60)))</f>
        <v/>
      </c>
      <c r="O42" s="49" t="str">
        <f aca="false">IF(N42="","",IF(N42&lt;=2,"0-2 Days",IF(N42&lt;=5,"3-5 Days",IF(N42&lt;=10,"6-10 Days","&gt;10 Days"))))</f>
        <v/>
      </c>
      <c r="P42" s="46"/>
    </row>
    <row r="43" customFormat="false" ht="15" hidden="false" customHeight="false" outlineLevel="0" collapsed="false">
      <c r="A43" s="47"/>
      <c r="B43" s="46"/>
      <c r="C43" s="46"/>
      <c r="D43" s="47"/>
      <c r="E43" s="47"/>
      <c r="F43" s="47"/>
      <c r="G43" s="40"/>
      <c r="H43" s="40"/>
      <c r="I43" s="47"/>
      <c r="J43" s="47"/>
      <c r="K43" s="47"/>
      <c r="L43" s="43"/>
      <c r="M43" s="46"/>
      <c r="N43" s="48" t="str">
        <f aca="true">IF(OR(A43="",G43=""),"",MAX(1,NETWORKDAYS(G43,IF(H43="",TODAY(),H43),Bank_Holidays!$A$6:$A$60)))</f>
        <v/>
      </c>
      <c r="O43" s="49" t="str">
        <f aca="false">IF(N43="","",IF(N43&lt;=2,"0-2 Days",IF(N43&lt;=5,"3-5 Days",IF(N43&lt;=10,"6-10 Days","&gt;10 Days"))))</f>
        <v/>
      </c>
      <c r="P43" s="46"/>
    </row>
    <row r="44" customFormat="false" ht="15" hidden="false" customHeight="false" outlineLevel="0" collapsed="false">
      <c r="A44" s="47"/>
      <c r="B44" s="46"/>
      <c r="C44" s="46"/>
      <c r="D44" s="47"/>
      <c r="E44" s="47"/>
      <c r="F44" s="47"/>
      <c r="G44" s="40"/>
      <c r="H44" s="40"/>
      <c r="I44" s="47"/>
      <c r="J44" s="47"/>
      <c r="K44" s="47"/>
      <c r="L44" s="43"/>
      <c r="M44" s="46"/>
      <c r="N44" s="48" t="str">
        <f aca="true">IF(OR(A44="",G44=""),"",MAX(1,NETWORKDAYS(G44,IF(H44="",TODAY(),H44),Bank_Holidays!$A$6:$A$60)))</f>
        <v/>
      </c>
      <c r="O44" s="49" t="str">
        <f aca="false">IF(N44="","",IF(N44&lt;=2,"0-2 Days",IF(N44&lt;=5,"3-5 Days",IF(N44&lt;=10,"6-10 Days","&gt;10 Days"))))</f>
        <v/>
      </c>
      <c r="P44" s="46"/>
    </row>
    <row r="45" customFormat="false" ht="15" hidden="false" customHeight="false" outlineLevel="0" collapsed="false">
      <c r="A45" s="47"/>
      <c r="B45" s="46"/>
      <c r="C45" s="46"/>
      <c r="D45" s="47"/>
      <c r="E45" s="47"/>
      <c r="F45" s="47"/>
      <c r="G45" s="40"/>
      <c r="H45" s="40"/>
      <c r="I45" s="47"/>
      <c r="J45" s="47"/>
      <c r="K45" s="47"/>
      <c r="L45" s="43"/>
      <c r="M45" s="46"/>
      <c r="N45" s="48" t="str">
        <f aca="true">IF(OR(A45="",G45=""),"",MAX(1,NETWORKDAYS(G45,IF(H45="",TODAY(),H45),Bank_Holidays!$A$6:$A$60)))</f>
        <v/>
      </c>
      <c r="O45" s="49" t="str">
        <f aca="false">IF(N45="","",IF(N45&lt;=2,"0-2 Days",IF(N45&lt;=5,"3-5 Days",IF(N45&lt;=10,"6-10 Days","&gt;10 Days"))))</f>
        <v/>
      </c>
      <c r="P45" s="46"/>
    </row>
    <row r="46" customFormat="false" ht="15" hidden="false" customHeight="false" outlineLevel="0" collapsed="false">
      <c r="A46" s="47"/>
      <c r="B46" s="46"/>
      <c r="C46" s="46"/>
      <c r="D46" s="47"/>
      <c r="E46" s="47"/>
      <c r="F46" s="47"/>
      <c r="G46" s="40"/>
      <c r="H46" s="40"/>
      <c r="I46" s="47"/>
      <c r="J46" s="47"/>
      <c r="K46" s="47"/>
      <c r="L46" s="43"/>
      <c r="M46" s="46"/>
      <c r="N46" s="48" t="str">
        <f aca="true">IF(OR(A46="",G46=""),"",MAX(1,NETWORKDAYS(G46,IF(H46="",TODAY(),H46),Bank_Holidays!$A$6:$A$60)))</f>
        <v/>
      </c>
      <c r="O46" s="49" t="str">
        <f aca="false">IF(N46="","",IF(N46&lt;=2,"0-2 Days",IF(N46&lt;=5,"3-5 Days",IF(N46&lt;=10,"6-10 Days","&gt;10 Days"))))</f>
        <v/>
      </c>
      <c r="P46" s="46"/>
    </row>
    <row r="47" customFormat="false" ht="15" hidden="false" customHeight="false" outlineLevel="0" collapsed="false">
      <c r="A47" s="47"/>
      <c r="B47" s="46"/>
      <c r="C47" s="46"/>
      <c r="D47" s="47"/>
      <c r="E47" s="47"/>
      <c r="F47" s="47"/>
      <c r="G47" s="40"/>
      <c r="H47" s="40"/>
      <c r="I47" s="47"/>
      <c r="J47" s="47"/>
      <c r="K47" s="47"/>
      <c r="L47" s="43"/>
      <c r="M47" s="46"/>
      <c r="N47" s="48" t="str">
        <f aca="true">IF(OR(A47="",G47=""),"",MAX(1,NETWORKDAYS(G47,IF(H47="",TODAY(),H47),Bank_Holidays!$A$6:$A$60)))</f>
        <v/>
      </c>
      <c r="O47" s="49" t="str">
        <f aca="false">IF(N47="","",IF(N47&lt;=2,"0-2 Days",IF(N47&lt;=5,"3-5 Days",IF(N47&lt;=10,"6-10 Days","&gt;10 Days"))))</f>
        <v/>
      </c>
      <c r="P47" s="46"/>
    </row>
    <row r="48" customFormat="false" ht="15" hidden="false" customHeight="false" outlineLevel="0" collapsed="false">
      <c r="A48" s="47"/>
      <c r="B48" s="46"/>
      <c r="C48" s="46"/>
      <c r="D48" s="47"/>
      <c r="E48" s="47"/>
      <c r="F48" s="47"/>
      <c r="G48" s="40"/>
      <c r="H48" s="40"/>
      <c r="I48" s="47"/>
      <c r="J48" s="47"/>
      <c r="K48" s="47"/>
      <c r="L48" s="43"/>
      <c r="M48" s="46"/>
      <c r="N48" s="48" t="str">
        <f aca="true">IF(OR(A48="",G48=""),"",MAX(1,NETWORKDAYS(G48,IF(H48="",TODAY(),H48),Bank_Holidays!$A$6:$A$60)))</f>
        <v/>
      </c>
      <c r="O48" s="49" t="str">
        <f aca="false">IF(N48="","",IF(N48&lt;=2,"0-2 Days",IF(N48&lt;=5,"3-5 Days",IF(N48&lt;=10,"6-10 Days","&gt;10 Days"))))</f>
        <v/>
      </c>
      <c r="P48" s="46"/>
    </row>
    <row r="49" customFormat="false" ht="15" hidden="false" customHeight="false" outlineLevel="0" collapsed="false">
      <c r="A49" s="47"/>
      <c r="B49" s="46"/>
      <c r="C49" s="46"/>
      <c r="D49" s="47"/>
      <c r="E49" s="47"/>
      <c r="F49" s="47"/>
      <c r="G49" s="40"/>
      <c r="H49" s="40"/>
      <c r="I49" s="47"/>
      <c r="J49" s="47"/>
      <c r="K49" s="47"/>
      <c r="L49" s="43"/>
      <c r="M49" s="46"/>
      <c r="N49" s="48" t="str">
        <f aca="true">IF(OR(A49="",G49=""),"",MAX(1,NETWORKDAYS(G49,IF(H49="",TODAY(),H49),Bank_Holidays!$A$6:$A$60)))</f>
        <v/>
      </c>
      <c r="O49" s="49" t="str">
        <f aca="false">IF(N49="","",IF(N49&lt;=2,"0-2 Days",IF(N49&lt;=5,"3-5 Days",IF(N49&lt;=10,"6-10 Days","&gt;10 Days"))))</f>
        <v/>
      </c>
      <c r="P49" s="46"/>
    </row>
    <row r="50" customFormat="false" ht="15" hidden="false" customHeight="false" outlineLevel="0" collapsed="false">
      <c r="A50" s="47"/>
      <c r="B50" s="46"/>
      <c r="C50" s="46"/>
      <c r="D50" s="47"/>
      <c r="E50" s="47"/>
      <c r="F50" s="47"/>
      <c r="G50" s="40"/>
      <c r="H50" s="40"/>
      <c r="I50" s="47"/>
      <c r="J50" s="47"/>
      <c r="K50" s="47"/>
      <c r="L50" s="43"/>
      <c r="M50" s="46"/>
      <c r="N50" s="48" t="str">
        <f aca="true">IF(OR(A50="",G50=""),"",MAX(1,NETWORKDAYS(G50,IF(H50="",TODAY(),H50),Bank_Holidays!$A$6:$A$60)))</f>
        <v/>
      </c>
      <c r="O50" s="49" t="str">
        <f aca="false">IF(N50="","",IF(N50&lt;=2,"0-2 Days",IF(N50&lt;=5,"3-5 Days",IF(N50&lt;=10,"6-10 Days","&gt;10 Days"))))</f>
        <v/>
      </c>
      <c r="P50" s="46"/>
    </row>
    <row r="51" customFormat="false" ht="15" hidden="false" customHeight="false" outlineLevel="0" collapsed="false">
      <c r="A51" s="47"/>
      <c r="B51" s="46"/>
      <c r="C51" s="46"/>
      <c r="D51" s="47"/>
      <c r="E51" s="47"/>
      <c r="F51" s="47"/>
      <c r="G51" s="40"/>
      <c r="H51" s="40"/>
      <c r="I51" s="47"/>
      <c r="J51" s="47"/>
      <c r="K51" s="47"/>
      <c r="L51" s="43"/>
      <c r="M51" s="46"/>
      <c r="N51" s="48" t="str">
        <f aca="true">IF(OR(A51="",G51=""),"",MAX(1,NETWORKDAYS(G51,IF(H51="",TODAY(),H51),Bank_Holidays!$A$6:$A$60)))</f>
        <v/>
      </c>
      <c r="O51" s="49" t="str">
        <f aca="false">IF(N51="","",IF(N51&lt;=2,"0-2 Days",IF(N51&lt;=5,"3-5 Days",IF(N51&lt;=10,"6-10 Days","&gt;10 Days"))))</f>
        <v/>
      </c>
      <c r="P51" s="46"/>
    </row>
    <row r="52" customFormat="false" ht="15" hidden="false" customHeight="false" outlineLevel="0" collapsed="false">
      <c r="A52" s="47"/>
      <c r="B52" s="46"/>
      <c r="C52" s="46"/>
      <c r="D52" s="47"/>
      <c r="E52" s="47"/>
      <c r="F52" s="47"/>
      <c r="G52" s="40"/>
      <c r="H52" s="40"/>
      <c r="I52" s="47"/>
      <c r="J52" s="47"/>
      <c r="K52" s="47"/>
      <c r="L52" s="43"/>
      <c r="M52" s="46"/>
      <c r="N52" s="48" t="str">
        <f aca="true">IF(OR(A52="",G52=""),"",MAX(1,NETWORKDAYS(G52,IF(H52="",TODAY(),H52),Bank_Holidays!$A$6:$A$60)))</f>
        <v/>
      </c>
      <c r="O52" s="49" t="str">
        <f aca="false">IF(N52="","",IF(N52&lt;=2,"0-2 Days",IF(N52&lt;=5,"3-5 Days",IF(N52&lt;=10,"6-10 Days","&gt;10 Days"))))</f>
        <v/>
      </c>
      <c r="P52" s="46"/>
    </row>
    <row r="53" customFormat="false" ht="15" hidden="false" customHeight="false" outlineLevel="0" collapsed="false">
      <c r="A53" s="47"/>
      <c r="B53" s="46"/>
      <c r="C53" s="46"/>
      <c r="D53" s="47"/>
      <c r="E53" s="47"/>
      <c r="F53" s="47"/>
      <c r="G53" s="40"/>
      <c r="H53" s="40"/>
      <c r="I53" s="47"/>
      <c r="J53" s="47"/>
      <c r="K53" s="47"/>
      <c r="L53" s="43"/>
      <c r="M53" s="46"/>
      <c r="N53" s="48" t="str">
        <f aca="true">IF(OR(A53="",G53=""),"",MAX(1,NETWORKDAYS(G53,IF(H53="",TODAY(),H53),Bank_Holidays!$A$6:$A$60)))</f>
        <v/>
      </c>
      <c r="O53" s="49" t="str">
        <f aca="false">IF(N53="","",IF(N53&lt;=2,"0-2 Days",IF(N53&lt;=5,"3-5 Days",IF(N53&lt;=10,"6-10 Days","&gt;10 Days"))))</f>
        <v/>
      </c>
      <c r="P53" s="46"/>
    </row>
    <row r="54" customFormat="false" ht="15" hidden="false" customHeight="false" outlineLevel="0" collapsed="false">
      <c r="A54" s="47"/>
      <c r="B54" s="46"/>
      <c r="C54" s="46"/>
      <c r="D54" s="47"/>
      <c r="E54" s="47"/>
      <c r="F54" s="47"/>
      <c r="G54" s="40"/>
      <c r="H54" s="40"/>
      <c r="I54" s="47"/>
      <c r="J54" s="47"/>
      <c r="K54" s="47"/>
      <c r="L54" s="43"/>
      <c r="M54" s="46"/>
      <c r="N54" s="48" t="str">
        <f aca="true">IF(OR(A54="",G54=""),"",MAX(1,NETWORKDAYS(G54,IF(H54="",TODAY(),H54),Bank_Holidays!$A$6:$A$60)))</f>
        <v/>
      </c>
      <c r="O54" s="49" t="str">
        <f aca="false">IF(N54="","",IF(N54&lt;=2,"0-2 Days",IF(N54&lt;=5,"3-5 Days",IF(N54&lt;=10,"6-10 Days","&gt;10 Days"))))</f>
        <v/>
      </c>
      <c r="P54" s="46"/>
    </row>
    <row r="55" customFormat="false" ht="15" hidden="false" customHeight="false" outlineLevel="0" collapsed="false">
      <c r="A55" s="47"/>
      <c r="B55" s="46"/>
      <c r="C55" s="46"/>
      <c r="D55" s="47"/>
      <c r="E55" s="47"/>
      <c r="F55" s="47"/>
      <c r="G55" s="40"/>
      <c r="H55" s="40"/>
      <c r="I55" s="47"/>
      <c r="J55" s="47"/>
      <c r="K55" s="47"/>
      <c r="L55" s="43"/>
      <c r="M55" s="46"/>
      <c r="N55" s="48" t="str">
        <f aca="true">IF(OR(A55="",G55=""),"",MAX(1,NETWORKDAYS(G55,IF(H55="",TODAY(),H55),Bank_Holidays!$A$6:$A$60)))</f>
        <v/>
      </c>
      <c r="O55" s="49" t="str">
        <f aca="false">IF(N55="","",IF(N55&lt;=2,"0-2 Days",IF(N55&lt;=5,"3-5 Days",IF(N55&lt;=10,"6-10 Days","&gt;10 Days"))))</f>
        <v/>
      </c>
      <c r="P55" s="46"/>
    </row>
    <row r="56" customFormat="false" ht="15" hidden="false" customHeight="false" outlineLevel="0" collapsed="false">
      <c r="A56" s="47"/>
      <c r="B56" s="46"/>
      <c r="C56" s="46"/>
      <c r="D56" s="47"/>
      <c r="E56" s="47"/>
      <c r="F56" s="47"/>
      <c r="G56" s="40"/>
      <c r="H56" s="40"/>
      <c r="I56" s="47"/>
      <c r="J56" s="47"/>
      <c r="K56" s="47"/>
      <c r="L56" s="43"/>
      <c r="M56" s="46"/>
      <c r="N56" s="48" t="str">
        <f aca="true">IF(OR(A56="",G56=""),"",MAX(1,NETWORKDAYS(G56,IF(H56="",TODAY(),H56),Bank_Holidays!$A$6:$A$60)))</f>
        <v/>
      </c>
      <c r="O56" s="49" t="str">
        <f aca="false">IF(N56="","",IF(N56&lt;=2,"0-2 Days",IF(N56&lt;=5,"3-5 Days",IF(N56&lt;=10,"6-10 Days","&gt;10 Days"))))</f>
        <v/>
      </c>
      <c r="P56" s="46"/>
    </row>
    <row r="57" customFormat="false" ht="15" hidden="false" customHeight="false" outlineLevel="0" collapsed="false">
      <c r="A57" s="47"/>
      <c r="B57" s="46"/>
      <c r="C57" s="46"/>
      <c r="D57" s="47"/>
      <c r="E57" s="47"/>
      <c r="F57" s="47"/>
      <c r="G57" s="40"/>
      <c r="H57" s="40"/>
      <c r="I57" s="47"/>
      <c r="J57" s="47"/>
      <c r="K57" s="47"/>
      <c r="L57" s="43"/>
      <c r="M57" s="46"/>
      <c r="N57" s="48" t="str">
        <f aca="true">IF(OR(A57="",G57=""),"",MAX(1,NETWORKDAYS(G57,IF(H57="",TODAY(),H57),Bank_Holidays!$A$6:$A$60)))</f>
        <v/>
      </c>
      <c r="O57" s="49" t="str">
        <f aca="false">IF(N57="","",IF(N57&lt;=2,"0-2 Days",IF(N57&lt;=5,"3-5 Days",IF(N57&lt;=10,"6-10 Days","&gt;10 Days"))))</f>
        <v/>
      </c>
      <c r="P57" s="46"/>
    </row>
    <row r="58" customFormat="false" ht="15" hidden="false" customHeight="false" outlineLevel="0" collapsed="false">
      <c r="A58" s="47"/>
      <c r="B58" s="46"/>
      <c r="C58" s="46"/>
      <c r="D58" s="47"/>
      <c r="E58" s="47"/>
      <c r="F58" s="47"/>
      <c r="G58" s="40"/>
      <c r="H58" s="40"/>
      <c r="I58" s="47"/>
      <c r="J58" s="47"/>
      <c r="K58" s="47"/>
      <c r="L58" s="43"/>
      <c r="M58" s="46"/>
      <c r="N58" s="48" t="str">
        <f aca="true">IF(OR(A58="",G58=""),"",MAX(1,NETWORKDAYS(G58,IF(H58="",TODAY(),H58),Bank_Holidays!$A$6:$A$60)))</f>
        <v/>
      </c>
      <c r="O58" s="49" t="str">
        <f aca="false">IF(N58="","",IF(N58&lt;=2,"0-2 Days",IF(N58&lt;=5,"3-5 Days",IF(N58&lt;=10,"6-10 Days","&gt;10 Days"))))</f>
        <v/>
      </c>
      <c r="P58" s="46"/>
    </row>
    <row r="59" customFormat="false" ht="15" hidden="false" customHeight="false" outlineLevel="0" collapsed="false">
      <c r="A59" s="47"/>
      <c r="B59" s="46"/>
      <c r="C59" s="46"/>
      <c r="D59" s="47"/>
      <c r="E59" s="47"/>
      <c r="F59" s="47"/>
      <c r="G59" s="40"/>
      <c r="H59" s="40"/>
      <c r="I59" s="47"/>
      <c r="J59" s="47"/>
      <c r="K59" s="47"/>
      <c r="L59" s="43"/>
      <c r="M59" s="46"/>
      <c r="N59" s="48" t="str">
        <f aca="true">IF(OR(A59="",G59=""),"",MAX(1,NETWORKDAYS(G59,IF(H59="",TODAY(),H59),Bank_Holidays!$A$6:$A$60)))</f>
        <v/>
      </c>
      <c r="O59" s="49" t="str">
        <f aca="false">IF(N59="","",IF(N59&lt;=2,"0-2 Days",IF(N59&lt;=5,"3-5 Days",IF(N59&lt;=10,"6-10 Days","&gt;10 Days"))))</f>
        <v/>
      </c>
      <c r="P59" s="46"/>
    </row>
    <row r="60" customFormat="false" ht="15" hidden="false" customHeight="false" outlineLevel="0" collapsed="false">
      <c r="A60" s="47"/>
      <c r="B60" s="46"/>
      <c r="C60" s="46"/>
      <c r="D60" s="47"/>
      <c r="E60" s="47"/>
      <c r="F60" s="47"/>
      <c r="G60" s="40"/>
      <c r="H60" s="40"/>
      <c r="I60" s="47"/>
      <c r="J60" s="47"/>
      <c r="K60" s="47"/>
      <c r="L60" s="43"/>
      <c r="M60" s="46"/>
      <c r="N60" s="48" t="str">
        <f aca="true">IF(OR(A60="",G60=""),"",MAX(1,NETWORKDAYS(G60,IF(H60="",TODAY(),H60),Bank_Holidays!$A$6:$A$60)))</f>
        <v/>
      </c>
      <c r="O60" s="49" t="str">
        <f aca="false">IF(N60="","",IF(N60&lt;=2,"0-2 Days",IF(N60&lt;=5,"3-5 Days",IF(N60&lt;=10,"6-10 Days","&gt;10 Days"))))</f>
        <v/>
      </c>
      <c r="P60" s="46"/>
    </row>
    <row r="61" customFormat="false" ht="15" hidden="false" customHeight="false" outlineLevel="0" collapsed="false">
      <c r="A61" s="47"/>
      <c r="B61" s="46"/>
      <c r="C61" s="46"/>
      <c r="D61" s="47"/>
      <c r="E61" s="47"/>
      <c r="F61" s="47"/>
      <c r="G61" s="40"/>
      <c r="H61" s="40"/>
      <c r="I61" s="47"/>
      <c r="J61" s="47"/>
      <c r="K61" s="47"/>
      <c r="L61" s="43"/>
      <c r="M61" s="46"/>
      <c r="N61" s="48" t="str">
        <f aca="true">IF(OR(A61="",G61=""),"",MAX(1,NETWORKDAYS(G61,IF(H61="",TODAY(),H61),Bank_Holidays!$A$6:$A$60)))</f>
        <v/>
      </c>
      <c r="O61" s="49" t="str">
        <f aca="false">IF(N61="","",IF(N61&lt;=2,"0-2 Days",IF(N61&lt;=5,"3-5 Days",IF(N61&lt;=10,"6-10 Days","&gt;10 Days"))))</f>
        <v/>
      </c>
      <c r="P61" s="46"/>
    </row>
    <row r="62" customFormat="false" ht="15" hidden="false" customHeight="false" outlineLevel="0" collapsed="false">
      <c r="A62" s="47"/>
      <c r="B62" s="46"/>
      <c r="C62" s="46"/>
      <c r="D62" s="47"/>
      <c r="E62" s="47"/>
      <c r="F62" s="47"/>
      <c r="G62" s="40"/>
      <c r="H62" s="40"/>
      <c r="I62" s="47"/>
      <c r="J62" s="47"/>
      <c r="K62" s="47"/>
      <c r="L62" s="43"/>
      <c r="M62" s="46"/>
      <c r="N62" s="48" t="str">
        <f aca="true">IF(OR(A62="",G62=""),"",MAX(1,NETWORKDAYS(G62,IF(H62="",TODAY(),H62),Bank_Holidays!$A$6:$A$60)))</f>
        <v/>
      </c>
      <c r="O62" s="49" t="str">
        <f aca="false">IF(N62="","",IF(N62&lt;=2,"0-2 Days",IF(N62&lt;=5,"3-5 Days",IF(N62&lt;=10,"6-10 Days","&gt;10 Days"))))</f>
        <v/>
      </c>
      <c r="P62" s="46"/>
    </row>
    <row r="63" customFormat="false" ht="15" hidden="false" customHeight="false" outlineLevel="0" collapsed="false">
      <c r="A63" s="47"/>
      <c r="B63" s="46"/>
      <c r="C63" s="46"/>
      <c r="D63" s="47"/>
      <c r="E63" s="47"/>
      <c r="F63" s="47"/>
      <c r="G63" s="40"/>
      <c r="H63" s="40"/>
      <c r="I63" s="47"/>
      <c r="J63" s="47"/>
      <c r="K63" s="47"/>
      <c r="L63" s="43"/>
      <c r="M63" s="46"/>
      <c r="N63" s="48" t="str">
        <f aca="true">IF(OR(A63="",G63=""),"",MAX(1,NETWORKDAYS(G63,IF(H63="",TODAY(),H63),Bank_Holidays!$A$6:$A$60)))</f>
        <v/>
      </c>
      <c r="O63" s="49" t="str">
        <f aca="false">IF(N63="","",IF(N63&lt;=2,"0-2 Days",IF(N63&lt;=5,"3-5 Days",IF(N63&lt;=10,"6-10 Days","&gt;10 Days"))))</f>
        <v/>
      </c>
      <c r="P63" s="46"/>
    </row>
    <row r="64" customFormat="false" ht="15" hidden="false" customHeight="false" outlineLevel="0" collapsed="false">
      <c r="A64" s="47"/>
      <c r="B64" s="46"/>
      <c r="C64" s="46"/>
      <c r="D64" s="47"/>
      <c r="E64" s="47"/>
      <c r="F64" s="47"/>
      <c r="G64" s="40"/>
      <c r="H64" s="40"/>
      <c r="I64" s="47"/>
      <c r="J64" s="47"/>
      <c r="K64" s="47"/>
      <c r="L64" s="43"/>
      <c r="M64" s="46"/>
      <c r="N64" s="48" t="str">
        <f aca="true">IF(OR(A64="",G64=""),"",MAX(1,NETWORKDAYS(G64,IF(H64="",TODAY(),H64),Bank_Holidays!$A$6:$A$60)))</f>
        <v/>
      </c>
      <c r="O64" s="49" t="str">
        <f aca="false">IF(N64="","",IF(N64&lt;=2,"0-2 Days",IF(N64&lt;=5,"3-5 Days",IF(N64&lt;=10,"6-10 Days","&gt;10 Days"))))</f>
        <v/>
      </c>
      <c r="P64" s="46"/>
    </row>
    <row r="65" customFormat="false" ht="15" hidden="false" customHeight="false" outlineLevel="0" collapsed="false">
      <c r="A65" s="47"/>
      <c r="B65" s="46"/>
      <c r="C65" s="46"/>
      <c r="D65" s="47"/>
      <c r="E65" s="47"/>
      <c r="F65" s="47"/>
      <c r="G65" s="40"/>
      <c r="H65" s="40"/>
      <c r="I65" s="47"/>
      <c r="J65" s="47"/>
      <c r="K65" s="47"/>
      <c r="L65" s="43"/>
      <c r="M65" s="46"/>
      <c r="N65" s="48" t="str">
        <f aca="true">IF(OR(A65="",G65=""),"",MAX(1,NETWORKDAYS(G65,IF(H65="",TODAY(),H65),Bank_Holidays!$A$6:$A$60)))</f>
        <v/>
      </c>
      <c r="O65" s="49" t="str">
        <f aca="false">IF(N65="","",IF(N65&lt;=2,"0-2 Days",IF(N65&lt;=5,"3-5 Days",IF(N65&lt;=10,"6-10 Days","&gt;10 Days"))))</f>
        <v/>
      </c>
      <c r="P65" s="46"/>
    </row>
    <row r="66" customFormat="false" ht="15" hidden="false" customHeight="false" outlineLevel="0" collapsed="false">
      <c r="A66" s="47"/>
      <c r="B66" s="46"/>
      <c r="C66" s="46"/>
      <c r="D66" s="47"/>
      <c r="E66" s="47"/>
      <c r="F66" s="47"/>
      <c r="G66" s="40"/>
      <c r="H66" s="40"/>
      <c r="I66" s="47"/>
      <c r="J66" s="47"/>
      <c r="K66" s="47"/>
      <c r="L66" s="43"/>
      <c r="M66" s="46"/>
      <c r="N66" s="48" t="str">
        <f aca="true">IF(OR(A66="",G66=""),"",MAX(1,NETWORKDAYS(G66,IF(H66="",TODAY(),H66),Bank_Holidays!$A$6:$A$60)))</f>
        <v/>
      </c>
      <c r="O66" s="49" t="str">
        <f aca="false">IF(N66="","",IF(N66&lt;=2,"0-2 Days",IF(N66&lt;=5,"3-5 Days",IF(N66&lt;=10,"6-10 Days","&gt;10 Days"))))</f>
        <v/>
      </c>
      <c r="P66" s="46"/>
    </row>
    <row r="67" customFormat="false" ht="15" hidden="false" customHeight="false" outlineLevel="0" collapsed="false">
      <c r="A67" s="47"/>
      <c r="B67" s="46"/>
      <c r="C67" s="46"/>
      <c r="D67" s="47"/>
      <c r="E67" s="47"/>
      <c r="F67" s="47"/>
      <c r="G67" s="40"/>
      <c r="H67" s="40"/>
      <c r="I67" s="47"/>
      <c r="J67" s="47"/>
      <c r="K67" s="47"/>
      <c r="L67" s="43"/>
      <c r="M67" s="46"/>
      <c r="N67" s="48" t="str">
        <f aca="true">IF(OR(A67="",G67=""),"",MAX(1,NETWORKDAYS(G67,IF(H67="",TODAY(),H67),Bank_Holidays!$A$6:$A$60)))</f>
        <v/>
      </c>
      <c r="O67" s="49" t="str">
        <f aca="false">IF(N67="","",IF(N67&lt;=2,"0-2 Days",IF(N67&lt;=5,"3-5 Days",IF(N67&lt;=10,"6-10 Days","&gt;10 Days"))))</f>
        <v/>
      </c>
      <c r="P67" s="46"/>
    </row>
    <row r="68" customFormat="false" ht="15" hidden="false" customHeight="false" outlineLevel="0" collapsed="false">
      <c r="A68" s="47"/>
      <c r="B68" s="46"/>
      <c r="C68" s="46"/>
      <c r="D68" s="47"/>
      <c r="E68" s="47"/>
      <c r="F68" s="47"/>
      <c r="G68" s="40"/>
      <c r="H68" s="40"/>
      <c r="I68" s="47"/>
      <c r="J68" s="47"/>
      <c r="K68" s="47"/>
      <c r="L68" s="43"/>
      <c r="M68" s="46"/>
      <c r="N68" s="48" t="str">
        <f aca="true">IF(OR(A68="",G68=""),"",MAX(1,NETWORKDAYS(G68,IF(H68="",TODAY(),H68),Bank_Holidays!$A$6:$A$60)))</f>
        <v/>
      </c>
      <c r="O68" s="49" t="str">
        <f aca="false">IF(N68="","",IF(N68&lt;=2,"0-2 Days",IF(N68&lt;=5,"3-5 Days",IF(N68&lt;=10,"6-10 Days","&gt;10 Days"))))</f>
        <v/>
      </c>
      <c r="P68" s="46"/>
    </row>
    <row r="69" customFormat="false" ht="15" hidden="false" customHeight="false" outlineLevel="0" collapsed="false">
      <c r="A69" s="47"/>
      <c r="B69" s="46"/>
      <c r="C69" s="46"/>
      <c r="D69" s="47"/>
      <c r="E69" s="47"/>
      <c r="F69" s="47"/>
      <c r="G69" s="40"/>
      <c r="H69" s="40"/>
      <c r="I69" s="47"/>
      <c r="J69" s="47"/>
      <c r="K69" s="47"/>
      <c r="L69" s="43"/>
      <c r="M69" s="46"/>
      <c r="N69" s="48" t="str">
        <f aca="true">IF(OR(A69="",G69=""),"",MAX(1,NETWORKDAYS(G69,IF(H69="",TODAY(),H69),Bank_Holidays!$A$6:$A$60)))</f>
        <v/>
      </c>
      <c r="O69" s="49" t="str">
        <f aca="false">IF(N69="","",IF(N69&lt;=2,"0-2 Days",IF(N69&lt;=5,"3-5 Days",IF(N69&lt;=10,"6-10 Days","&gt;10 Days"))))</f>
        <v/>
      </c>
      <c r="P69" s="46"/>
    </row>
    <row r="70" customFormat="false" ht="15" hidden="false" customHeight="false" outlineLevel="0" collapsed="false">
      <c r="A70" s="47"/>
      <c r="B70" s="46"/>
      <c r="C70" s="46"/>
      <c r="D70" s="47"/>
      <c r="E70" s="47"/>
      <c r="F70" s="47"/>
      <c r="G70" s="40"/>
      <c r="H70" s="40"/>
      <c r="I70" s="47"/>
      <c r="J70" s="47"/>
      <c r="K70" s="47"/>
      <c r="L70" s="43"/>
      <c r="M70" s="46"/>
      <c r="N70" s="48" t="str">
        <f aca="true">IF(OR(A70="",G70=""),"",MAX(1,NETWORKDAYS(G70,IF(H70="",TODAY(),H70),Bank_Holidays!$A$6:$A$60)))</f>
        <v/>
      </c>
      <c r="O70" s="49" t="str">
        <f aca="false">IF(N70="","",IF(N70&lt;=2,"0-2 Days",IF(N70&lt;=5,"3-5 Days",IF(N70&lt;=10,"6-10 Days","&gt;10 Days"))))</f>
        <v/>
      </c>
      <c r="P70" s="46"/>
    </row>
    <row r="71" customFormat="false" ht="15" hidden="false" customHeight="false" outlineLevel="0" collapsed="false">
      <c r="A71" s="47"/>
      <c r="B71" s="46"/>
      <c r="C71" s="46"/>
      <c r="D71" s="47"/>
      <c r="E71" s="47"/>
      <c r="F71" s="47"/>
      <c r="G71" s="40"/>
      <c r="H71" s="40"/>
      <c r="I71" s="47"/>
      <c r="J71" s="47"/>
      <c r="K71" s="47"/>
      <c r="L71" s="43"/>
      <c r="M71" s="46"/>
      <c r="N71" s="48" t="str">
        <f aca="true">IF(OR(A71="",G71=""),"",MAX(1,NETWORKDAYS(G71,IF(H71="",TODAY(),H71),Bank_Holidays!$A$6:$A$60)))</f>
        <v/>
      </c>
      <c r="O71" s="49" t="str">
        <f aca="false">IF(N71="","",IF(N71&lt;=2,"0-2 Days",IF(N71&lt;=5,"3-5 Days",IF(N71&lt;=10,"6-10 Days","&gt;10 Days"))))</f>
        <v/>
      </c>
      <c r="P71" s="46"/>
    </row>
    <row r="72" customFormat="false" ht="15" hidden="false" customHeight="false" outlineLevel="0" collapsed="false">
      <c r="A72" s="47"/>
      <c r="B72" s="46"/>
      <c r="C72" s="46"/>
      <c r="D72" s="47"/>
      <c r="E72" s="47"/>
      <c r="F72" s="47"/>
      <c r="G72" s="40"/>
      <c r="H72" s="40"/>
      <c r="I72" s="47"/>
      <c r="J72" s="47"/>
      <c r="K72" s="47"/>
      <c r="L72" s="43"/>
      <c r="M72" s="46"/>
      <c r="N72" s="48" t="str">
        <f aca="true">IF(OR(A72="",G72=""),"",MAX(1,NETWORKDAYS(G72,IF(H72="",TODAY(),H72),Bank_Holidays!$A$6:$A$60)))</f>
        <v/>
      </c>
      <c r="O72" s="49" t="str">
        <f aca="false">IF(N72="","",IF(N72&lt;=2,"0-2 Days",IF(N72&lt;=5,"3-5 Days",IF(N72&lt;=10,"6-10 Days","&gt;10 Days"))))</f>
        <v/>
      </c>
      <c r="P72" s="46"/>
    </row>
    <row r="73" customFormat="false" ht="15" hidden="false" customHeight="false" outlineLevel="0" collapsed="false">
      <c r="A73" s="47"/>
      <c r="B73" s="46"/>
      <c r="C73" s="46"/>
      <c r="D73" s="47"/>
      <c r="E73" s="47"/>
      <c r="F73" s="47"/>
      <c r="G73" s="40"/>
      <c r="H73" s="40"/>
      <c r="I73" s="47"/>
      <c r="J73" s="47"/>
      <c r="K73" s="47"/>
      <c r="L73" s="43"/>
      <c r="M73" s="46"/>
      <c r="N73" s="48" t="str">
        <f aca="true">IF(OR(A73="",G73=""),"",MAX(1,NETWORKDAYS(G73,IF(H73="",TODAY(),H73),Bank_Holidays!$A$6:$A$60)))</f>
        <v/>
      </c>
      <c r="O73" s="49" t="str">
        <f aca="false">IF(N73="","",IF(N73&lt;=2,"0-2 Days",IF(N73&lt;=5,"3-5 Days",IF(N73&lt;=10,"6-10 Days","&gt;10 Days"))))</f>
        <v/>
      </c>
      <c r="P73" s="46"/>
    </row>
    <row r="74" customFormat="false" ht="15" hidden="false" customHeight="false" outlineLevel="0" collapsed="false">
      <c r="A74" s="47"/>
      <c r="B74" s="46"/>
      <c r="C74" s="46"/>
      <c r="D74" s="47"/>
      <c r="E74" s="47"/>
      <c r="F74" s="47"/>
      <c r="G74" s="40"/>
      <c r="H74" s="40"/>
      <c r="I74" s="47"/>
      <c r="J74" s="47"/>
      <c r="K74" s="47"/>
      <c r="L74" s="43"/>
      <c r="M74" s="46"/>
      <c r="N74" s="48" t="str">
        <f aca="true">IF(OR(A74="",G74=""),"",MAX(1,NETWORKDAYS(G74,IF(H74="",TODAY(),H74),Bank_Holidays!$A$6:$A$60)))</f>
        <v/>
      </c>
      <c r="O74" s="49" t="str">
        <f aca="false">IF(N74="","",IF(N74&lt;=2,"0-2 Days",IF(N74&lt;=5,"3-5 Days",IF(N74&lt;=10,"6-10 Days","&gt;10 Days"))))</f>
        <v/>
      </c>
      <c r="P74" s="46"/>
    </row>
    <row r="75" customFormat="false" ht="15" hidden="false" customHeight="false" outlineLevel="0" collapsed="false">
      <c r="A75" s="47"/>
      <c r="B75" s="46"/>
      <c r="C75" s="46"/>
      <c r="D75" s="47"/>
      <c r="E75" s="47"/>
      <c r="F75" s="47"/>
      <c r="G75" s="40"/>
      <c r="H75" s="40"/>
      <c r="I75" s="47"/>
      <c r="J75" s="47"/>
      <c r="K75" s="47"/>
      <c r="L75" s="43"/>
      <c r="M75" s="46"/>
      <c r="N75" s="48" t="str">
        <f aca="true">IF(OR(A75="",G75=""),"",MAX(1,NETWORKDAYS(G75,IF(H75="",TODAY(),H75),Bank_Holidays!$A$6:$A$60)))</f>
        <v/>
      </c>
      <c r="O75" s="49" t="str">
        <f aca="false">IF(N75="","",IF(N75&lt;=2,"0-2 Days",IF(N75&lt;=5,"3-5 Days",IF(N75&lt;=10,"6-10 Days","&gt;10 Days"))))</f>
        <v/>
      </c>
      <c r="P75" s="46"/>
    </row>
    <row r="76" customFormat="false" ht="15" hidden="false" customHeight="false" outlineLevel="0" collapsed="false">
      <c r="A76" s="47"/>
      <c r="B76" s="46"/>
      <c r="C76" s="46"/>
      <c r="D76" s="47"/>
      <c r="E76" s="47"/>
      <c r="F76" s="47"/>
      <c r="G76" s="40"/>
      <c r="H76" s="40"/>
      <c r="I76" s="47"/>
      <c r="J76" s="47"/>
      <c r="K76" s="47"/>
      <c r="L76" s="43"/>
      <c r="M76" s="46"/>
      <c r="N76" s="48" t="str">
        <f aca="true">IF(OR(A76="",G76=""),"",MAX(1,NETWORKDAYS(G76,IF(H76="",TODAY(),H76),Bank_Holidays!$A$6:$A$60)))</f>
        <v/>
      </c>
      <c r="O76" s="49" t="str">
        <f aca="false">IF(N76="","",IF(N76&lt;=2,"0-2 Days",IF(N76&lt;=5,"3-5 Days",IF(N76&lt;=10,"6-10 Days","&gt;10 Days"))))</f>
        <v/>
      </c>
      <c r="P76" s="46"/>
    </row>
    <row r="77" customFormat="false" ht="15" hidden="false" customHeight="false" outlineLevel="0" collapsed="false">
      <c r="A77" s="47"/>
      <c r="B77" s="46"/>
      <c r="C77" s="46"/>
      <c r="D77" s="47"/>
      <c r="E77" s="47"/>
      <c r="F77" s="47"/>
      <c r="G77" s="40"/>
      <c r="H77" s="40"/>
      <c r="I77" s="47"/>
      <c r="J77" s="47"/>
      <c r="K77" s="47"/>
      <c r="L77" s="43"/>
      <c r="M77" s="46"/>
      <c r="N77" s="48" t="str">
        <f aca="true">IF(OR(A77="",G77=""),"",MAX(1,NETWORKDAYS(G77,IF(H77="",TODAY(),H77),Bank_Holidays!$A$6:$A$60)))</f>
        <v/>
      </c>
      <c r="O77" s="49" t="str">
        <f aca="false">IF(N77="","",IF(N77&lt;=2,"0-2 Days",IF(N77&lt;=5,"3-5 Days",IF(N77&lt;=10,"6-10 Days","&gt;10 Days"))))</f>
        <v/>
      </c>
      <c r="P77" s="46"/>
    </row>
    <row r="78" customFormat="false" ht="15" hidden="false" customHeight="false" outlineLevel="0" collapsed="false">
      <c r="A78" s="47"/>
      <c r="B78" s="46"/>
      <c r="C78" s="46"/>
      <c r="D78" s="47"/>
      <c r="E78" s="47"/>
      <c r="F78" s="47"/>
      <c r="G78" s="40"/>
      <c r="H78" s="40"/>
      <c r="I78" s="47"/>
      <c r="J78" s="47"/>
      <c r="K78" s="47"/>
      <c r="L78" s="43"/>
      <c r="M78" s="46"/>
      <c r="N78" s="48" t="str">
        <f aca="true">IF(OR(A78="",G78=""),"",MAX(1,NETWORKDAYS(G78,IF(H78="",TODAY(),H78),Bank_Holidays!$A$6:$A$60)))</f>
        <v/>
      </c>
      <c r="O78" s="49" t="str">
        <f aca="false">IF(N78="","",IF(N78&lt;=2,"0-2 Days",IF(N78&lt;=5,"3-5 Days",IF(N78&lt;=10,"6-10 Days","&gt;10 Days"))))</f>
        <v/>
      </c>
      <c r="P78" s="46"/>
    </row>
    <row r="79" customFormat="false" ht="15" hidden="false" customHeight="false" outlineLevel="0" collapsed="false">
      <c r="A79" s="47"/>
      <c r="B79" s="46"/>
      <c r="C79" s="46"/>
      <c r="D79" s="47"/>
      <c r="E79" s="47"/>
      <c r="F79" s="47"/>
      <c r="G79" s="40"/>
      <c r="H79" s="40"/>
      <c r="I79" s="47"/>
      <c r="J79" s="47"/>
      <c r="K79" s="47"/>
      <c r="L79" s="43"/>
      <c r="M79" s="46"/>
      <c r="N79" s="48" t="str">
        <f aca="true">IF(OR(A79="",G79=""),"",MAX(1,NETWORKDAYS(G79,IF(H79="",TODAY(),H79),Bank_Holidays!$A$6:$A$60)))</f>
        <v/>
      </c>
      <c r="O79" s="49" t="str">
        <f aca="false">IF(N79="","",IF(N79&lt;=2,"0-2 Days",IF(N79&lt;=5,"3-5 Days",IF(N79&lt;=10,"6-10 Days","&gt;10 Days"))))</f>
        <v/>
      </c>
      <c r="P79" s="46"/>
    </row>
    <row r="80" customFormat="false" ht="15" hidden="false" customHeight="false" outlineLevel="0" collapsed="false">
      <c r="A80" s="47"/>
      <c r="B80" s="46"/>
      <c r="C80" s="46"/>
      <c r="D80" s="47"/>
      <c r="E80" s="47"/>
      <c r="F80" s="47"/>
      <c r="G80" s="40"/>
      <c r="H80" s="40"/>
      <c r="I80" s="47"/>
      <c r="J80" s="47"/>
      <c r="K80" s="47"/>
      <c r="L80" s="43"/>
      <c r="M80" s="46"/>
      <c r="N80" s="48" t="str">
        <f aca="true">IF(OR(A80="",G80=""),"",MAX(1,NETWORKDAYS(G80,IF(H80="",TODAY(),H80),Bank_Holidays!$A$6:$A$60)))</f>
        <v/>
      </c>
      <c r="O80" s="49" t="str">
        <f aca="false">IF(N80="","",IF(N80&lt;=2,"0-2 Days",IF(N80&lt;=5,"3-5 Days",IF(N80&lt;=10,"6-10 Days","&gt;10 Days"))))</f>
        <v/>
      </c>
      <c r="P80" s="46"/>
    </row>
    <row r="81" customFormat="false" ht="15" hidden="false" customHeight="false" outlineLevel="0" collapsed="false">
      <c r="A81" s="47"/>
      <c r="B81" s="46"/>
      <c r="C81" s="46"/>
      <c r="D81" s="47"/>
      <c r="E81" s="47"/>
      <c r="F81" s="47"/>
      <c r="G81" s="40"/>
      <c r="H81" s="40"/>
      <c r="I81" s="47"/>
      <c r="J81" s="47"/>
      <c r="K81" s="47"/>
      <c r="L81" s="43"/>
      <c r="M81" s="46"/>
      <c r="N81" s="48" t="str">
        <f aca="true">IF(OR(A81="",G81=""),"",MAX(1,NETWORKDAYS(G81,IF(H81="",TODAY(),H81),Bank_Holidays!$A$6:$A$60)))</f>
        <v/>
      </c>
      <c r="O81" s="49" t="str">
        <f aca="false">IF(N81="","",IF(N81&lt;=2,"0-2 Days",IF(N81&lt;=5,"3-5 Days",IF(N81&lt;=10,"6-10 Days","&gt;10 Days"))))</f>
        <v/>
      </c>
      <c r="P81" s="46"/>
    </row>
    <row r="82" customFormat="false" ht="15" hidden="false" customHeight="false" outlineLevel="0" collapsed="false">
      <c r="A82" s="47"/>
      <c r="B82" s="46"/>
      <c r="C82" s="46"/>
      <c r="D82" s="47"/>
      <c r="E82" s="47"/>
      <c r="F82" s="47"/>
      <c r="G82" s="40"/>
      <c r="H82" s="40"/>
      <c r="I82" s="47"/>
      <c r="J82" s="47"/>
      <c r="K82" s="47"/>
      <c r="L82" s="43"/>
      <c r="M82" s="46"/>
      <c r="N82" s="48" t="str">
        <f aca="true">IF(OR(A82="",G82=""),"",MAX(1,NETWORKDAYS(G82,IF(H82="",TODAY(),H82),Bank_Holidays!$A$6:$A$60)))</f>
        <v/>
      </c>
      <c r="O82" s="49" t="str">
        <f aca="false">IF(N82="","",IF(N82&lt;=2,"0-2 Days",IF(N82&lt;=5,"3-5 Days",IF(N82&lt;=10,"6-10 Days","&gt;10 Days"))))</f>
        <v/>
      </c>
      <c r="P82" s="46"/>
    </row>
    <row r="83" customFormat="false" ht="15" hidden="false" customHeight="false" outlineLevel="0" collapsed="false">
      <c r="A83" s="47"/>
      <c r="B83" s="46"/>
      <c r="C83" s="46"/>
      <c r="D83" s="47"/>
      <c r="E83" s="47"/>
      <c r="F83" s="47"/>
      <c r="G83" s="40"/>
      <c r="H83" s="40"/>
      <c r="I83" s="47"/>
      <c r="J83" s="47"/>
      <c r="K83" s="47"/>
      <c r="L83" s="43"/>
      <c r="M83" s="46"/>
      <c r="N83" s="48" t="str">
        <f aca="true">IF(OR(A83="",G83=""),"",MAX(1,NETWORKDAYS(G83,IF(H83="",TODAY(),H83),Bank_Holidays!$A$6:$A$60)))</f>
        <v/>
      </c>
      <c r="O83" s="49" t="str">
        <f aca="false">IF(N83="","",IF(N83&lt;=2,"0-2 Days",IF(N83&lt;=5,"3-5 Days",IF(N83&lt;=10,"6-10 Days","&gt;10 Days"))))</f>
        <v/>
      </c>
      <c r="P83" s="46"/>
    </row>
    <row r="84" customFormat="false" ht="15" hidden="false" customHeight="false" outlineLevel="0" collapsed="false">
      <c r="A84" s="47"/>
      <c r="B84" s="46"/>
      <c r="C84" s="46"/>
      <c r="D84" s="47"/>
      <c r="E84" s="47"/>
      <c r="F84" s="47"/>
      <c r="G84" s="40"/>
      <c r="H84" s="40"/>
      <c r="I84" s="47"/>
      <c r="J84" s="47"/>
      <c r="K84" s="47"/>
      <c r="L84" s="43"/>
      <c r="M84" s="46"/>
      <c r="N84" s="48" t="str">
        <f aca="true">IF(OR(A84="",G84=""),"",MAX(1,NETWORKDAYS(G84,IF(H84="",TODAY(),H84),Bank_Holidays!$A$6:$A$60)))</f>
        <v/>
      </c>
      <c r="O84" s="49" t="str">
        <f aca="false">IF(N84="","",IF(N84&lt;=2,"0-2 Days",IF(N84&lt;=5,"3-5 Days",IF(N84&lt;=10,"6-10 Days","&gt;10 Days"))))</f>
        <v/>
      </c>
      <c r="P84" s="46"/>
    </row>
    <row r="85" customFormat="false" ht="15" hidden="false" customHeight="false" outlineLevel="0" collapsed="false">
      <c r="A85" s="47"/>
      <c r="B85" s="46"/>
      <c r="C85" s="46"/>
      <c r="D85" s="47"/>
      <c r="E85" s="47"/>
      <c r="F85" s="47"/>
      <c r="G85" s="40"/>
      <c r="H85" s="40"/>
      <c r="I85" s="47"/>
      <c r="J85" s="47"/>
      <c r="K85" s="47"/>
      <c r="L85" s="43"/>
      <c r="M85" s="46"/>
      <c r="N85" s="48" t="str">
        <f aca="true">IF(OR(A85="",G85=""),"",MAX(1,NETWORKDAYS(G85,IF(H85="",TODAY(),H85),Bank_Holidays!$A$6:$A$60)))</f>
        <v/>
      </c>
      <c r="O85" s="49" t="str">
        <f aca="false">IF(N85="","",IF(N85&lt;=2,"0-2 Days",IF(N85&lt;=5,"3-5 Days",IF(N85&lt;=10,"6-10 Days","&gt;10 Days"))))</f>
        <v/>
      </c>
      <c r="P85" s="46"/>
    </row>
    <row r="86" customFormat="false" ht="15" hidden="false" customHeight="false" outlineLevel="0" collapsed="false">
      <c r="A86" s="47"/>
      <c r="B86" s="46"/>
      <c r="C86" s="46"/>
      <c r="D86" s="47"/>
      <c r="E86" s="47"/>
      <c r="F86" s="47"/>
      <c r="G86" s="40"/>
      <c r="H86" s="40"/>
      <c r="I86" s="47"/>
      <c r="J86" s="47"/>
      <c r="K86" s="47"/>
      <c r="L86" s="43"/>
      <c r="M86" s="46"/>
      <c r="N86" s="48" t="str">
        <f aca="true">IF(OR(A86="",G86=""),"",MAX(1,NETWORKDAYS(G86,IF(H86="",TODAY(),H86),Bank_Holidays!$A$6:$A$60)))</f>
        <v/>
      </c>
      <c r="O86" s="49" t="str">
        <f aca="false">IF(N86="","",IF(N86&lt;=2,"0-2 Days",IF(N86&lt;=5,"3-5 Days",IF(N86&lt;=10,"6-10 Days","&gt;10 Days"))))</f>
        <v/>
      </c>
      <c r="P86" s="46"/>
    </row>
    <row r="87" customFormat="false" ht="15" hidden="false" customHeight="false" outlineLevel="0" collapsed="false">
      <c r="A87" s="47"/>
      <c r="B87" s="46"/>
      <c r="C87" s="46"/>
      <c r="D87" s="47"/>
      <c r="E87" s="47"/>
      <c r="F87" s="47"/>
      <c r="G87" s="40"/>
      <c r="H87" s="40"/>
      <c r="I87" s="47"/>
      <c r="J87" s="47"/>
      <c r="K87" s="47"/>
      <c r="L87" s="43"/>
      <c r="M87" s="46"/>
      <c r="N87" s="48" t="str">
        <f aca="true">IF(OR(A87="",G87=""),"",MAX(1,NETWORKDAYS(G87,IF(H87="",TODAY(),H87),Bank_Holidays!$A$6:$A$60)))</f>
        <v/>
      </c>
      <c r="O87" s="49" t="str">
        <f aca="false">IF(N87="","",IF(N87&lt;=2,"0-2 Days",IF(N87&lt;=5,"3-5 Days",IF(N87&lt;=10,"6-10 Days","&gt;10 Days"))))</f>
        <v/>
      </c>
      <c r="P87" s="46"/>
    </row>
    <row r="88" customFormat="false" ht="15" hidden="false" customHeight="false" outlineLevel="0" collapsed="false">
      <c r="A88" s="47"/>
      <c r="B88" s="46"/>
      <c r="C88" s="46"/>
      <c r="D88" s="47"/>
      <c r="E88" s="47"/>
      <c r="F88" s="47"/>
      <c r="G88" s="40"/>
      <c r="H88" s="40"/>
      <c r="I88" s="47"/>
      <c r="J88" s="47"/>
      <c r="K88" s="47"/>
      <c r="L88" s="43"/>
      <c r="M88" s="46"/>
      <c r="N88" s="48" t="str">
        <f aca="true">IF(OR(A88="",G88=""),"",MAX(1,NETWORKDAYS(G88,IF(H88="",TODAY(),H88),Bank_Holidays!$A$6:$A$60)))</f>
        <v/>
      </c>
      <c r="O88" s="49" t="str">
        <f aca="false">IF(N88="","",IF(N88&lt;=2,"0-2 Days",IF(N88&lt;=5,"3-5 Days",IF(N88&lt;=10,"6-10 Days","&gt;10 Days"))))</f>
        <v/>
      </c>
      <c r="P88" s="46"/>
    </row>
    <row r="89" customFormat="false" ht="15" hidden="false" customHeight="false" outlineLevel="0" collapsed="false">
      <c r="A89" s="47"/>
      <c r="B89" s="46"/>
      <c r="C89" s="46"/>
      <c r="D89" s="47"/>
      <c r="E89" s="47"/>
      <c r="F89" s="47"/>
      <c r="G89" s="40"/>
      <c r="H89" s="40"/>
      <c r="I89" s="47"/>
      <c r="J89" s="47"/>
      <c r="K89" s="47"/>
      <c r="L89" s="43"/>
      <c r="M89" s="46"/>
      <c r="N89" s="48" t="str">
        <f aca="true">IF(OR(A89="",G89=""),"",MAX(1,NETWORKDAYS(G89,IF(H89="",TODAY(),H89),Bank_Holidays!$A$6:$A$60)))</f>
        <v/>
      </c>
      <c r="O89" s="49" t="str">
        <f aca="false">IF(N89="","",IF(N89&lt;=2,"0-2 Days",IF(N89&lt;=5,"3-5 Days",IF(N89&lt;=10,"6-10 Days","&gt;10 Days"))))</f>
        <v/>
      </c>
      <c r="P89" s="46"/>
    </row>
    <row r="90" customFormat="false" ht="15" hidden="false" customHeight="false" outlineLevel="0" collapsed="false">
      <c r="A90" s="47"/>
      <c r="B90" s="46"/>
      <c r="C90" s="46"/>
      <c r="D90" s="47"/>
      <c r="E90" s="47"/>
      <c r="F90" s="47"/>
      <c r="G90" s="40"/>
      <c r="H90" s="40"/>
      <c r="I90" s="47"/>
      <c r="J90" s="47"/>
      <c r="K90" s="47"/>
      <c r="L90" s="43"/>
      <c r="M90" s="46"/>
      <c r="N90" s="48" t="str">
        <f aca="true">IF(OR(A90="",G90=""),"",MAX(1,NETWORKDAYS(G90,IF(H90="",TODAY(),H90),Bank_Holidays!$A$6:$A$60)))</f>
        <v/>
      </c>
      <c r="O90" s="49" t="str">
        <f aca="false">IF(N90="","",IF(N90&lt;=2,"0-2 Days",IF(N90&lt;=5,"3-5 Days",IF(N90&lt;=10,"6-10 Days","&gt;10 Days"))))</f>
        <v/>
      </c>
      <c r="P90" s="46"/>
    </row>
    <row r="91" customFormat="false" ht="15" hidden="false" customHeight="false" outlineLevel="0" collapsed="false">
      <c r="A91" s="47"/>
      <c r="B91" s="46"/>
      <c r="C91" s="46"/>
      <c r="D91" s="47"/>
      <c r="E91" s="47"/>
      <c r="F91" s="47"/>
      <c r="G91" s="40"/>
      <c r="H91" s="40"/>
      <c r="I91" s="47"/>
      <c r="J91" s="47"/>
      <c r="K91" s="47"/>
      <c r="L91" s="43"/>
      <c r="M91" s="46"/>
      <c r="N91" s="48" t="str">
        <f aca="true">IF(OR(A91="",G91=""),"",MAX(1,NETWORKDAYS(G91,IF(H91="",TODAY(),H91),Bank_Holidays!$A$6:$A$60)))</f>
        <v/>
      </c>
      <c r="O91" s="49" t="str">
        <f aca="false">IF(N91="","",IF(N91&lt;=2,"0-2 Days",IF(N91&lt;=5,"3-5 Days",IF(N91&lt;=10,"6-10 Days","&gt;10 Days"))))</f>
        <v/>
      </c>
      <c r="P91" s="46"/>
    </row>
    <row r="92" customFormat="false" ht="15" hidden="false" customHeight="false" outlineLevel="0" collapsed="false">
      <c r="A92" s="47"/>
      <c r="B92" s="46"/>
      <c r="C92" s="46"/>
      <c r="D92" s="47"/>
      <c r="E92" s="47"/>
      <c r="F92" s="47"/>
      <c r="G92" s="40"/>
      <c r="H92" s="40"/>
      <c r="I92" s="47"/>
      <c r="J92" s="47"/>
      <c r="K92" s="47"/>
      <c r="L92" s="43"/>
      <c r="M92" s="46"/>
      <c r="N92" s="48" t="str">
        <f aca="true">IF(OR(A92="",G92=""),"",MAX(1,NETWORKDAYS(G92,IF(H92="",TODAY(),H92),Bank_Holidays!$A$6:$A$60)))</f>
        <v/>
      </c>
      <c r="O92" s="49" t="str">
        <f aca="false">IF(N92="","",IF(N92&lt;=2,"0-2 Days",IF(N92&lt;=5,"3-5 Days",IF(N92&lt;=10,"6-10 Days","&gt;10 Days"))))</f>
        <v/>
      </c>
      <c r="P92" s="46"/>
    </row>
    <row r="93" customFormat="false" ht="15" hidden="false" customHeight="false" outlineLevel="0" collapsed="false">
      <c r="A93" s="47"/>
      <c r="B93" s="46"/>
      <c r="C93" s="46"/>
      <c r="D93" s="47"/>
      <c r="E93" s="47"/>
      <c r="F93" s="47"/>
      <c r="G93" s="40"/>
      <c r="H93" s="40"/>
      <c r="I93" s="47"/>
      <c r="J93" s="47"/>
      <c r="K93" s="47"/>
      <c r="L93" s="43"/>
      <c r="M93" s="46"/>
      <c r="N93" s="48" t="str">
        <f aca="true">IF(OR(A93="",G93=""),"",MAX(1,NETWORKDAYS(G93,IF(H93="",TODAY(),H93),Bank_Holidays!$A$6:$A$60)))</f>
        <v/>
      </c>
      <c r="O93" s="49" t="str">
        <f aca="false">IF(N93="","",IF(N93&lt;=2,"0-2 Days",IF(N93&lt;=5,"3-5 Days",IF(N93&lt;=10,"6-10 Days","&gt;10 Days"))))</f>
        <v/>
      </c>
      <c r="P93" s="46"/>
    </row>
    <row r="94" customFormat="false" ht="15" hidden="false" customHeight="false" outlineLevel="0" collapsed="false">
      <c r="A94" s="47"/>
      <c r="B94" s="46"/>
      <c r="C94" s="46"/>
      <c r="D94" s="47"/>
      <c r="E94" s="47"/>
      <c r="F94" s="47"/>
      <c r="G94" s="40"/>
      <c r="H94" s="40"/>
      <c r="I94" s="47"/>
      <c r="J94" s="47"/>
      <c r="K94" s="47"/>
      <c r="L94" s="43"/>
      <c r="M94" s="46"/>
      <c r="N94" s="48" t="str">
        <f aca="true">IF(OR(A94="",G94=""),"",MAX(1,NETWORKDAYS(G94,IF(H94="",TODAY(),H94),Bank_Holidays!$A$6:$A$60)))</f>
        <v/>
      </c>
      <c r="O94" s="49" t="str">
        <f aca="false">IF(N94="","",IF(N94&lt;=2,"0-2 Days",IF(N94&lt;=5,"3-5 Days",IF(N94&lt;=10,"6-10 Days","&gt;10 Days"))))</f>
        <v/>
      </c>
      <c r="P94" s="46"/>
    </row>
    <row r="95" customFormat="false" ht="15" hidden="false" customHeight="false" outlineLevel="0" collapsed="false">
      <c r="A95" s="47"/>
      <c r="B95" s="46"/>
      <c r="C95" s="46"/>
      <c r="D95" s="47"/>
      <c r="E95" s="47"/>
      <c r="F95" s="47"/>
      <c r="G95" s="40"/>
      <c r="H95" s="40"/>
      <c r="I95" s="47"/>
      <c r="J95" s="47"/>
      <c r="K95" s="47"/>
      <c r="L95" s="43"/>
      <c r="M95" s="46"/>
      <c r="N95" s="48" t="str">
        <f aca="true">IF(OR(A95="",G95=""),"",MAX(1,NETWORKDAYS(G95,IF(H95="",TODAY(),H95),Bank_Holidays!$A$6:$A$60)))</f>
        <v/>
      </c>
      <c r="O95" s="49" t="str">
        <f aca="false">IF(N95="","",IF(N95&lt;=2,"0-2 Days",IF(N95&lt;=5,"3-5 Days",IF(N95&lt;=10,"6-10 Days","&gt;10 Days"))))</f>
        <v/>
      </c>
      <c r="P95" s="46"/>
    </row>
    <row r="96" customFormat="false" ht="15" hidden="false" customHeight="false" outlineLevel="0" collapsed="false">
      <c r="A96" s="47"/>
      <c r="B96" s="46"/>
      <c r="C96" s="46"/>
      <c r="D96" s="47"/>
      <c r="E96" s="47"/>
      <c r="F96" s="47"/>
      <c r="G96" s="40"/>
      <c r="H96" s="40"/>
      <c r="I96" s="47"/>
      <c r="J96" s="47"/>
      <c r="K96" s="47"/>
      <c r="L96" s="43"/>
      <c r="M96" s="46"/>
      <c r="N96" s="48" t="str">
        <f aca="true">IF(OR(A96="",G96=""),"",MAX(1,NETWORKDAYS(G96,IF(H96="",TODAY(),H96),Bank_Holidays!$A$6:$A$60)))</f>
        <v/>
      </c>
      <c r="O96" s="49" t="str">
        <f aca="false">IF(N96="","",IF(N96&lt;=2,"0-2 Days",IF(N96&lt;=5,"3-5 Days",IF(N96&lt;=10,"6-10 Days","&gt;10 Days"))))</f>
        <v/>
      </c>
      <c r="P96" s="46"/>
    </row>
    <row r="97" customFormat="false" ht="15" hidden="false" customHeight="false" outlineLevel="0" collapsed="false">
      <c r="A97" s="47"/>
      <c r="B97" s="46"/>
      <c r="C97" s="46"/>
      <c r="D97" s="47"/>
      <c r="E97" s="47"/>
      <c r="F97" s="47"/>
      <c r="G97" s="40"/>
      <c r="H97" s="40"/>
      <c r="I97" s="47"/>
      <c r="J97" s="47"/>
      <c r="K97" s="47"/>
      <c r="L97" s="43"/>
      <c r="M97" s="46"/>
      <c r="N97" s="48" t="str">
        <f aca="true">IF(OR(A97="",G97=""),"",MAX(1,NETWORKDAYS(G97,IF(H97="",TODAY(),H97),Bank_Holidays!$A$6:$A$60)))</f>
        <v/>
      </c>
      <c r="O97" s="49" t="str">
        <f aca="false">IF(N97="","",IF(N97&lt;=2,"0-2 Days",IF(N97&lt;=5,"3-5 Days",IF(N97&lt;=10,"6-10 Days","&gt;10 Days"))))</f>
        <v/>
      </c>
      <c r="P97" s="46"/>
    </row>
    <row r="98" customFormat="false" ht="15" hidden="false" customHeight="false" outlineLevel="0" collapsed="false">
      <c r="A98" s="47"/>
      <c r="B98" s="46"/>
      <c r="C98" s="46"/>
      <c r="D98" s="47"/>
      <c r="E98" s="47"/>
      <c r="F98" s="47"/>
      <c r="G98" s="40"/>
      <c r="H98" s="40"/>
      <c r="I98" s="47"/>
      <c r="J98" s="47"/>
      <c r="K98" s="47"/>
      <c r="L98" s="43"/>
      <c r="M98" s="46"/>
      <c r="N98" s="48" t="str">
        <f aca="true">IF(OR(A98="",G98=""),"",MAX(1,NETWORKDAYS(G98,IF(H98="",TODAY(),H98),Bank_Holidays!$A$6:$A$60)))</f>
        <v/>
      </c>
      <c r="O98" s="49" t="str">
        <f aca="false">IF(N98="","",IF(N98&lt;=2,"0-2 Days",IF(N98&lt;=5,"3-5 Days",IF(N98&lt;=10,"6-10 Days","&gt;10 Days"))))</f>
        <v/>
      </c>
      <c r="P98" s="46"/>
    </row>
    <row r="99" customFormat="false" ht="15" hidden="false" customHeight="false" outlineLevel="0" collapsed="false">
      <c r="A99" s="47"/>
      <c r="B99" s="46"/>
      <c r="C99" s="46"/>
      <c r="D99" s="47"/>
      <c r="E99" s="47"/>
      <c r="F99" s="47"/>
      <c r="G99" s="40"/>
      <c r="H99" s="40"/>
      <c r="I99" s="47"/>
      <c r="J99" s="47"/>
      <c r="K99" s="47"/>
      <c r="L99" s="43"/>
      <c r="M99" s="46"/>
      <c r="N99" s="48" t="str">
        <f aca="true">IF(OR(A99="",G99=""),"",MAX(1,NETWORKDAYS(G99,IF(H99="",TODAY(),H99),Bank_Holidays!$A$6:$A$60)))</f>
        <v/>
      </c>
      <c r="O99" s="49" t="str">
        <f aca="false">IF(N99="","",IF(N99&lt;=2,"0-2 Days",IF(N99&lt;=5,"3-5 Days",IF(N99&lt;=10,"6-10 Days","&gt;10 Days"))))</f>
        <v/>
      </c>
      <c r="P99" s="46"/>
    </row>
    <row r="100" customFormat="false" ht="15" hidden="false" customHeight="false" outlineLevel="0" collapsed="false">
      <c r="A100" s="47"/>
      <c r="B100" s="46"/>
      <c r="C100" s="46"/>
      <c r="D100" s="47"/>
      <c r="E100" s="47"/>
      <c r="F100" s="47"/>
      <c r="G100" s="40"/>
      <c r="H100" s="40"/>
      <c r="I100" s="47"/>
      <c r="J100" s="47"/>
      <c r="K100" s="47"/>
      <c r="L100" s="43"/>
      <c r="M100" s="46"/>
      <c r="N100" s="48" t="str">
        <f aca="true">IF(OR(A100="",G100=""),"",MAX(1,NETWORKDAYS(G100,IF(H100="",TODAY(),H100),Bank_Holidays!$A$6:$A$60)))</f>
        <v/>
      </c>
      <c r="O100" s="49" t="str">
        <f aca="false">IF(N100="","",IF(N100&lt;=2,"0-2 Days",IF(N100&lt;=5,"3-5 Days",IF(N100&lt;=10,"6-10 Days","&gt;10 Days"))))</f>
        <v/>
      </c>
      <c r="P100" s="46"/>
    </row>
    <row r="101" customFormat="false" ht="15" hidden="false" customHeight="false" outlineLevel="0" collapsed="false">
      <c r="A101" s="47"/>
      <c r="B101" s="46"/>
      <c r="C101" s="46"/>
      <c r="D101" s="47"/>
      <c r="E101" s="47"/>
      <c r="F101" s="47"/>
      <c r="G101" s="40"/>
      <c r="H101" s="40"/>
      <c r="I101" s="47"/>
      <c r="J101" s="47"/>
      <c r="K101" s="47"/>
      <c r="L101" s="43"/>
      <c r="M101" s="46"/>
      <c r="N101" s="48" t="str">
        <f aca="true">IF(OR(A101="",G101=""),"",MAX(1,NETWORKDAYS(G101,IF(H101="",TODAY(),H101),Bank_Holidays!$A$6:$A$60)))</f>
        <v/>
      </c>
      <c r="O101" s="49" t="str">
        <f aca="false">IF(N101="","",IF(N101&lt;=2,"0-2 Days",IF(N101&lt;=5,"3-5 Days",IF(N101&lt;=10,"6-10 Days","&gt;10 Days"))))</f>
        <v/>
      </c>
      <c r="P101" s="46"/>
    </row>
    <row r="102" customFormat="false" ht="15" hidden="false" customHeight="false" outlineLevel="0" collapsed="false">
      <c r="A102" s="47"/>
      <c r="B102" s="46"/>
      <c r="C102" s="46"/>
      <c r="D102" s="47"/>
      <c r="E102" s="47"/>
      <c r="F102" s="47"/>
      <c r="G102" s="40"/>
      <c r="H102" s="40"/>
      <c r="I102" s="47"/>
      <c r="J102" s="47"/>
      <c r="K102" s="47"/>
      <c r="L102" s="43"/>
      <c r="M102" s="46"/>
      <c r="N102" s="48" t="str">
        <f aca="true">IF(OR(A102="",G102=""),"",MAX(1,NETWORKDAYS(G102,IF(H102="",TODAY(),H102),Bank_Holidays!$A$6:$A$60)))</f>
        <v/>
      </c>
      <c r="O102" s="49" t="str">
        <f aca="false">IF(N102="","",IF(N102&lt;=2,"0-2 Days",IF(N102&lt;=5,"3-5 Days",IF(N102&lt;=10,"6-10 Days","&gt;10 Days"))))</f>
        <v/>
      </c>
      <c r="P102" s="46"/>
    </row>
    <row r="103" customFormat="false" ht="15" hidden="false" customHeight="false" outlineLevel="0" collapsed="false">
      <c r="A103" s="47"/>
      <c r="B103" s="46"/>
      <c r="C103" s="46"/>
      <c r="D103" s="47"/>
      <c r="E103" s="47"/>
      <c r="F103" s="47"/>
      <c r="G103" s="40"/>
      <c r="H103" s="40"/>
      <c r="I103" s="47"/>
      <c r="J103" s="47"/>
      <c r="K103" s="47"/>
      <c r="L103" s="43"/>
      <c r="M103" s="46"/>
      <c r="N103" s="48" t="str">
        <f aca="true">IF(OR(A103="",G103=""),"",MAX(1,NETWORKDAYS(G103,IF(H103="",TODAY(),H103),Bank_Holidays!$A$6:$A$60)))</f>
        <v/>
      </c>
      <c r="O103" s="49" t="str">
        <f aca="false">IF(N103="","",IF(N103&lt;=2,"0-2 Days",IF(N103&lt;=5,"3-5 Days",IF(N103&lt;=10,"6-10 Days","&gt;10 Days"))))</f>
        <v/>
      </c>
      <c r="P103" s="46"/>
    </row>
    <row r="104" customFormat="false" ht="15" hidden="false" customHeight="false" outlineLevel="0" collapsed="false">
      <c r="A104" s="47"/>
      <c r="B104" s="46"/>
      <c r="C104" s="46"/>
      <c r="D104" s="47"/>
      <c r="E104" s="47"/>
      <c r="F104" s="47"/>
      <c r="G104" s="40"/>
      <c r="H104" s="40"/>
      <c r="I104" s="47"/>
      <c r="J104" s="47"/>
      <c r="K104" s="47"/>
      <c r="L104" s="43"/>
      <c r="M104" s="46"/>
      <c r="N104" s="48" t="str">
        <f aca="true">IF(OR(A104="",G104=""),"",MAX(1,NETWORKDAYS(G104,IF(H104="",TODAY(),H104),Bank_Holidays!$A$6:$A$60)))</f>
        <v/>
      </c>
      <c r="O104" s="49" t="str">
        <f aca="false">IF(N104="","",IF(N104&lt;=2,"0-2 Days",IF(N104&lt;=5,"3-5 Days",IF(N104&lt;=10,"6-10 Days","&gt;10 Days"))))</f>
        <v/>
      </c>
      <c r="P104" s="46"/>
    </row>
    <row r="105" customFormat="false" ht="15" hidden="false" customHeight="false" outlineLevel="0" collapsed="false">
      <c r="A105" s="47"/>
      <c r="B105" s="46"/>
      <c r="C105" s="46"/>
      <c r="D105" s="47"/>
      <c r="E105" s="47"/>
      <c r="F105" s="47"/>
      <c r="G105" s="40"/>
      <c r="H105" s="40"/>
      <c r="I105" s="47"/>
      <c r="J105" s="47"/>
      <c r="K105" s="47"/>
      <c r="L105" s="43"/>
      <c r="M105" s="46"/>
      <c r="N105" s="48" t="str">
        <f aca="true">IF(OR(A105="",G105=""),"",MAX(1,NETWORKDAYS(G105,IF(H105="",TODAY(),H105),Bank_Holidays!$A$6:$A$60)))</f>
        <v/>
      </c>
      <c r="O105" s="49" t="str">
        <f aca="false">IF(N105="","",IF(N105&lt;=2,"0-2 Days",IF(N105&lt;=5,"3-5 Days",IF(N105&lt;=10,"6-10 Days","&gt;10 Days"))))</f>
        <v/>
      </c>
      <c r="P105" s="46"/>
    </row>
    <row r="106" customFormat="false" ht="15" hidden="false" customHeight="false" outlineLevel="0" collapsed="false">
      <c r="A106" s="47"/>
      <c r="B106" s="46"/>
      <c r="C106" s="46"/>
      <c r="D106" s="47"/>
      <c r="E106" s="47"/>
      <c r="F106" s="47"/>
      <c r="G106" s="40"/>
      <c r="H106" s="40"/>
      <c r="I106" s="47"/>
      <c r="J106" s="47"/>
      <c r="K106" s="47"/>
      <c r="L106" s="43"/>
      <c r="M106" s="46"/>
      <c r="N106" s="48" t="str">
        <f aca="true">IF(OR(A106="",G106=""),"",MAX(1,NETWORKDAYS(G106,IF(H106="",TODAY(),H106),Bank_Holidays!$A$6:$A$60)))</f>
        <v/>
      </c>
      <c r="O106" s="49" t="str">
        <f aca="false">IF(N106="","",IF(N106&lt;=2,"0-2 Days",IF(N106&lt;=5,"3-5 Days",IF(N106&lt;=10,"6-10 Days","&gt;10 Days"))))</f>
        <v/>
      </c>
      <c r="P106" s="46"/>
    </row>
    <row r="107" customFormat="false" ht="15" hidden="false" customHeight="false" outlineLevel="0" collapsed="false">
      <c r="A107" s="47"/>
      <c r="B107" s="46"/>
      <c r="C107" s="46"/>
      <c r="D107" s="47"/>
      <c r="E107" s="47"/>
      <c r="F107" s="47"/>
      <c r="G107" s="40"/>
      <c r="H107" s="40"/>
      <c r="I107" s="47"/>
      <c r="J107" s="47"/>
      <c r="K107" s="47"/>
      <c r="L107" s="43"/>
      <c r="M107" s="46"/>
      <c r="N107" s="48" t="str">
        <f aca="true">IF(OR(A107="",G107=""),"",MAX(1,NETWORKDAYS(G107,IF(H107="",TODAY(),H107),Bank_Holidays!$A$6:$A$60)))</f>
        <v/>
      </c>
      <c r="O107" s="49" t="str">
        <f aca="false">IF(N107="","",IF(N107&lt;=2,"0-2 Days",IF(N107&lt;=5,"3-5 Days",IF(N107&lt;=10,"6-10 Days","&gt;10 Days"))))</f>
        <v/>
      </c>
      <c r="P107" s="46"/>
    </row>
    <row r="108" customFormat="false" ht="15" hidden="false" customHeight="false" outlineLevel="0" collapsed="false">
      <c r="A108" s="47"/>
      <c r="B108" s="46"/>
      <c r="C108" s="46"/>
      <c r="D108" s="47"/>
      <c r="E108" s="47"/>
      <c r="F108" s="47"/>
      <c r="G108" s="40"/>
      <c r="H108" s="40"/>
      <c r="I108" s="47"/>
      <c r="J108" s="47"/>
      <c r="K108" s="47"/>
      <c r="L108" s="43"/>
      <c r="M108" s="46"/>
      <c r="N108" s="48" t="str">
        <f aca="true">IF(OR(A108="",G108=""),"",MAX(1,NETWORKDAYS(G108,IF(H108="",TODAY(),H108),Bank_Holidays!$A$6:$A$60)))</f>
        <v/>
      </c>
      <c r="O108" s="49" t="str">
        <f aca="false">IF(N108="","",IF(N108&lt;=2,"0-2 Days",IF(N108&lt;=5,"3-5 Days",IF(N108&lt;=10,"6-10 Days","&gt;10 Days"))))</f>
        <v/>
      </c>
      <c r="P108" s="46"/>
    </row>
    <row r="109" customFormat="false" ht="15" hidden="false" customHeight="false" outlineLevel="0" collapsed="false">
      <c r="A109" s="47"/>
      <c r="B109" s="46"/>
      <c r="C109" s="46"/>
      <c r="D109" s="47"/>
      <c r="E109" s="47"/>
      <c r="F109" s="47"/>
      <c r="G109" s="40"/>
      <c r="H109" s="40"/>
      <c r="I109" s="47"/>
      <c r="J109" s="47"/>
      <c r="K109" s="47"/>
      <c r="L109" s="43"/>
      <c r="M109" s="46"/>
      <c r="N109" s="48" t="str">
        <f aca="true">IF(OR(A109="",G109=""),"",MAX(1,NETWORKDAYS(G109,IF(H109="",TODAY(),H109),Bank_Holidays!$A$6:$A$60)))</f>
        <v/>
      </c>
      <c r="O109" s="49" t="str">
        <f aca="false">IF(N109="","",IF(N109&lt;=2,"0-2 Days",IF(N109&lt;=5,"3-5 Days",IF(N109&lt;=10,"6-10 Days","&gt;10 Days"))))</f>
        <v/>
      </c>
      <c r="P109" s="46"/>
    </row>
    <row r="110" customFormat="false" ht="15" hidden="false" customHeight="false" outlineLevel="0" collapsed="false">
      <c r="A110" s="47"/>
      <c r="B110" s="46"/>
      <c r="C110" s="46"/>
      <c r="D110" s="47"/>
      <c r="E110" s="47"/>
      <c r="F110" s="47"/>
      <c r="G110" s="40"/>
      <c r="H110" s="40"/>
      <c r="I110" s="47"/>
      <c r="J110" s="47"/>
      <c r="K110" s="47"/>
      <c r="L110" s="43"/>
      <c r="M110" s="46"/>
      <c r="N110" s="48" t="str">
        <f aca="true">IF(OR(A110="",G110=""),"",MAX(1,NETWORKDAYS(G110,IF(H110="",TODAY(),H110),Bank_Holidays!$A$6:$A$60)))</f>
        <v/>
      </c>
      <c r="O110" s="49" t="str">
        <f aca="false">IF(N110="","",IF(N110&lt;=2,"0-2 Days",IF(N110&lt;=5,"3-5 Days",IF(N110&lt;=10,"6-10 Days","&gt;10 Days"))))</f>
        <v/>
      </c>
      <c r="P110" s="46"/>
    </row>
    <row r="111" customFormat="false" ht="15" hidden="false" customHeight="false" outlineLevel="0" collapsed="false">
      <c r="A111" s="47"/>
      <c r="B111" s="46"/>
      <c r="C111" s="46"/>
      <c r="D111" s="47"/>
      <c r="E111" s="47"/>
      <c r="F111" s="47"/>
      <c r="G111" s="40"/>
      <c r="H111" s="40"/>
      <c r="I111" s="47"/>
      <c r="J111" s="47"/>
      <c r="K111" s="47"/>
      <c r="L111" s="43"/>
      <c r="M111" s="46"/>
      <c r="N111" s="48" t="str">
        <f aca="true">IF(OR(A111="",G111=""),"",MAX(1,NETWORKDAYS(G111,IF(H111="",TODAY(),H111),Bank_Holidays!$A$6:$A$60)))</f>
        <v/>
      </c>
      <c r="O111" s="49" t="str">
        <f aca="false">IF(N111="","",IF(N111&lt;=2,"0-2 Days",IF(N111&lt;=5,"3-5 Days",IF(N111&lt;=10,"6-10 Days","&gt;10 Days"))))</f>
        <v/>
      </c>
      <c r="P111" s="46"/>
    </row>
    <row r="112" customFormat="false" ht="15" hidden="false" customHeight="false" outlineLevel="0" collapsed="false">
      <c r="A112" s="47"/>
      <c r="B112" s="46"/>
      <c r="C112" s="46"/>
      <c r="D112" s="47"/>
      <c r="E112" s="47"/>
      <c r="F112" s="47"/>
      <c r="G112" s="40"/>
      <c r="H112" s="40"/>
      <c r="I112" s="47"/>
      <c r="J112" s="47"/>
      <c r="K112" s="47"/>
      <c r="L112" s="43"/>
      <c r="M112" s="46"/>
      <c r="N112" s="48" t="str">
        <f aca="true">IF(OR(A112="",G112=""),"",MAX(1,NETWORKDAYS(G112,IF(H112="",TODAY(),H112),Bank_Holidays!$A$6:$A$60)))</f>
        <v/>
      </c>
      <c r="O112" s="49" t="str">
        <f aca="false">IF(N112="","",IF(N112&lt;=2,"0-2 Days",IF(N112&lt;=5,"3-5 Days",IF(N112&lt;=10,"6-10 Days","&gt;10 Days"))))</f>
        <v/>
      </c>
      <c r="P112" s="46"/>
    </row>
    <row r="113" customFormat="false" ht="15" hidden="false" customHeight="false" outlineLevel="0" collapsed="false">
      <c r="A113" s="47"/>
      <c r="B113" s="46"/>
      <c r="C113" s="46"/>
      <c r="D113" s="47"/>
      <c r="E113" s="47"/>
      <c r="F113" s="47"/>
      <c r="G113" s="40"/>
      <c r="H113" s="40"/>
      <c r="I113" s="47"/>
      <c r="J113" s="47"/>
      <c r="K113" s="47"/>
      <c r="L113" s="43"/>
      <c r="M113" s="46"/>
      <c r="N113" s="48" t="str">
        <f aca="true">IF(OR(A113="",G113=""),"",MAX(1,NETWORKDAYS(G113,IF(H113="",TODAY(),H113),Bank_Holidays!$A$6:$A$60)))</f>
        <v/>
      </c>
      <c r="O113" s="49" t="str">
        <f aca="false">IF(N113="","",IF(N113&lt;=2,"0-2 Days",IF(N113&lt;=5,"3-5 Days",IF(N113&lt;=10,"6-10 Days","&gt;10 Days"))))</f>
        <v/>
      </c>
      <c r="P113" s="46"/>
    </row>
    <row r="114" customFormat="false" ht="15" hidden="false" customHeight="false" outlineLevel="0" collapsed="false">
      <c r="A114" s="47"/>
      <c r="B114" s="46"/>
      <c r="C114" s="46"/>
      <c r="D114" s="47"/>
      <c r="E114" s="47"/>
      <c r="F114" s="47"/>
      <c r="G114" s="40"/>
      <c r="H114" s="40"/>
      <c r="I114" s="47"/>
      <c r="J114" s="47"/>
      <c r="K114" s="47"/>
      <c r="L114" s="43"/>
      <c r="M114" s="46"/>
      <c r="N114" s="48" t="str">
        <f aca="true">IF(OR(A114="",G114=""),"",MAX(1,NETWORKDAYS(G114,IF(H114="",TODAY(),H114),Bank_Holidays!$A$6:$A$60)))</f>
        <v/>
      </c>
      <c r="O114" s="49" t="str">
        <f aca="false">IF(N114="","",IF(N114&lt;=2,"0-2 Days",IF(N114&lt;=5,"3-5 Days",IF(N114&lt;=10,"6-10 Days","&gt;10 Days"))))</f>
        <v/>
      </c>
      <c r="P114" s="46"/>
    </row>
    <row r="115" customFormat="false" ht="15" hidden="false" customHeight="false" outlineLevel="0" collapsed="false">
      <c r="A115" s="47"/>
      <c r="B115" s="46"/>
      <c r="C115" s="46"/>
      <c r="D115" s="47"/>
      <c r="E115" s="47"/>
      <c r="F115" s="47"/>
      <c r="G115" s="40"/>
      <c r="H115" s="40"/>
      <c r="I115" s="47"/>
      <c r="J115" s="47"/>
      <c r="K115" s="47"/>
      <c r="L115" s="43"/>
      <c r="M115" s="46"/>
      <c r="N115" s="48" t="str">
        <f aca="true">IF(OR(A115="",G115=""),"",MAX(1,NETWORKDAYS(G115,IF(H115="",TODAY(),H115),Bank_Holidays!$A$6:$A$60)))</f>
        <v/>
      </c>
      <c r="O115" s="49" t="str">
        <f aca="false">IF(N115="","",IF(N115&lt;=2,"0-2 Days",IF(N115&lt;=5,"3-5 Days",IF(N115&lt;=10,"6-10 Days","&gt;10 Days"))))</f>
        <v/>
      </c>
      <c r="P115" s="46"/>
    </row>
    <row r="116" customFormat="false" ht="15" hidden="false" customHeight="false" outlineLevel="0" collapsed="false">
      <c r="A116" s="47"/>
      <c r="B116" s="46"/>
      <c r="C116" s="46"/>
      <c r="D116" s="47"/>
      <c r="E116" s="47"/>
      <c r="F116" s="47"/>
      <c r="G116" s="40"/>
      <c r="H116" s="40"/>
      <c r="I116" s="47"/>
      <c r="J116" s="47"/>
      <c r="K116" s="47"/>
      <c r="L116" s="43"/>
      <c r="M116" s="46"/>
      <c r="N116" s="48" t="str">
        <f aca="true">IF(OR(A116="",G116=""),"",MAX(1,NETWORKDAYS(G116,IF(H116="",TODAY(),H116),Bank_Holidays!$A$6:$A$60)))</f>
        <v/>
      </c>
      <c r="O116" s="49" t="str">
        <f aca="false">IF(N116="","",IF(N116&lt;=2,"0-2 Days",IF(N116&lt;=5,"3-5 Days",IF(N116&lt;=10,"6-10 Days","&gt;10 Days"))))</f>
        <v/>
      </c>
      <c r="P116" s="46"/>
    </row>
    <row r="117" customFormat="false" ht="15" hidden="false" customHeight="false" outlineLevel="0" collapsed="false">
      <c r="A117" s="47"/>
      <c r="B117" s="46"/>
      <c r="C117" s="46"/>
      <c r="D117" s="47"/>
      <c r="E117" s="47"/>
      <c r="F117" s="47"/>
      <c r="G117" s="40"/>
      <c r="H117" s="40"/>
      <c r="I117" s="47"/>
      <c r="J117" s="47"/>
      <c r="K117" s="47"/>
      <c r="L117" s="43"/>
      <c r="M117" s="46"/>
      <c r="N117" s="48" t="str">
        <f aca="true">IF(OR(A117="",G117=""),"",MAX(1,NETWORKDAYS(G117,IF(H117="",TODAY(),H117),Bank_Holidays!$A$6:$A$60)))</f>
        <v/>
      </c>
      <c r="O117" s="49" t="str">
        <f aca="false">IF(N117="","",IF(N117&lt;=2,"0-2 Days",IF(N117&lt;=5,"3-5 Days",IF(N117&lt;=10,"6-10 Days","&gt;10 Days"))))</f>
        <v/>
      </c>
      <c r="P117" s="46"/>
    </row>
    <row r="118" customFormat="false" ht="15" hidden="false" customHeight="false" outlineLevel="0" collapsed="false">
      <c r="A118" s="47"/>
      <c r="B118" s="46"/>
      <c r="C118" s="46"/>
      <c r="D118" s="47"/>
      <c r="E118" s="47"/>
      <c r="F118" s="47"/>
      <c r="G118" s="40"/>
      <c r="H118" s="40"/>
      <c r="I118" s="47"/>
      <c r="J118" s="47"/>
      <c r="K118" s="47"/>
      <c r="L118" s="43"/>
      <c r="M118" s="46"/>
      <c r="N118" s="48" t="str">
        <f aca="true">IF(OR(A118="",G118=""),"",MAX(1,NETWORKDAYS(G118,IF(H118="",TODAY(),H118),Bank_Holidays!$A$6:$A$60)))</f>
        <v/>
      </c>
      <c r="O118" s="49" t="str">
        <f aca="false">IF(N118="","",IF(N118&lt;=2,"0-2 Days",IF(N118&lt;=5,"3-5 Days",IF(N118&lt;=10,"6-10 Days","&gt;10 Days"))))</f>
        <v/>
      </c>
      <c r="P118" s="46"/>
    </row>
    <row r="119" customFormat="false" ht="15" hidden="false" customHeight="false" outlineLevel="0" collapsed="false">
      <c r="A119" s="47"/>
      <c r="B119" s="46"/>
      <c r="C119" s="46"/>
      <c r="D119" s="47"/>
      <c r="E119" s="47"/>
      <c r="F119" s="47"/>
      <c r="G119" s="40"/>
      <c r="H119" s="40"/>
      <c r="I119" s="47"/>
      <c r="J119" s="47"/>
      <c r="K119" s="47"/>
      <c r="L119" s="43"/>
      <c r="M119" s="46"/>
      <c r="N119" s="48" t="str">
        <f aca="true">IF(OR(A119="",G119=""),"",MAX(1,NETWORKDAYS(G119,IF(H119="",TODAY(),H119),Bank_Holidays!$A$6:$A$60)))</f>
        <v/>
      </c>
      <c r="O119" s="49" t="str">
        <f aca="false">IF(N119="","",IF(N119&lt;=2,"0-2 Days",IF(N119&lt;=5,"3-5 Days",IF(N119&lt;=10,"6-10 Days","&gt;10 Days"))))</f>
        <v/>
      </c>
      <c r="P119" s="46"/>
    </row>
    <row r="120" customFormat="false" ht="15" hidden="false" customHeight="false" outlineLevel="0" collapsed="false">
      <c r="A120" s="47"/>
      <c r="B120" s="46"/>
      <c r="C120" s="46"/>
      <c r="D120" s="47"/>
      <c r="E120" s="47"/>
      <c r="F120" s="47"/>
      <c r="G120" s="40"/>
      <c r="H120" s="40"/>
      <c r="I120" s="47"/>
      <c r="J120" s="47"/>
      <c r="K120" s="47"/>
      <c r="L120" s="43"/>
      <c r="M120" s="46"/>
      <c r="N120" s="48" t="str">
        <f aca="true">IF(OR(A120="",G120=""),"",MAX(1,NETWORKDAYS(G120,IF(H120="",TODAY(),H120),Bank_Holidays!$A$6:$A$60)))</f>
        <v/>
      </c>
      <c r="O120" s="49" t="str">
        <f aca="false">IF(N120="","",IF(N120&lt;=2,"0-2 Days",IF(N120&lt;=5,"3-5 Days",IF(N120&lt;=10,"6-10 Days","&gt;10 Days"))))</f>
        <v/>
      </c>
      <c r="P120" s="46"/>
    </row>
    <row r="121" customFormat="false" ht="15" hidden="false" customHeight="false" outlineLevel="0" collapsed="false">
      <c r="A121" s="47"/>
      <c r="B121" s="46"/>
      <c r="C121" s="46"/>
      <c r="D121" s="47"/>
      <c r="E121" s="47"/>
      <c r="F121" s="47"/>
      <c r="G121" s="40"/>
      <c r="H121" s="40"/>
      <c r="I121" s="47"/>
      <c r="J121" s="47"/>
      <c r="K121" s="47"/>
      <c r="L121" s="43"/>
      <c r="M121" s="46"/>
      <c r="N121" s="48" t="str">
        <f aca="true">IF(OR(A121="",G121=""),"",MAX(1,NETWORKDAYS(G121,IF(H121="",TODAY(),H121),Bank_Holidays!$A$6:$A$60)))</f>
        <v/>
      </c>
      <c r="O121" s="49" t="str">
        <f aca="false">IF(N121="","",IF(N121&lt;=2,"0-2 Days",IF(N121&lt;=5,"3-5 Days",IF(N121&lt;=10,"6-10 Days","&gt;10 Days"))))</f>
        <v/>
      </c>
      <c r="P121" s="46"/>
    </row>
    <row r="122" customFormat="false" ht="15" hidden="false" customHeight="false" outlineLevel="0" collapsed="false">
      <c r="A122" s="47"/>
      <c r="B122" s="46"/>
      <c r="C122" s="46"/>
      <c r="D122" s="47"/>
      <c r="E122" s="47"/>
      <c r="F122" s="47"/>
      <c r="G122" s="40"/>
      <c r="H122" s="40"/>
      <c r="I122" s="47"/>
      <c r="J122" s="47"/>
      <c r="K122" s="47"/>
      <c r="L122" s="43"/>
      <c r="M122" s="46"/>
      <c r="N122" s="48" t="str">
        <f aca="true">IF(OR(A122="",G122=""),"",MAX(1,NETWORKDAYS(G122,IF(H122="",TODAY(),H122),Bank_Holidays!$A$6:$A$60)))</f>
        <v/>
      </c>
      <c r="O122" s="49" t="str">
        <f aca="false">IF(N122="","",IF(N122&lt;=2,"0-2 Days",IF(N122&lt;=5,"3-5 Days",IF(N122&lt;=10,"6-10 Days","&gt;10 Days"))))</f>
        <v/>
      </c>
      <c r="P122" s="46"/>
    </row>
    <row r="123" customFormat="false" ht="15" hidden="false" customHeight="false" outlineLevel="0" collapsed="false">
      <c r="A123" s="47"/>
      <c r="B123" s="46"/>
      <c r="C123" s="46"/>
      <c r="D123" s="47"/>
      <c r="E123" s="47"/>
      <c r="F123" s="47"/>
      <c r="G123" s="40"/>
      <c r="H123" s="40"/>
      <c r="I123" s="47"/>
      <c r="J123" s="47"/>
      <c r="K123" s="47"/>
      <c r="L123" s="43"/>
      <c r="M123" s="46"/>
      <c r="N123" s="48" t="str">
        <f aca="true">IF(OR(A123="",G123=""),"",MAX(1,NETWORKDAYS(G123,IF(H123="",TODAY(),H123),Bank_Holidays!$A$6:$A$60)))</f>
        <v/>
      </c>
      <c r="O123" s="49" t="str">
        <f aca="false">IF(N123="","",IF(N123&lt;=2,"0-2 Days",IF(N123&lt;=5,"3-5 Days",IF(N123&lt;=10,"6-10 Days","&gt;10 Days"))))</f>
        <v/>
      </c>
      <c r="P123" s="46"/>
    </row>
    <row r="124" customFormat="false" ht="15" hidden="false" customHeight="false" outlineLevel="0" collapsed="false">
      <c r="A124" s="47"/>
      <c r="B124" s="46"/>
      <c r="C124" s="46"/>
      <c r="D124" s="47"/>
      <c r="E124" s="47"/>
      <c r="F124" s="47"/>
      <c r="G124" s="40"/>
      <c r="H124" s="40"/>
      <c r="I124" s="47"/>
      <c r="J124" s="47"/>
      <c r="K124" s="47"/>
      <c r="L124" s="43"/>
      <c r="M124" s="46"/>
      <c r="N124" s="48" t="str">
        <f aca="true">IF(OR(A124="",G124=""),"",MAX(1,NETWORKDAYS(G124,IF(H124="",TODAY(),H124),Bank_Holidays!$A$6:$A$60)))</f>
        <v/>
      </c>
      <c r="O124" s="49" t="str">
        <f aca="false">IF(N124="","",IF(N124&lt;=2,"0-2 Days",IF(N124&lt;=5,"3-5 Days",IF(N124&lt;=10,"6-10 Days","&gt;10 Days"))))</f>
        <v/>
      </c>
      <c r="P124" s="46"/>
    </row>
    <row r="125" customFormat="false" ht="15" hidden="false" customHeight="false" outlineLevel="0" collapsed="false">
      <c r="A125" s="47"/>
      <c r="B125" s="46"/>
      <c r="C125" s="46"/>
      <c r="D125" s="47"/>
      <c r="E125" s="47"/>
      <c r="F125" s="47"/>
      <c r="G125" s="40"/>
      <c r="H125" s="40"/>
      <c r="I125" s="47"/>
      <c r="J125" s="47"/>
      <c r="K125" s="47"/>
      <c r="L125" s="43"/>
      <c r="M125" s="46"/>
      <c r="N125" s="48" t="str">
        <f aca="true">IF(OR(A125="",G125=""),"",MAX(1,NETWORKDAYS(G125,IF(H125="",TODAY(),H125),Bank_Holidays!$A$6:$A$60)))</f>
        <v/>
      </c>
      <c r="O125" s="49" t="str">
        <f aca="false">IF(N125="","",IF(N125&lt;=2,"0-2 Days",IF(N125&lt;=5,"3-5 Days",IF(N125&lt;=10,"6-10 Days","&gt;10 Days"))))</f>
        <v/>
      </c>
      <c r="P125" s="46"/>
    </row>
    <row r="126" customFormat="false" ht="15" hidden="false" customHeight="false" outlineLevel="0" collapsed="false">
      <c r="A126" s="47"/>
      <c r="B126" s="46"/>
      <c r="C126" s="46"/>
      <c r="D126" s="47"/>
      <c r="E126" s="47"/>
      <c r="F126" s="47"/>
      <c r="G126" s="40"/>
      <c r="H126" s="40"/>
      <c r="I126" s="47"/>
      <c r="J126" s="47"/>
      <c r="K126" s="47"/>
      <c r="L126" s="43"/>
      <c r="M126" s="46"/>
      <c r="N126" s="48" t="str">
        <f aca="true">IF(OR(A126="",G126=""),"",MAX(1,NETWORKDAYS(G126,IF(H126="",TODAY(),H126),Bank_Holidays!$A$6:$A$60)))</f>
        <v/>
      </c>
      <c r="O126" s="49" t="str">
        <f aca="false">IF(N126="","",IF(N126&lt;=2,"0-2 Days",IF(N126&lt;=5,"3-5 Days",IF(N126&lt;=10,"6-10 Days","&gt;10 Days"))))</f>
        <v/>
      </c>
      <c r="P126" s="46"/>
    </row>
    <row r="127" customFormat="false" ht="15" hidden="false" customHeight="false" outlineLevel="0" collapsed="false">
      <c r="A127" s="47"/>
      <c r="B127" s="46"/>
      <c r="C127" s="46"/>
      <c r="D127" s="47"/>
      <c r="E127" s="47"/>
      <c r="F127" s="47"/>
      <c r="G127" s="40"/>
      <c r="H127" s="40"/>
      <c r="I127" s="47"/>
      <c r="J127" s="47"/>
      <c r="K127" s="47"/>
      <c r="L127" s="43"/>
      <c r="M127" s="46"/>
      <c r="N127" s="48" t="str">
        <f aca="true">IF(OR(A127="",G127=""),"",MAX(1,NETWORKDAYS(G127,IF(H127="",TODAY(),H127),Bank_Holidays!$A$6:$A$60)))</f>
        <v/>
      </c>
      <c r="O127" s="49" t="str">
        <f aca="false">IF(N127="","",IF(N127&lt;=2,"0-2 Days",IF(N127&lt;=5,"3-5 Days",IF(N127&lt;=10,"6-10 Days","&gt;10 Days"))))</f>
        <v/>
      </c>
      <c r="P127" s="46"/>
    </row>
    <row r="128" customFormat="false" ht="15" hidden="false" customHeight="false" outlineLevel="0" collapsed="false">
      <c r="A128" s="47"/>
      <c r="B128" s="46"/>
      <c r="C128" s="46"/>
      <c r="D128" s="47"/>
      <c r="E128" s="47"/>
      <c r="F128" s="47"/>
      <c r="G128" s="40"/>
      <c r="H128" s="40"/>
      <c r="I128" s="47"/>
      <c r="J128" s="47"/>
      <c r="K128" s="47"/>
      <c r="L128" s="43"/>
      <c r="M128" s="46"/>
      <c r="N128" s="48" t="str">
        <f aca="true">IF(OR(A128="",G128=""),"",MAX(1,NETWORKDAYS(G128,IF(H128="",TODAY(),H128),Bank_Holidays!$A$6:$A$60)))</f>
        <v/>
      </c>
      <c r="O128" s="49" t="str">
        <f aca="false">IF(N128="","",IF(N128&lt;=2,"0-2 Days",IF(N128&lt;=5,"3-5 Days",IF(N128&lt;=10,"6-10 Days","&gt;10 Days"))))</f>
        <v/>
      </c>
      <c r="P128" s="46"/>
    </row>
    <row r="129" customFormat="false" ht="15" hidden="false" customHeight="false" outlineLevel="0" collapsed="false">
      <c r="A129" s="47"/>
      <c r="B129" s="46"/>
      <c r="C129" s="46"/>
      <c r="D129" s="47"/>
      <c r="E129" s="47"/>
      <c r="F129" s="47"/>
      <c r="G129" s="40"/>
      <c r="H129" s="40"/>
      <c r="I129" s="47"/>
      <c r="J129" s="47"/>
      <c r="K129" s="47"/>
      <c r="L129" s="43"/>
      <c r="M129" s="46"/>
      <c r="N129" s="48" t="str">
        <f aca="true">IF(OR(A129="",G129=""),"",MAX(1,NETWORKDAYS(G129,IF(H129="",TODAY(),H129),Bank_Holidays!$A$6:$A$60)))</f>
        <v/>
      </c>
      <c r="O129" s="49" t="str">
        <f aca="false">IF(N129="","",IF(N129&lt;=2,"0-2 Days",IF(N129&lt;=5,"3-5 Days",IF(N129&lt;=10,"6-10 Days","&gt;10 Days"))))</f>
        <v/>
      </c>
      <c r="P129" s="46"/>
    </row>
    <row r="130" customFormat="false" ht="15" hidden="false" customHeight="false" outlineLevel="0" collapsed="false">
      <c r="A130" s="47"/>
      <c r="B130" s="46"/>
      <c r="C130" s="46"/>
      <c r="D130" s="47"/>
      <c r="E130" s="47"/>
      <c r="F130" s="47"/>
      <c r="G130" s="40"/>
      <c r="H130" s="40"/>
      <c r="I130" s="47"/>
      <c r="J130" s="47"/>
      <c r="K130" s="47"/>
      <c r="L130" s="43"/>
      <c r="M130" s="46"/>
      <c r="N130" s="48" t="str">
        <f aca="true">IF(OR(A130="",G130=""),"",MAX(1,NETWORKDAYS(G130,IF(H130="",TODAY(),H130),Bank_Holidays!$A$6:$A$60)))</f>
        <v/>
      </c>
      <c r="O130" s="49" t="str">
        <f aca="false">IF(N130="","",IF(N130&lt;=2,"0-2 Days",IF(N130&lt;=5,"3-5 Days",IF(N130&lt;=10,"6-10 Days","&gt;10 Days"))))</f>
        <v/>
      </c>
      <c r="P130" s="46"/>
    </row>
    <row r="131" customFormat="false" ht="15" hidden="false" customHeight="false" outlineLevel="0" collapsed="false">
      <c r="A131" s="47"/>
      <c r="B131" s="46"/>
      <c r="C131" s="46"/>
      <c r="D131" s="47"/>
      <c r="E131" s="47"/>
      <c r="F131" s="47"/>
      <c r="G131" s="40"/>
      <c r="H131" s="40"/>
      <c r="I131" s="47"/>
      <c r="J131" s="47"/>
      <c r="K131" s="47"/>
      <c r="L131" s="43"/>
      <c r="M131" s="46"/>
      <c r="N131" s="48" t="str">
        <f aca="true">IF(OR(A131="",G131=""),"",MAX(1,NETWORKDAYS(G131,IF(H131="",TODAY(),H131),Bank_Holidays!$A$6:$A$60)))</f>
        <v/>
      </c>
      <c r="O131" s="49" t="str">
        <f aca="false">IF(N131="","",IF(N131&lt;=2,"0-2 Days",IF(N131&lt;=5,"3-5 Days",IF(N131&lt;=10,"6-10 Days","&gt;10 Days"))))</f>
        <v/>
      </c>
      <c r="P131" s="46"/>
    </row>
    <row r="132" customFormat="false" ht="15" hidden="false" customHeight="false" outlineLevel="0" collapsed="false">
      <c r="A132" s="47"/>
      <c r="B132" s="46"/>
      <c r="C132" s="46"/>
      <c r="D132" s="47"/>
      <c r="E132" s="47"/>
      <c r="F132" s="47"/>
      <c r="G132" s="40"/>
      <c r="H132" s="40"/>
      <c r="I132" s="47"/>
      <c r="J132" s="47"/>
      <c r="K132" s="47"/>
      <c r="L132" s="43"/>
      <c r="M132" s="46"/>
      <c r="N132" s="48" t="str">
        <f aca="true">IF(OR(A132="",G132=""),"",MAX(1,NETWORKDAYS(G132,IF(H132="",TODAY(),H132),Bank_Holidays!$A$6:$A$60)))</f>
        <v/>
      </c>
      <c r="O132" s="49" t="str">
        <f aca="false">IF(N132="","",IF(N132&lt;=2,"0-2 Days",IF(N132&lt;=5,"3-5 Days",IF(N132&lt;=10,"6-10 Days","&gt;10 Days"))))</f>
        <v/>
      </c>
      <c r="P132" s="46"/>
    </row>
    <row r="133" customFormat="false" ht="15" hidden="false" customHeight="false" outlineLevel="0" collapsed="false">
      <c r="A133" s="47"/>
      <c r="B133" s="46"/>
      <c r="C133" s="46"/>
      <c r="D133" s="47"/>
      <c r="E133" s="47"/>
      <c r="F133" s="47"/>
      <c r="G133" s="40"/>
      <c r="H133" s="40"/>
      <c r="I133" s="47"/>
      <c r="J133" s="47"/>
      <c r="K133" s="47"/>
      <c r="L133" s="43"/>
      <c r="M133" s="46"/>
      <c r="N133" s="48" t="str">
        <f aca="true">IF(OR(A133="",G133=""),"",MAX(1,NETWORKDAYS(G133,IF(H133="",TODAY(),H133),Bank_Holidays!$A$6:$A$60)))</f>
        <v/>
      </c>
      <c r="O133" s="49" t="str">
        <f aca="false">IF(N133="","",IF(N133&lt;=2,"0-2 Days",IF(N133&lt;=5,"3-5 Days",IF(N133&lt;=10,"6-10 Days","&gt;10 Days"))))</f>
        <v/>
      </c>
      <c r="P133" s="46"/>
    </row>
    <row r="134" customFormat="false" ht="15" hidden="false" customHeight="false" outlineLevel="0" collapsed="false">
      <c r="A134" s="47"/>
      <c r="B134" s="46"/>
      <c r="C134" s="46"/>
      <c r="D134" s="47"/>
      <c r="E134" s="47"/>
      <c r="F134" s="47"/>
      <c r="G134" s="40"/>
      <c r="H134" s="40"/>
      <c r="I134" s="47"/>
      <c r="J134" s="47"/>
      <c r="K134" s="47"/>
      <c r="L134" s="43"/>
      <c r="M134" s="46"/>
      <c r="N134" s="48" t="str">
        <f aca="true">IF(OR(A134="",G134=""),"",MAX(1,NETWORKDAYS(G134,IF(H134="",TODAY(),H134),Bank_Holidays!$A$6:$A$60)))</f>
        <v/>
      </c>
      <c r="O134" s="49" t="str">
        <f aca="false">IF(N134="","",IF(N134&lt;=2,"0-2 Days",IF(N134&lt;=5,"3-5 Days",IF(N134&lt;=10,"6-10 Days","&gt;10 Days"))))</f>
        <v/>
      </c>
      <c r="P134" s="46"/>
    </row>
    <row r="135" customFormat="false" ht="15" hidden="false" customHeight="false" outlineLevel="0" collapsed="false">
      <c r="A135" s="47"/>
      <c r="B135" s="46"/>
      <c r="C135" s="46"/>
      <c r="D135" s="47"/>
      <c r="E135" s="47"/>
      <c r="F135" s="47"/>
      <c r="G135" s="40"/>
      <c r="H135" s="40"/>
      <c r="I135" s="47"/>
      <c r="J135" s="47"/>
      <c r="K135" s="47"/>
      <c r="L135" s="43"/>
      <c r="M135" s="46"/>
      <c r="N135" s="48" t="str">
        <f aca="true">IF(OR(A135="",G135=""),"",MAX(1,NETWORKDAYS(G135,IF(H135="",TODAY(),H135),Bank_Holidays!$A$6:$A$60)))</f>
        <v/>
      </c>
      <c r="O135" s="49" t="str">
        <f aca="false">IF(N135="","",IF(N135&lt;=2,"0-2 Days",IF(N135&lt;=5,"3-5 Days",IF(N135&lt;=10,"6-10 Days","&gt;10 Days"))))</f>
        <v/>
      </c>
      <c r="P135" s="46"/>
    </row>
    <row r="136" customFormat="false" ht="15" hidden="false" customHeight="false" outlineLevel="0" collapsed="false">
      <c r="A136" s="47"/>
      <c r="B136" s="46"/>
      <c r="C136" s="46"/>
      <c r="D136" s="47"/>
      <c r="E136" s="47"/>
      <c r="F136" s="47"/>
      <c r="G136" s="40"/>
      <c r="H136" s="40"/>
      <c r="I136" s="47"/>
      <c r="J136" s="47"/>
      <c r="K136" s="47"/>
      <c r="L136" s="43"/>
      <c r="M136" s="46"/>
      <c r="N136" s="48" t="str">
        <f aca="true">IF(OR(A136="",G136=""),"",MAX(1,NETWORKDAYS(G136,IF(H136="",TODAY(),H136),Bank_Holidays!$A$6:$A$60)))</f>
        <v/>
      </c>
      <c r="O136" s="49" t="str">
        <f aca="false">IF(N136="","",IF(N136&lt;=2,"0-2 Days",IF(N136&lt;=5,"3-5 Days",IF(N136&lt;=10,"6-10 Days","&gt;10 Days"))))</f>
        <v/>
      </c>
      <c r="P136" s="46"/>
    </row>
    <row r="137" customFormat="false" ht="15" hidden="false" customHeight="false" outlineLevel="0" collapsed="false">
      <c r="A137" s="47"/>
      <c r="B137" s="46"/>
      <c r="C137" s="46"/>
      <c r="D137" s="47"/>
      <c r="E137" s="47"/>
      <c r="F137" s="47"/>
      <c r="G137" s="40"/>
      <c r="H137" s="40"/>
      <c r="I137" s="47"/>
      <c r="J137" s="47"/>
      <c r="K137" s="47"/>
      <c r="L137" s="43"/>
      <c r="M137" s="46"/>
      <c r="N137" s="48" t="str">
        <f aca="true">IF(OR(A137="",G137=""),"",MAX(1,NETWORKDAYS(G137,IF(H137="",TODAY(),H137),Bank_Holidays!$A$6:$A$60)))</f>
        <v/>
      </c>
      <c r="O137" s="49" t="str">
        <f aca="false">IF(N137="","",IF(N137&lt;=2,"0-2 Days",IF(N137&lt;=5,"3-5 Days",IF(N137&lt;=10,"6-10 Days","&gt;10 Days"))))</f>
        <v/>
      </c>
      <c r="P137" s="46"/>
    </row>
    <row r="138" customFormat="false" ht="15" hidden="false" customHeight="false" outlineLevel="0" collapsed="false">
      <c r="A138" s="47"/>
      <c r="B138" s="46"/>
      <c r="C138" s="46"/>
      <c r="D138" s="47"/>
      <c r="E138" s="47"/>
      <c r="F138" s="47"/>
      <c r="G138" s="40"/>
      <c r="H138" s="40"/>
      <c r="I138" s="47"/>
      <c r="J138" s="47"/>
      <c r="K138" s="47"/>
      <c r="L138" s="43"/>
      <c r="M138" s="46"/>
      <c r="N138" s="48" t="str">
        <f aca="true">IF(OR(A138="",G138=""),"",MAX(1,NETWORKDAYS(G138,IF(H138="",TODAY(),H138),Bank_Holidays!$A$6:$A$60)))</f>
        <v/>
      </c>
      <c r="O138" s="49" t="str">
        <f aca="false">IF(N138="","",IF(N138&lt;=2,"0-2 Days",IF(N138&lt;=5,"3-5 Days",IF(N138&lt;=10,"6-10 Days","&gt;10 Days"))))</f>
        <v/>
      </c>
      <c r="P138" s="46"/>
    </row>
    <row r="139" customFormat="false" ht="15" hidden="false" customHeight="false" outlineLevel="0" collapsed="false">
      <c r="A139" s="47"/>
      <c r="B139" s="46"/>
      <c r="C139" s="46"/>
      <c r="D139" s="47"/>
      <c r="E139" s="47"/>
      <c r="F139" s="47"/>
      <c r="G139" s="40"/>
      <c r="H139" s="40"/>
      <c r="I139" s="47"/>
      <c r="J139" s="47"/>
      <c r="K139" s="47"/>
      <c r="L139" s="43"/>
      <c r="M139" s="46"/>
      <c r="N139" s="48" t="str">
        <f aca="true">IF(OR(A139="",G139=""),"",MAX(1,NETWORKDAYS(G139,IF(H139="",TODAY(),H139),Bank_Holidays!$A$6:$A$60)))</f>
        <v/>
      </c>
      <c r="O139" s="49" t="str">
        <f aca="false">IF(N139="","",IF(N139&lt;=2,"0-2 Days",IF(N139&lt;=5,"3-5 Days",IF(N139&lt;=10,"6-10 Days","&gt;10 Days"))))</f>
        <v/>
      </c>
      <c r="P139" s="46"/>
    </row>
    <row r="140" customFormat="false" ht="15" hidden="false" customHeight="false" outlineLevel="0" collapsed="false">
      <c r="A140" s="47"/>
      <c r="B140" s="46"/>
      <c r="C140" s="46"/>
      <c r="D140" s="47"/>
      <c r="E140" s="47"/>
      <c r="F140" s="47"/>
      <c r="G140" s="40"/>
      <c r="H140" s="40"/>
      <c r="I140" s="47"/>
      <c r="J140" s="47"/>
      <c r="K140" s="47"/>
      <c r="L140" s="43"/>
      <c r="M140" s="46"/>
      <c r="N140" s="48" t="str">
        <f aca="true">IF(OR(A140="",G140=""),"",MAX(1,NETWORKDAYS(G140,IF(H140="",TODAY(),H140),Bank_Holidays!$A$6:$A$60)))</f>
        <v/>
      </c>
      <c r="O140" s="49" t="str">
        <f aca="false">IF(N140="","",IF(N140&lt;=2,"0-2 Days",IF(N140&lt;=5,"3-5 Days",IF(N140&lt;=10,"6-10 Days","&gt;10 Days"))))</f>
        <v/>
      </c>
      <c r="P140" s="46"/>
    </row>
    <row r="141" customFormat="false" ht="15" hidden="false" customHeight="false" outlineLevel="0" collapsed="false">
      <c r="A141" s="47"/>
      <c r="B141" s="46"/>
      <c r="C141" s="46"/>
      <c r="D141" s="47"/>
      <c r="E141" s="47"/>
      <c r="F141" s="47"/>
      <c r="G141" s="40"/>
      <c r="H141" s="40"/>
      <c r="I141" s="47"/>
      <c r="J141" s="47"/>
      <c r="K141" s="47"/>
      <c r="L141" s="43"/>
      <c r="M141" s="46"/>
      <c r="N141" s="48" t="str">
        <f aca="true">IF(OR(A141="",G141=""),"",MAX(1,NETWORKDAYS(G141,IF(H141="",TODAY(),H141),Bank_Holidays!$A$6:$A$60)))</f>
        <v/>
      </c>
      <c r="O141" s="49" t="str">
        <f aca="false">IF(N141="","",IF(N141&lt;=2,"0-2 Days",IF(N141&lt;=5,"3-5 Days",IF(N141&lt;=10,"6-10 Days","&gt;10 Days"))))</f>
        <v/>
      </c>
      <c r="P141" s="46"/>
    </row>
    <row r="142" customFormat="false" ht="15" hidden="false" customHeight="false" outlineLevel="0" collapsed="false">
      <c r="A142" s="47"/>
      <c r="B142" s="46"/>
      <c r="C142" s="46"/>
      <c r="D142" s="47"/>
      <c r="E142" s="47"/>
      <c r="F142" s="47"/>
      <c r="G142" s="40"/>
      <c r="H142" s="40"/>
      <c r="I142" s="47"/>
      <c r="J142" s="47"/>
      <c r="K142" s="47"/>
      <c r="L142" s="43"/>
      <c r="M142" s="46"/>
      <c r="N142" s="48" t="str">
        <f aca="true">IF(OR(A142="",G142=""),"",MAX(1,NETWORKDAYS(G142,IF(H142="",TODAY(),H142),Bank_Holidays!$A$6:$A$60)))</f>
        <v/>
      </c>
      <c r="O142" s="49" t="str">
        <f aca="false">IF(N142="","",IF(N142&lt;=2,"0-2 Days",IF(N142&lt;=5,"3-5 Days",IF(N142&lt;=10,"6-10 Days","&gt;10 Days"))))</f>
        <v/>
      </c>
      <c r="P142" s="46"/>
    </row>
    <row r="143" customFormat="false" ht="15" hidden="false" customHeight="false" outlineLevel="0" collapsed="false">
      <c r="A143" s="47"/>
      <c r="B143" s="46"/>
      <c r="C143" s="46"/>
      <c r="D143" s="47"/>
      <c r="E143" s="47"/>
      <c r="F143" s="47"/>
      <c r="G143" s="40"/>
      <c r="H143" s="40"/>
      <c r="I143" s="47"/>
      <c r="J143" s="47"/>
      <c r="K143" s="47"/>
      <c r="L143" s="43"/>
      <c r="M143" s="46"/>
      <c r="N143" s="48" t="str">
        <f aca="true">IF(OR(A143="",G143=""),"",MAX(1,NETWORKDAYS(G143,IF(H143="",TODAY(),H143),Bank_Holidays!$A$6:$A$60)))</f>
        <v/>
      </c>
      <c r="O143" s="49" t="str">
        <f aca="false">IF(N143="","",IF(N143&lt;=2,"0-2 Days",IF(N143&lt;=5,"3-5 Days",IF(N143&lt;=10,"6-10 Days","&gt;10 Days"))))</f>
        <v/>
      </c>
      <c r="P143" s="46"/>
    </row>
    <row r="144" customFormat="false" ht="15" hidden="false" customHeight="false" outlineLevel="0" collapsed="false">
      <c r="A144" s="47"/>
      <c r="B144" s="46"/>
      <c r="C144" s="46"/>
      <c r="D144" s="47"/>
      <c r="E144" s="47"/>
      <c r="F144" s="47"/>
      <c r="G144" s="40"/>
      <c r="H144" s="40"/>
      <c r="I144" s="47"/>
      <c r="J144" s="47"/>
      <c r="K144" s="47"/>
      <c r="L144" s="43"/>
      <c r="M144" s="46"/>
      <c r="N144" s="48" t="str">
        <f aca="true">IF(OR(A144="",G144=""),"",MAX(1,NETWORKDAYS(G144,IF(H144="",TODAY(),H144),Bank_Holidays!$A$6:$A$60)))</f>
        <v/>
      </c>
      <c r="O144" s="49" t="str">
        <f aca="false">IF(N144="","",IF(N144&lt;=2,"0-2 Days",IF(N144&lt;=5,"3-5 Days",IF(N144&lt;=10,"6-10 Days","&gt;10 Days"))))</f>
        <v/>
      </c>
      <c r="P144" s="46"/>
    </row>
    <row r="145" customFormat="false" ht="15" hidden="false" customHeight="false" outlineLevel="0" collapsed="false">
      <c r="A145" s="47"/>
      <c r="B145" s="46"/>
      <c r="C145" s="46"/>
      <c r="D145" s="47"/>
      <c r="E145" s="47"/>
      <c r="F145" s="47"/>
      <c r="G145" s="40"/>
      <c r="H145" s="40"/>
      <c r="I145" s="47"/>
      <c r="J145" s="47"/>
      <c r="K145" s="47"/>
      <c r="L145" s="43"/>
      <c r="M145" s="46"/>
      <c r="N145" s="48" t="str">
        <f aca="true">IF(OR(A145="",G145=""),"",MAX(1,NETWORKDAYS(G145,IF(H145="",TODAY(),H145),Bank_Holidays!$A$6:$A$60)))</f>
        <v/>
      </c>
      <c r="O145" s="49" t="str">
        <f aca="false">IF(N145="","",IF(N145&lt;=2,"0-2 Days",IF(N145&lt;=5,"3-5 Days",IF(N145&lt;=10,"6-10 Days","&gt;10 Days"))))</f>
        <v/>
      </c>
      <c r="P145" s="46"/>
    </row>
    <row r="146" customFormat="false" ht="15" hidden="false" customHeight="false" outlineLevel="0" collapsed="false">
      <c r="A146" s="47"/>
      <c r="B146" s="46"/>
      <c r="C146" s="46"/>
      <c r="D146" s="47"/>
      <c r="E146" s="47"/>
      <c r="F146" s="47"/>
      <c r="G146" s="40"/>
      <c r="H146" s="40"/>
      <c r="I146" s="47"/>
      <c r="J146" s="47"/>
      <c r="K146" s="47"/>
      <c r="L146" s="43"/>
      <c r="M146" s="46"/>
      <c r="N146" s="48" t="str">
        <f aca="true">IF(OR(A146="",G146=""),"",MAX(1,NETWORKDAYS(G146,IF(H146="",TODAY(),H146),Bank_Holidays!$A$6:$A$60)))</f>
        <v/>
      </c>
      <c r="O146" s="49" t="str">
        <f aca="false">IF(N146="","",IF(N146&lt;=2,"0-2 Days",IF(N146&lt;=5,"3-5 Days",IF(N146&lt;=10,"6-10 Days","&gt;10 Days"))))</f>
        <v/>
      </c>
      <c r="P146" s="46"/>
    </row>
    <row r="147" customFormat="false" ht="15" hidden="false" customHeight="false" outlineLevel="0" collapsed="false">
      <c r="A147" s="47"/>
      <c r="B147" s="46"/>
      <c r="C147" s="46"/>
      <c r="D147" s="47"/>
      <c r="E147" s="47"/>
      <c r="F147" s="47"/>
      <c r="G147" s="40"/>
      <c r="H147" s="40"/>
      <c r="I147" s="47"/>
      <c r="J147" s="47"/>
      <c r="K147" s="47"/>
      <c r="L147" s="43"/>
      <c r="M147" s="46"/>
      <c r="N147" s="48" t="str">
        <f aca="true">IF(OR(A147="",G147=""),"",MAX(1,NETWORKDAYS(G147,IF(H147="",TODAY(),H147),Bank_Holidays!$A$6:$A$60)))</f>
        <v/>
      </c>
      <c r="O147" s="49" t="str">
        <f aca="false">IF(N147="","",IF(N147&lt;=2,"0-2 Days",IF(N147&lt;=5,"3-5 Days",IF(N147&lt;=10,"6-10 Days","&gt;10 Days"))))</f>
        <v/>
      </c>
      <c r="P147" s="46"/>
    </row>
    <row r="148" customFormat="false" ht="15" hidden="false" customHeight="false" outlineLevel="0" collapsed="false">
      <c r="A148" s="47"/>
      <c r="B148" s="46"/>
      <c r="C148" s="46"/>
      <c r="D148" s="47"/>
      <c r="E148" s="47"/>
      <c r="F148" s="47"/>
      <c r="G148" s="40"/>
      <c r="H148" s="40"/>
      <c r="I148" s="47"/>
      <c r="J148" s="47"/>
      <c r="K148" s="47"/>
      <c r="L148" s="43"/>
      <c r="M148" s="46"/>
      <c r="N148" s="48" t="str">
        <f aca="true">IF(OR(A148="",G148=""),"",MAX(1,NETWORKDAYS(G148,IF(H148="",TODAY(),H148),Bank_Holidays!$A$6:$A$60)))</f>
        <v/>
      </c>
      <c r="O148" s="49" t="str">
        <f aca="false">IF(N148="","",IF(N148&lt;=2,"0-2 Days",IF(N148&lt;=5,"3-5 Days",IF(N148&lt;=10,"6-10 Days","&gt;10 Days"))))</f>
        <v/>
      </c>
      <c r="P148" s="46"/>
    </row>
    <row r="149" customFormat="false" ht="15" hidden="false" customHeight="false" outlineLevel="0" collapsed="false">
      <c r="A149" s="47"/>
      <c r="B149" s="46"/>
      <c r="C149" s="46"/>
      <c r="D149" s="47"/>
      <c r="E149" s="47"/>
      <c r="F149" s="47"/>
      <c r="G149" s="40"/>
      <c r="H149" s="40"/>
      <c r="I149" s="47"/>
      <c r="J149" s="47"/>
      <c r="K149" s="47"/>
      <c r="L149" s="43"/>
      <c r="M149" s="46"/>
      <c r="N149" s="48" t="str">
        <f aca="true">IF(OR(A149="",G149=""),"",MAX(1,NETWORKDAYS(G149,IF(H149="",TODAY(),H149),Bank_Holidays!$A$6:$A$60)))</f>
        <v/>
      </c>
      <c r="O149" s="49" t="str">
        <f aca="false">IF(N149="","",IF(N149&lt;=2,"0-2 Days",IF(N149&lt;=5,"3-5 Days",IF(N149&lt;=10,"6-10 Days","&gt;10 Days"))))</f>
        <v/>
      </c>
      <c r="P149" s="46"/>
    </row>
    <row r="150" customFormat="false" ht="15" hidden="false" customHeight="false" outlineLevel="0" collapsed="false">
      <c r="A150" s="47"/>
      <c r="B150" s="46"/>
      <c r="C150" s="46"/>
      <c r="D150" s="47"/>
      <c r="E150" s="47"/>
      <c r="F150" s="47"/>
      <c r="G150" s="40"/>
      <c r="H150" s="40"/>
      <c r="I150" s="47"/>
      <c r="J150" s="47"/>
      <c r="K150" s="47"/>
      <c r="L150" s="43"/>
      <c r="M150" s="46"/>
      <c r="N150" s="48" t="str">
        <f aca="true">IF(OR(A150="",G150=""),"",MAX(1,NETWORKDAYS(G150,IF(H150="",TODAY(),H150),Bank_Holidays!$A$6:$A$60)))</f>
        <v/>
      </c>
      <c r="O150" s="49" t="str">
        <f aca="false">IF(N150="","",IF(N150&lt;=2,"0-2 Days",IF(N150&lt;=5,"3-5 Days",IF(N150&lt;=10,"6-10 Days","&gt;10 Days"))))</f>
        <v/>
      </c>
      <c r="P150" s="46"/>
    </row>
    <row r="151" customFormat="false" ht="15" hidden="false" customHeight="false" outlineLevel="0" collapsed="false">
      <c r="A151" s="47"/>
      <c r="B151" s="46"/>
      <c r="C151" s="46"/>
      <c r="D151" s="47"/>
      <c r="E151" s="47"/>
      <c r="F151" s="47"/>
      <c r="G151" s="40"/>
      <c r="H151" s="40"/>
      <c r="I151" s="47"/>
      <c r="J151" s="47"/>
      <c r="K151" s="47"/>
      <c r="L151" s="43"/>
      <c r="M151" s="46"/>
      <c r="N151" s="48" t="str">
        <f aca="true">IF(OR(A151="",G151=""),"",MAX(1,NETWORKDAYS(G151,IF(H151="",TODAY(),H151),Bank_Holidays!$A$6:$A$60)))</f>
        <v/>
      </c>
      <c r="O151" s="49" t="str">
        <f aca="false">IF(N151="","",IF(N151&lt;=2,"0-2 Days",IF(N151&lt;=5,"3-5 Days",IF(N151&lt;=10,"6-10 Days","&gt;10 Days"))))</f>
        <v/>
      </c>
      <c r="P151" s="46"/>
    </row>
    <row r="152" customFormat="false" ht="15" hidden="false" customHeight="false" outlineLevel="0" collapsed="false">
      <c r="A152" s="47"/>
      <c r="B152" s="46"/>
      <c r="C152" s="46"/>
      <c r="D152" s="47"/>
      <c r="E152" s="47"/>
      <c r="F152" s="47"/>
      <c r="G152" s="40"/>
      <c r="H152" s="40"/>
      <c r="I152" s="47"/>
      <c r="J152" s="47"/>
      <c r="K152" s="47"/>
      <c r="L152" s="43"/>
      <c r="M152" s="46"/>
      <c r="N152" s="48" t="str">
        <f aca="true">IF(OR(A152="",G152=""),"",MAX(1,NETWORKDAYS(G152,IF(H152="",TODAY(),H152),Bank_Holidays!$A$6:$A$60)))</f>
        <v/>
      </c>
      <c r="O152" s="49" t="str">
        <f aca="false">IF(N152="","",IF(N152&lt;=2,"0-2 Days",IF(N152&lt;=5,"3-5 Days",IF(N152&lt;=10,"6-10 Days","&gt;10 Days"))))</f>
        <v/>
      </c>
      <c r="P152" s="46"/>
    </row>
    <row r="153" customFormat="false" ht="15" hidden="false" customHeight="false" outlineLevel="0" collapsed="false">
      <c r="A153" s="47"/>
      <c r="B153" s="46"/>
      <c r="C153" s="46"/>
      <c r="D153" s="47"/>
      <c r="E153" s="47"/>
      <c r="F153" s="47"/>
      <c r="G153" s="40"/>
      <c r="H153" s="40"/>
      <c r="I153" s="47"/>
      <c r="J153" s="47"/>
      <c r="K153" s="47"/>
      <c r="L153" s="43"/>
      <c r="M153" s="46"/>
      <c r="N153" s="48" t="str">
        <f aca="true">IF(OR(A153="",G153=""),"",MAX(1,NETWORKDAYS(G153,IF(H153="",TODAY(),H153),Bank_Holidays!$A$6:$A$60)))</f>
        <v/>
      </c>
      <c r="O153" s="49" t="str">
        <f aca="false">IF(N153="","",IF(N153&lt;=2,"0-2 Days",IF(N153&lt;=5,"3-5 Days",IF(N153&lt;=10,"6-10 Days","&gt;10 Days"))))</f>
        <v/>
      </c>
      <c r="P153" s="46"/>
    </row>
    <row r="154" customFormat="false" ht="15" hidden="false" customHeight="false" outlineLevel="0" collapsed="false">
      <c r="A154" s="47"/>
      <c r="B154" s="46"/>
      <c r="C154" s="46"/>
      <c r="D154" s="47"/>
      <c r="E154" s="47"/>
      <c r="F154" s="47"/>
      <c r="G154" s="40"/>
      <c r="H154" s="40"/>
      <c r="I154" s="47"/>
      <c r="J154" s="47"/>
      <c r="K154" s="47"/>
      <c r="L154" s="43"/>
      <c r="M154" s="46"/>
      <c r="N154" s="48" t="str">
        <f aca="true">IF(OR(A154="",G154=""),"",MAX(1,NETWORKDAYS(G154,IF(H154="",TODAY(),H154),Bank_Holidays!$A$6:$A$60)))</f>
        <v/>
      </c>
      <c r="O154" s="49" t="str">
        <f aca="false">IF(N154="","",IF(N154&lt;=2,"0-2 Days",IF(N154&lt;=5,"3-5 Days",IF(N154&lt;=10,"6-10 Days","&gt;10 Days"))))</f>
        <v/>
      </c>
      <c r="P154" s="46"/>
    </row>
    <row r="155" customFormat="false" ht="15" hidden="false" customHeight="false" outlineLevel="0" collapsed="false">
      <c r="A155" s="47"/>
      <c r="B155" s="46"/>
      <c r="C155" s="46"/>
      <c r="D155" s="47"/>
      <c r="E155" s="47"/>
      <c r="F155" s="47"/>
      <c r="G155" s="40"/>
      <c r="H155" s="40"/>
      <c r="I155" s="47"/>
      <c r="J155" s="47"/>
      <c r="K155" s="47"/>
      <c r="L155" s="43"/>
      <c r="M155" s="46"/>
      <c r="N155" s="48" t="str">
        <f aca="true">IF(OR(A155="",G155=""),"",MAX(1,NETWORKDAYS(G155,IF(H155="",TODAY(),H155),Bank_Holidays!$A$6:$A$60)))</f>
        <v/>
      </c>
      <c r="O155" s="49" t="str">
        <f aca="false">IF(N155="","",IF(N155&lt;=2,"0-2 Days",IF(N155&lt;=5,"3-5 Days",IF(N155&lt;=10,"6-10 Days","&gt;10 Days"))))</f>
        <v/>
      </c>
      <c r="P155" s="46"/>
    </row>
    <row r="156" customFormat="false" ht="15" hidden="false" customHeight="false" outlineLevel="0" collapsed="false">
      <c r="A156" s="47"/>
      <c r="B156" s="46"/>
      <c r="C156" s="46"/>
      <c r="D156" s="47"/>
      <c r="E156" s="47"/>
      <c r="F156" s="47"/>
      <c r="G156" s="40"/>
      <c r="H156" s="40"/>
      <c r="I156" s="47"/>
      <c r="J156" s="47"/>
      <c r="K156" s="47"/>
      <c r="L156" s="43"/>
      <c r="M156" s="46"/>
      <c r="N156" s="48" t="str">
        <f aca="true">IF(OR(A156="",G156=""),"",MAX(1,NETWORKDAYS(G156,IF(H156="",TODAY(),H156),Bank_Holidays!$A$6:$A$60)))</f>
        <v/>
      </c>
      <c r="O156" s="49" t="str">
        <f aca="false">IF(N156="","",IF(N156&lt;=2,"0-2 Days",IF(N156&lt;=5,"3-5 Days",IF(N156&lt;=10,"6-10 Days","&gt;10 Days"))))</f>
        <v/>
      </c>
      <c r="P156" s="46"/>
    </row>
    <row r="157" customFormat="false" ht="15" hidden="false" customHeight="false" outlineLevel="0" collapsed="false">
      <c r="A157" s="47"/>
      <c r="B157" s="46"/>
      <c r="C157" s="46"/>
      <c r="D157" s="47"/>
      <c r="E157" s="47"/>
      <c r="F157" s="47"/>
      <c r="G157" s="40"/>
      <c r="H157" s="40"/>
      <c r="I157" s="47"/>
      <c r="J157" s="47"/>
      <c r="K157" s="47"/>
      <c r="L157" s="43"/>
      <c r="M157" s="46"/>
      <c r="N157" s="48" t="str">
        <f aca="true">IF(OR(A157="",G157=""),"",MAX(1,NETWORKDAYS(G157,IF(H157="",TODAY(),H157),Bank_Holidays!$A$6:$A$60)))</f>
        <v/>
      </c>
      <c r="O157" s="49" t="str">
        <f aca="false">IF(N157="","",IF(N157&lt;=2,"0-2 Days",IF(N157&lt;=5,"3-5 Days",IF(N157&lt;=10,"6-10 Days","&gt;10 Days"))))</f>
        <v/>
      </c>
      <c r="P157" s="46"/>
    </row>
    <row r="158" customFormat="false" ht="15" hidden="false" customHeight="false" outlineLevel="0" collapsed="false">
      <c r="A158" s="47"/>
      <c r="B158" s="46"/>
      <c r="C158" s="46"/>
      <c r="D158" s="47"/>
      <c r="E158" s="47"/>
      <c r="F158" s="47"/>
      <c r="G158" s="40"/>
      <c r="H158" s="40"/>
      <c r="I158" s="47"/>
      <c r="J158" s="47"/>
      <c r="K158" s="47"/>
      <c r="L158" s="43"/>
      <c r="M158" s="46"/>
      <c r="N158" s="48" t="str">
        <f aca="true">IF(OR(A158="",G158=""),"",MAX(1,NETWORKDAYS(G158,IF(H158="",TODAY(),H158),Bank_Holidays!$A$6:$A$60)))</f>
        <v/>
      </c>
      <c r="O158" s="49" t="str">
        <f aca="false">IF(N158="","",IF(N158&lt;=2,"0-2 Days",IF(N158&lt;=5,"3-5 Days",IF(N158&lt;=10,"6-10 Days","&gt;10 Days"))))</f>
        <v/>
      </c>
      <c r="P158" s="46"/>
    </row>
    <row r="159" customFormat="false" ht="15" hidden="false" customHeight="false" outlineLevel="0" collapsed="false">
      <c r="A159" s="47"/>
      <c r="B159" s="46"/>
      <c r="C159" s="46"/>
      <c r="D159" s="47"/>
      <c r="E159" s="47"/>
      <c r="F159" s="47"/>
      <c r="G159" s="40"/>
      <c r="H159" s="40"/>
      <c r="I159" s="47"/>
      <c r="J159" s="47"/>
      <c r="K159" s="47"/>
      <c r="L159" s="43"/>
      <c r="M159" s="46"/>
      <c r="N159" s="48" t="str">
        <f aca="true">IF(OR(A159="",G159=""),"",MAX(1,NETWORKDAYS(G159,IF(H159="",TODAY(),H159),Bank_Holidays!$A$6:$A$60)))</f>
        <v/>
      </c>
      <c r="O159" s="49" t="str">
        <f aca="false">IF(N159="","",IF(N159&lt;=2,"0-2 Days",IF(N159&lt;=5,"3-5 Days",IF(N159&lt;=10,"6-10 Days","&gt;10 Days"))))</f>
        <v/>
      </c>
      <c r="P159" s="46"/>
    </row>
    <row r="160" customFormat="false" ht="15" hidden="false" customHeight="false" outlineLevel="0" collapsed="false">
      <c r="A160" s="47"/>
      <c r="B160" s="46"/>
      <c r="C160" s="46"/>
      <c r="D160" s="47"/>
      <c r="E160" s="47"/>
      <c r="F160" s="47"/>
      <c r="G160" s="40"/>
      <c r="H160" s="40"/>
      <c r="I160" s="47"/>
      <c r="J160" s="47"/>
      <c r="K160" s="47"/>
      <c r="L160" s="43"/>
      <c r="M160" s="46"/>
      <c r="N160" s="48" t="str">
        <f aca="true">IF(OR(A160="",G160=""),"",MAX(1,NETWORKDAYS(G160,IF(H160="",TODAY(),H160),Bank_Holidays!$A$6:$A$60)))</f>
        <v/>
      </c>
      <c r="O160" s="49" t="str">
        <f aca="false">IF(N160="","",IF(N160&lt;=2,"0-2 Days",IF(N160&lt;=5,"3-5 Days",IF(N160&lt;=10,"6-10 Days","&gt;10 Days"))))</f>
        <v/>
      </c>
      <c r="P160" s="46"/>
    </row>
    <row r="161" customFormat="false" ht="15" hidden="false" customHeight="false" outlineLevel="0" collapsed="false">
      <c r="A161" s="47"/>
      <c r="B161" s="46"/>
      <c r="C161" s="46"/>
      <c r="D161" s="47"/>
      <c r="E161" s="47"/>
      <c r="F161" s="47"/>
      <c r="G161" s="40"/>
      <c r="H161" s="40"/>
      <c r="I161" s="47"/>
      <c r="J161" s="47"/>
      <c r="K161" s="47"/>
      <c r="L161" s="43"/>
      <c r="M161" s="46"/>
      <c r="N161" s="48" t="str">
        <f aca="true">IF(OR(A161="",G161=""),"",MAX(1,NETWORKDAYS(G161,IF(H161="",TODAY(),H161),Bank_Holidays!$A$6:$A$60)))</f>
        <v/>
      </c>
      <c r="O161" s="49" t="str">
        <f aca="false">IF(N161="","",IF(N161&lt;=2,"0-2 Days",IF(N161&lt;=5,"3-5 Days",IF(N161&lt;=10,"6-10 Days","&gt;10 Days"))))</f>
        <v/>
      </c>
      <c r="P161" s="46"/>
    </row>
    <row r="162" customFormat="false" ht="15" hidden="false" customHeight="false" outlineLevel="0" collapsed="false">
      <c r="A162" s="47"/>
      <c r="B162" s="46"/>
      <c r="C162" s="46"/>
      <c r="D162" s="47"/>
      <c r="E162" s="47"/>
      <c r="F162" s="47"/>
      <c r="G162" s="40"/>
      <c r="H162" s="40"/>
      <c r="I162" s="47"/>
      <c r="J162" s="47"/>
      <c r="K162" s="47"/>
      <c r="L162" s="43"/>
      <c r="M162" s="46"/>
      <c r="N162" s="48" t="str">
        <f aca="true">IF(OR(A162="",G162=""),"",MAX(1,NETWORKDAYS(G162,IF(H162="",TODAY(),H162),Bank_Holidays!$A$6:$A$60)))</f>
        <v/>
      </c>
      <c r="O162" s="49" t="str">
        <f aca="false">IF(N162="","",IF(N162&lt;=2,"0-2 Days",IF(N162&lt;=5,"3-5 Days",IF(N162&lt;=10,"6-10 Days","&gt;10 Days"))))</f>
        <v/>
      </c>
      <c r="P162" s="46"/>
    </row>
    <row r="163" customFormat="false" ht="15" hidden="false" customHeight="false" outlineLevel="0" collapsed="false">
      <c r="A163" s="47"/>
      <c r="B163" s="46"/>
      <c r="C163" s="46"/>
      <c r="D163" s="47"/>
      <c r="E163" s="47"/>
      <c r="F163" s="47"/>
      <c r="G163" s="40"/>
      <c r="H163" s="40"/>
      <c r="I163" s="47"/>
      <c r="J163" s="47"/>
      <c r="K163" s="47"/>
      <c r="L163" s="43"/>
      <c r="M163" s="46"/>
      <c r="N163" s="48" t="str">
        <f aca="true">IF(OR(A163="",G163=""),"",MAX(1,NETWORKDAYS(G163,IF(H163="",TODAY(),H163),Bank_Holidays!$A$6:$A$60)))</f>
        <v/>
      </c>
      <c r="O163" s="49" t="str">
        <f aca="false">IF(N163="","",IF(N163&lt;=2,"0-2 Days",IF(N163&lt;=5,"3-5 Days",IF(N163&lt;=10,"6-10 Days","&gt;10 Days"))))</f>
        <v/>
      </c>
      <c r="P163" s="46"/>
    </row>
    <row r="164" customFormat="false" ht="15" hidden="false" customHeight="false" outlineLevel="0" collapsed="false">
      <c r="A164" s="47"/>
      <c r="B164" s="46"/>
      <c r="C164" s="46"/>
      <c r="D164" s="47"/>
      <c r="E164" s="47"/>
      <c r="F164" s="47"/>
      <c r="G164" s="40"/>
      <c r="H164" s="40"/>
      <c r="I164" s="47"/>
      <c r="J164" s="47"/>
      <c r="K164" s="47"/>
      <c r="L164" s="43"/>
      <c r="M164" s="46"/>
      <c r="N164" s="48" t="str">
        <f aca="true">IF(OR(A164="",G164=""),"",MAX(1,NETWORKDAYS(G164,IF(H164="",TODAY(),H164),Bank_Holidays!$A$6:$A$60)))</f>
        <v/>
      </c>
      <c r="O164" s="49" t="str">
        <f aca="false">IF(N164="","",IF(N164&lt;=2,"0-2 Days",IF(N164&lt;=5,"3-5 Days",IF(N164&lt;=10,"6-10 Days","&gt;10 Days"))))</f>
        <v/>
      </c>
      <c r="P164" s="46"/>
    </row>
    <row r="165" customFormat="false" ht="15" hidden="false" customHeight="false" outlineLevel="0" collapsed="false">
      <c r="A165" s="47"/>
      <c r="B165" s="46"/>
      <c r="C165" s="46"/>
      <c r="D165" s="47"/>
      <c r="E165" s="47"/>
      <c r="F165" s="47"/>
      <c r="G165" s="40"/>
      <c r="H165" s="40"/>
      <c r="I165" s="47"/>
      <c r="J165" s="47"/>
      <c r="K165" s="47"/>
      <c r="L165" s="43"/>
      <c r="M165" s="46"/>
      <c r="N165" s="48" t="str">
        <f aca="true">IF(OR(A165="",G165=""),"",MAX(1,NETWORKDAYS(G165,IF(H165="",TODAY(),H165),Bank_Holidays!$A$6:$A$60)))</f>
        <v/>
      </c>
      <c r="O165" s="49" t="str">
        <f aca="false">IF(N165="","",IF(N165&lt;=2,"0-2 Days",IF(N165&lt;=5,"3-5 Days",IF(N165&lt;=10,"6-10 Days","&gt;10 Days"))))</f>
        <v/>
      </c>
      <c r="P165" s="46"/>
    </row>
    <row r="166" customFormat="false" ht="15" hidden="false" customHeight="false" outlineLevel="0" collapsed="false">
      <c r="A166" s="47"/>
      <c r="B166" s="46"/>
      <c r="C166" s="46"/>
      <c r="D166" s="47"/>
      <c r="E166" s="47"/>
      <c r="F166" s="47"/>
      <c r="G166" s="40"/>
      <c r="H166" s="40"/>
      <c r="I166" s="47"/>
      <c r="J166" s="47"/>
      <c r="K166" s="47"/>
      <c r="L166" s="43"/>
      <c r="M166" s="46"/>
      <c r="N166" s="48" t="str">
        <f aca="true">IF(OR(A166="",G166=""),"",MAX(1,NETWORKDAYS(G166,IF(H166="",TODAY(),H166),Bank_Holidays!$A$6:$A$60)))</f>
        <v/>
      </c>
      <c r="O166" s="49" t="str">
        <f aca="false">IF(N166="","",IF(N166&lt;=2,"0-2 Days",IF(N166&lt;=5,"3-5 Days",IF(N166&lt;=10,"6-10 Days","&gt;10 Days"))))</f>
        <v/>
      </c>
      <c r="P166" s="46"/>
    </row>
    <row r="167" customFormat="false" ht="15" hidden="false" customHeight="false" outlineLevel="0" collapsed="false">
      <c r="A167" s="47"/>
      <c r="B167" s="46"/>
      <c r="C167" s="46"/>
      <c r="D167" s="47"/>
      <c r="E167" s="47"/>
      <c r="F167" s="47"/>
      <c r="G167" s="40"/>
      <c r="H167" s="40"/>
      <c r="I167" s="47"/>
      <c r="J167" s="47"/>
      <c r="K167" s="47"/>
      <c r="L167" s="43"/>
      <c r="M167" s="46"/>
      <c r="N167" s="48" t="str">
        <f aca="true">IF(OR(A167="",G167=""),"",MAX(1,NETWORKDAYS(G167,IF(H167="",TODAY(),H167),Bank_Holidays!$A$6:$A$60)))</f>
        <v/>
      </c>
      <c r="O167" s="49" t="str">
        <f aca="false">IF(N167="","",IF(N167&lt;=2,"0-2 Days",IF(N167&lt;=5,"3-5 Days",IF(N167&lt;=10,"6-10 Days","&gt;10 Days"))))</f>
        <v/>
      </c>
      <c r="P167" s="46"/>
    </row>
    <row r="168" customFormat="false" ht="15" hidden="false" customHeight="false" outlineLevel="0" collapsed="false">
      <c r="A168" s="47"/>
      <c r="B168" s="46"/>
      <c r="C168" s="46"/>
      <c r="D168" s="47"/>
      <c r="E168" s="47"/>
      <c r="F168" s="47"/>
      <c r="G168" s="40"/>
      <c r="H168" s="40"/>
      <c r="I168" s="47"/>
      <c r="J168" s="47"/>
      <c r="K168" s="47"/>
      <c r="L168" s="43"/>
      <c r="M168" s="46"/>
      <c r="N168" s="48" t="str">
        <f aca="true">IF(OR(A168="",G168=""),"",MAX(1,NETWORKDAYS(G168,IF(H168="",TODAY(),H168),Bank_Holidays!$A$6:$A$60)))</f>
        <v/>
      </c>
      <c r="O168" s="49" t="str">
        <f aca="false">IF(N168="","",IF(N168&lt;=2,"0-2 Days",IF(N168&lt;=5,"3-5 Days",IF(N168&lt;=10,"6-10 Days","&gt;10 Days"))))</f>
        <v/>
      </c>
      <c r="P168" s="46"/>
    </row>
    <row r="169" customFormat="false" ht="15" hidden="false" customHeight="false" outlineLevel="0" collapsed="false">
      <c r="A169" s="47"/>
      <c r="B169" s="46"/>
      <c r="C169" s="46"/>
      <c r="D169" s="47"/>
      <c r="E169" s="47"/>
      <c r="F169" s="47"/>
      <c r="G169" s="40"/>
      <c r="H169" s="40"/>
      <c r="I169" s="47"/>
      <c r="J169" s="47"/>
      <c r="K169" s="47"/>
      <c r="L169" s="43"/>
      <c r="M169" s="46"/>
      <c r="N169" s="48" t="str">
        <f aca="true">IF(OR(A169="",G169=""),"",MAX(1,NETWORKDAYS(G169,IF(H169="",TODAY(),H169),Bank_Holidays!$A$6:$A$60)))</f>
        <v/>
      </c>
      <c r="O169" s="49" t="str">
        <f aca="false">IF(N169="","",IF(N169&lt;=2,"0-2 Days",IF(N169&lt;=5,"3-5 Days",IF(N169&lt;=10,"6-10 Days","&gt;10 Days"))))</f>
        <v/>
      </c>
      <c r="P169" s="46"/>
    </row>
    <row r="170" customFormat="false" ht="15" hidden="false" customHeight="false" outlineLevel="0" collapsed="false">
      <c r="A170" s="47"/>
      <c r="B170" s="46"/>
      <c r="C170" s="46"/>
      <c r="D170" s="47"/>
      <c r="E170" s="47"/>
      <c r="F170" s="47"/>
      <c r="G170" s="40"/>
      <c r="H170" s="40"/>
      <c r="I170" s="47"/>
      <c r="J170" s="47"/>
      <c r="K170" s="47"/>
      <c r="L170" s="43"/>
      <c r="M170" s="46"/>
      <c r="N170" s="48" t="str">
        <f aca="true">IF(OR(A170="",G170=""),"",MAX(1,NETWORKDAYS(G170,IF(H170="",TODAY(),H170),Bank_Holidays!$A$6:$A$60)))</f>
        <v/>
      </c>
      <c r="O170" s="49" t="str">
        <f aca="false">IF(N170="","",IF(N170&lt;=2,"0-2 Days",IF(N170&lt;=5,"3-5 Days",IF(N170&lt;=10,"6-10 Days","&gt;10 Days"))))</f>
        <v/>
      </c>
      <c r="P170" s="46"/>
    </row>
    <row r="171" customFormat="false" ht="15" hidden="false" customHeight="false" outlineLevel="0" collapsed="false">
      <c r="A171" s="47"/>
      <c r="B171" s="46"/>
      <c r="C171" s="46"/>
      <c r="D171" s="47"/>
      <c r="E171" s="47"/>
      <c r="F171" s="47"/>
      <c r="G171" s="40"/>
      <c r="H171" s="40"/>
      <c r="I171" s="47"/>
      <c r="J171" s="47"/>
      <c r="K171" s="47"/>
      <c r="L171" s="43"/>
      <c r="M171" s="46"/>
      <c r="N171" s="48" t="str">
        <f aca="true">IF(OR(A171="",G171=""),"",MAX(1,NETWORKDAYS(G171,IF(H171="",TODAY(),H171),Bank_Holidays!$A$6:$A$60)))</f>
        <v/>
      </c>
      <c r="O171" s="49" t="str">
        <f aca="false">IF(N171="","",IF(N171&lt;=2,"0-2 Days",IF(N171&lt;=5,"3-5 Days",IF(N171&lt;=10,"6-10 Days","&gt;10 Days"))))</f>
        <v/>
      </c>
      <c r="P171" s="46"/>
    </row>
    <row r="172" customFormat="false" ht="15" hidden="false" customHeight="false" outlineLevel="0" collapsed="false">
      <c r="A172" s="47"/>
      <c r="B172" s="46"/>
      <c r="C172" s="46"/>
      <c r="D172" s="47"/>
      <c r="E172" s="47"/>
      <c r="F172" s="47"/>
      <c r="G172" s="40"/>
      <c r="H172" s="40"/>
      <c r="I172" s="47"/>
      <c r="J172" s="47"/>
      <c r="K172" s="47"/>
      <c r="L172" s="43"/>
      <c r="M172" s="46"/>
      <c r="N172" s="48" t="str">
        <f aca="true">IF(OR(A172="",G172=""),"",MAX(1,NETWORKDAYS(G172,IF(H172="",TODAY(),H172),Bank_Holidays!$A$6:$A$60)))</f>
        <v/>
      </c>
      <c r="O172" s="49" t="str">
        <f aca="false">IF(N172="","",IF(N172&lt;=2,"0-2 Days",IF(N172&lt;=5,"3-5 Days",IF(N172&lt;=10,"6-10 Days","&gt;10 Days"))))</f>
        <v/>
      </c>
      <c r="P172" s="46"/>
    </row>
    <row r="173" customFormat="false" ht="15" hidden="false" customHeight="false" outlineLevel="0" collapsed="false">
      <c r="A173" s="47"/>
      <c r="B173" s="46"/>
      <c r="C173" s="46"/>
      <c r="D173" s="47"/>
      <c r="E173" s="47"/>
      <c r="F173" s="47"/>
      <c r="G173" s="40"/>
      <c r="H173" s="40"/>
      <c r="I173" s="47"/>
      <c r="J173" s="47"/>
      <c r="K173" s="47"/>
      <c r="L173" s="43"/>
      <c r="M173" s="46"/>
      <c r="N173" s="48" t="str">
        <f aca="true">IF(OR(A173="",G173=""),"",MAX(1,NETWORKDAYS(G173,IF(H173="",TODAY(),H173),Bank_Holidays!$A$6:$A$60)))</f>
        <v/>
      </c>
      <c r="O173" s="49" t="str">
        <f aca="false">IF(N173="","",IF(N173&lt;=2,"0-2 Days",IF(N173&lt;=5,"3-5 Days",IF(N173&lt;=10,"6-10 Days","&gt;10 Days"))))</f>
        <v/>
      </c>
      <c r="P173" s="46"/>
    </row>
    <row r="174" customFormat="false" ht="15" hidden="false" customHeight="false" outlineLevel="0" collapsed="false">
      <c r="A174" s="47"/>
      <c r="B174" s="46"/>
      <c r="C174" s="46"/>
      <c r="D174" s="47"/>
      <c r="E174" s="47"/>
      <c r="F174" s="47"/>
      <c r="G174" s="40"/>
      <c r="H174" s="40"/>
      <c r="I174" s="47"/>
      <c r="J174" s="47"/>
      <c r="K174" s="47"/>
      <c r="L174" s="43"/>
      <c r="M174" s="46"/>
      <c r="N174" s="48" t="str">
        <f aca="true">IF(OR(A174="",G174=""),"",MAX(1,NETWORKDAYS(G174,IF(H174="",TODAY(),H174),Bank_Holidays!$A$6:$A$60)))</f>
        <v/>
      </c>
      <c r="O174" s="49" t="str">
        <f aca="false">IF(N174="","",IF(N174&lt;=2,"0-2 Days",IF(N174&lt;=5,"3-5 Days",IF(N174&lt;=10,"6-10 Days","&gt;10 Days"))))</f>
        <v/>
      </c>
      <c r="P174" s="46"/>
    </row>
    <row r="175" customFormat="false" ht="15" hidden="false" customHeight="false" outlineLevel="0" collapsed="false">
      <c r="A175" s="47"/>
      <c r="B175" s="46"/>
      <c r="C175" s="46"/>
      <c r="D175" s="47"/>
      <c r="E175" s="47"/>
      <c r="F175" s="47"/>
      <c r="G175" s="40"/>
      <c r="H175" s="40"/>
      <c r="I175" s="47"/>
      <c r="J175" s="47"/>
      <c r="K175" s="47"/>
      <c r="L175" s="43"/>
      <c r="M175" s="46"/>
      <c r="N175" s="48" t="str">
        <f aca="true">IF(OR(A175="",G175=""),"",MAX(1,NETWORKDAYS(G175,IF(H175="",TODAY(),H175),Bank_Holidays!$A$6:$A$60)))</f>
        <v/>
      </c>
      <c r="O175" s="49" t="str">
        <f aca="false">IF(N175="","",IF(N175&lt;=2,"0-2 Days",IF(N175&lt;=5,"3-5 Days",IF(N175&lt;=10,"6-10 Days","&gt;10 Days"))))</f>
        <v/>
      </c>
      <c r="P175" s="46"/>
    </row>
    <row r="176" customFormat="false" ht="15" hidden="false" customHeight="false" outlineLevel="0" collapsed="false">
      <c r="A176" s="47"/>
      <c r="B176" s="46"/>
      <c r="C176" s="46"/>
      <c r="D176" s="47"/>
      <c r="E176" s="47"/>
      <c r="F176" s="47"/>
      <c r="G176" s="40"/>
      <c r="H176" s="40"/>
      <c r="I176" s="47"/>
      <c r="J176" s="47"/>
      <c r="K176" s="47"/>
      <c r="L176" s="43"/>
      <c r="M176" s="46"/>
      <c r="N176" s="48" t="str">
        <f aca="true">IF(OR(A176="",G176=""),"",MAX(1,NETWORKDAYS(G176,IF(H176="",TODAY(),H176),Bank_Holidays!$A$6:$A$60)))</f>
        <v/>
      </c>
      <c r="O176" s="49" t="str">
        <f aca="false">IF(N176="","",IF(N176&lt;=2,"0-2 Days",IF(N176&lt;=5,"3-5 Days",IF(N176&lt;=10,"6-10 Days","&gt;10 Days"))))</f>
        <v/>
      </c>
      <c r="P176" s="46"/>
    </row>
    <row r="177" customFormat="false" ht="15" hidden="false" customHeight="false" outlineLevel="0" collapsed="false">
      <c r="A177" s="47"/>
      <c r="B177" s="46"/>
      <c r="C177" s="46"/>
      <c r="D177" s="47"/>
      <c r="E177" s="47"/>
      <c r="F177" s="47"/>
      <c r="G177" s="40"/>
      <c r="H177" s="40"/>
      <c r="I177" s="47"/>
      <c r="J177" s="47"/>
      <c r="K177" s="47"/>
      <c r="L177" s="43"/>
      <c r="M177" s="46"/>
      <c r="N177" s="48" t="str">
        <f aca="true">IF(OR(A177="",G177=""),"",MAX(1,NETWORKDAYS(G177,IF(H177="",TODAY(),H177),Bank_Holidays!$A$6:$A$60)))</f>
        <v/>
      </c>
      <c r="O177" s="49" t="str">
        <f aca="false">IF(N177="","",IF(N177&lt;=2,"0-2 Days",IF(N177&lt;=5,"3-5 Days",IF(N177&lt;=10,"6-10 Days","&gt;10 Days"))))</f>
        <v/>
      </c>
      <c r="P177" s="46"/>
    </row>
    <row r="178" customFormat="false" ht="15" hidden="false" customHeight="false" outlineLevel="0" collapsed="false">
      <c r="A178" s="47"/>
      <c r="B178" s="46"/>
      <c r="C178" s="46"/>
      <c r="D178" s="47"/>
      <c r="E178" s="47"/>
      <c r="F178" s="47"/>
      <c r="G178" s="40"/>
      <c r="H178" s="40"/>
      <c r="I178" s="47"/>
      <c r="J178" s="47"/>
      <c r="K178" s="47"/>
      <c r="L178" s="43"/>
      <c r="M178" s="46"/>
      <c r="N178" s="48" t="str">
        <f aca="true">IF(OR(A178="",G178=""),"",MAX(1,NETWORKDAYS(G178,IF(H178="",TODAY(),H178),Bank_Holidays!$A$6:$A$60)))</f>
        <v/>
      </c>
      <c r="O178" s="49" t="str">
        <f aca="false">IF(N178="","",IF(N178&lt;=2,"0-2 Days",IF(N178&lt;=5,"3-5 Days",IF(N178&lt;=10,"6-10 Days","&gt;10 Days"))))</f>
        <v/>
      </c>
      <c r="P178" s="46"/>
    </row>
    <row r="179" customFormat="false" ht="15" hidden="false" customHeight="false" outlineLevel="0" collapsed="false">
      <c r="A179" s="47"/>
      <c r="B179" s="46"/>
      <c r="C179" s="46"/>
      <c r="D179" s="47"/>
      <c r="E179" s="47"/>
      <c r="F179" s="47"/>
      <c r="G179" s="40"/>
      <c r="H179" s="40"/>
      <c r="I179" s="47"/>
      <c r="J179" s="47"/>
      <c r="K179" s="47"/>
      <c r="L179" s="43"/>
      <c r="M179" s="46"/>
      <c r="N179" s="48" t="str">
        <f aca="true">IF(OR(A179="",G179=""),"",MAX(1,NETWORKDAYS(G179,IF(H179="",TODAY(),H179),Bank_Holidays!$A$6:$A$60)))</f>
        <v/>
      </c>
      <c r="O179" s="49" t="str">
        <f aca="false">IF(N179="","",IF(N179&lt;=2,"0-2 Days",IF(N179&lt;=5,"3-5 Days",IF(N179&lt;=10,"6-10 Days","&gt;10 Days"))))</f>
        <v/>
      </c>
      <c r="P179" s="46"/>
    </row>
    <row r="180" customFormat="false" ht="15" hidden="false" customHeight="false" outlineLevel="0" collapsed="false">
      <c r="A180" s="47"/>
      <c r="B180" s="46"/>
      <c r="C180" s="46"/>
      <c r="D180" s="47"/>
      <c r="E180" s="47"/>
      <c r="F180" s="47"/>
      <c r="G180" s="40"/>
      <c r="H180" s="40"/>
      <c r="I180" s="47"/>
      <c r="J180" s="47"/>
      <c r="K180" s="47"/>
      <c r="L180" s="43"/>
      <c r="M180" s="46"/>
      <c r="N180" s="48" t="str">
        <f aca="true">IF(OR(A180="",G180=""),"",MAX(1,NETWORKDAYS(G180,IF(H180="",TODAY(),H180),Bank_Holidays!$A$6:$A$60)))</f>
        <v/>
      </c>
      <c r="O180" s="49" t="str">
        <f aca="false">IF(N180="","",IF(N180&lt;=2,"0-2 Days",IF(N180&lt;=5,"3-5 Days",IF(N180&lt;=10,"6-10 Days","&gt;10 Days"))))</f>
        <v/>
      </c>
      <c r="P180" s="46"/>
    </row>
    <row r="181" customFormat="false" ht="15" hidden="false" customHeight="false" outlineLevel="0" collapsed="false">
      <c r="A181" s="47"/>
      <c r="B181" s="46"/>
      <c r="C181" s="46"/>
      <c r="D181" s="47"/>
      <c r="E181" s="47"/>
      <c r="F181" s="47"/>
      <c r="G181" s="40"/>
      <c r="H181" s="40"/>
      <c r="I181" s="47"/>
      <c r="J181" s="47"/>
      <c r="K181" s="47"/>
      <c r="L181" s="43"/>
      <c r="M181" s="46"/>
      <c r="N181" s="48" t="str">
        <f aca="true">IF(OR(A181="",G181=""),"",MAX(1,NETWORKDAYS(G181,IF(H181="",TODAY(),H181),Bank_Holidays!$A$6:$A$60)))</f>
        <v/>
      </c>
      <c r="O181" s="49" t="str">
        <f aca="false">IF(N181="","",IF(N181&lt;=2,"0-2 Days",IF(N181&lt;=5,"3-5 Days",IF(N181&lt;=10,"6-10 Days","&gt;10 Days"))))</f>
        <v/>
      </c>
      <c r="P181" s="46"/>
    </row>
    <row r="182" customFormat="false" ht="15" hidden="false" customHeight="false" outlineLevel="0" collapsed="false">
      <c r="A182" s="47"/>
      <c r="B182" s="46"/>
      <c r="C182" s="46"/>
      <c r="D182" s="47"/>
      <c r="E182" s="47"/>
      <c r="F182" s="47"/>
      <c r="G182" s="40"/>
      <c r="H182" s="40"/>
      <c r="I182" s="47"/>
      <c r="J182" s="47"/>
      <c r="K182" s="47"/>
      <c r="L182" s="43"/>
      <c r="M182" s="46"/>
      <c r="N182" s="48" t="str">
        <f aca="true">IF(OR(A182="",G182=""),"",MAX(1,NETWORKDAYS(G182,IF(H182="",TODAY(),H182),Bank_Holidays!$A$6:$A$60)))</f>
        <v/>
      </c>
      <c r="O182" s="49" t="str">
        <f aca="false">IF(N182="","",IF(N182&lt;=2,"0-2 Days",IF(N182&lt;=5,"3-5 Days",IF(N182&lt;=10,"6-10 Days","&gt;10 Days"))))</f>
        <v/>
      </c>
      <c r="P182" s="46"/>
    </row>
    <row r="183" customFormat="false" ht="15" hidden="false" customHeight="false" outlineLevel="0" collapsed="false">
      <c r="A183" s="47"/>
      <c r="B183" s="46"/>
      <c r="C183" s="46"/>
      <c r="D183" s="47"/>
      <c r="E183" s="47"/>
      <c r="F183" s="47"/>
      <c r="G183" s="40"/>
      <c r="H183" s="40"/>
      <c r="I183" s="47"/>
      <c r="J183" s="47"/>
      <c r="K183" s="47"/>
      <c r="L183" s="43"/>
      <c r="M183" s="46"/>
      <c r="N183" s="48" t="str">
        <f aca="true">IF(OR(A183="",G183=""),"",MAX(1,NETWORKDAYS(G183,IF(H183="",TODAY(),H183),Bank_Holidays!$A$6:$A$60)))</f>
        <v/>
      </c>
      <c r="O183" s="49" t="str">
        <f aca="false">IF(N183="","",IF(N183&lt;=2,"0-2 Days",IF(N183&lt;=5,"3-5 Days",IF(N183&lt;=10,"6-10 Days","&gt;10 Days"))))</f>
        <v/>
      </c>
      <c r="P183" s="46"/>
    </row>
    <row r="184" customFormat="false" ht="15" hidden="false" customHeight="false" outlineLevel="0" collapsed="false">
      <c r="A184" s="47"/>
      <c r="B184" s="46"/>
      <c r="C184" s="46"/>
      <c r="D184" s="47"/>
      <c r="E184" s="47"/>
      <c r="F184" s="47"/>
      <c r="G184" s="40"/>
      <c r="H184" s="40"/>
      <c r="I184" s="47"/>
      <c r="J184" s="47"/>
      <c r="K184" s="47"/>
      <c r="L184" s="43"/>
      <c r="M184" s="46"/>
      <c r="N184" s="48" t="str">
        <f aca="true">IF(OR(A184="",G184=""),"",MAX(1,NETWORKDAYS(G184,IF(H184="",TODAY(),H184),Bank_Holidays!$A$6:$A$60)))</f>
        <v/>
      </c>
      <c r="O184" s="49" t="str">
        <f aca="false">IF(N184="","",IF(N184&lt;=2,"0-2 Days",IF(N184&lt;=5,"3-5 Days",IF(N184&lt;=10,"6-10 Days","&gt;10 Days"))))</f>
        <v/>
      </c>
      <c r="P184" s="46"/>
    </row>
    <row r="185" customFormat="false" ht="15" hidden="false" customHeight="false" outlineLevel="0" collapsed="false">
      <c r="A185" s="47"/>
      <c r="B185" s="46"/>
      <c r="C185" s="46"/>
      <c r="D185" s="47"/>
      <c r="E185" s="47"/>
      <c r="F185" s="47"/>
      <c r="G185" s="40"/>
      <c r="H185" s="40"/>
      <c r="I185" s="47"/>
      <c r="J185" s="47"/>
      <c r="K185" s="47"/>
      <c r="L185" s="43"/>
      <c r="M185" s="46"/>
      <c r="N185" s="48" t="str">
        <f aca="true">IF(OR(A185="",G185=""),"",MAX(1,NETWORKDAYS(G185,IF(H185="",TODAY(),H185),Bank_Holidays!$A$6:$A$60)))</f>
        <v/>
      </c>
      <c r="O185" s="49" t="str">
        <f aca="false">IF(N185="","",IF(N185&lt;=2,"0-2 Days",IF(N185&lt;=5,"3-5 Days",IF(N185&lt;=10,"6-10 Days","&gt;10 Days"))))</f>
        <v/>
      </c>
      <c r="P185" s="46"/>
    </row>
    <row r="186" customFormat="false" ht="15" hidden="false" customHeight="false" outlineLevel="0" collapsed="false">
      <c r="A186" s="47"/>
      <c r="B186" s="46"/>
      <c r="C186" s="46"/>
      <c r="D186" s="47"/>
      <c r="E186" s="47"/>
      <c r="F186" s="47"/>
      <c r="G186" s="40"/>
      <c r="H186" s="40"/>
      <c r="I186" s="47"/>
      <c r="J186" s="47"/>
      <c r="K186" s="47"/>
      <c r="L186" s="43"/>
      <c r="M186" s="46"/>
      <c r="N186" s="48" t="str">
        <f aca="true">IF(OR(A186="",G186=""),"",MAX(1,NETWORKDAYS(G186,IF(H186="",TODAY(),H186),Bank_Holidays!$A$6:$A$60)))</f>
        <v/>
      </c>
      <c r="O186" s="49" t="str">
        <f aca="false">IF(N186="","",IF(N186&lt;=2,"0-2 Days",IF(N186&lt;=5,"3-5 Days",IF(N186&lt;=10,"6-10 Days","&gt;10 Days"))))</f>
        <v/>
      </c>
      <c r="P186" s="46"/>
    </row>
    <row r="187" customFormat="false" ht="15" hidden="false" customHeight="false" outlineLevel="0" collapsed="false">
      <c r="A187" s="47"/>
      <c r="B187" s="46"/>
      <c r="C187" s="46"/>
      <c r="D187" s="47"/>
      <c r="E187" s="47"/>
      <c r="F187" s="47"/>
      <c r="G187" s="40"/>
      <c r="H187" s="40"/>
      <c r="I187" s="47"/>
      <c r="J187" s="47"/>
      <c r="K187" s="47"/>
      <c r="L187" s="43"/>
      <c r="M187" s="46"/>
      <c r="N187" s="48" t="str">
        <f aca="true">IF(OR(A187="",G187=""),"",MAX(1,NETWORKDAYS(G187,IF(H187="",TODAY(),H187),Bank_Holidays!$A$6:$A$60)))</f>
        <v/>
      </c>
      <c r="O187" s="49" t="str">
        <f aca="false">IF(N187="","",IF(N187&lt;=2,"0-2 Days",IF(N187&lt;=5,"3-5 Days",IF(N187&lt;=10,"6-10 Days","&gt;10 Days"))))</f>
        <v/>
      </c>
      <c r="P187" s="46"/>
    </row>
    <row r="188" customFormat="false" ht="15" hidden="false" customHeight="false" outlineLevel="0" collapsed="false">
      <c r="A188" s="47"/>
      <c r="B188" s="46"/>
      <c r="C188" s="46"/>
      <c r="D188" s="47"/>
      <c r="E188" s="47"/>
      <c r="F188" s="47"/>
      <c r="G188" s="40"/>
      <c r="H188" s="40"/>
      <c r="I188" s="47"/>
      <c r="J188" s="47"/>
      <c r="K188" s="47"/>
      <c r="L188" s="43"/>
      <c r="M188" s="46"/>
      <c r="N188" s="48" t="str">
        <f aca="true">IF(OR(A188="",G188=""),"",MAX(1,NETWORKDAYS(G188,IF(H188="",TODAY(),H188),Bank_Holidays!$A$6:$A$60)))</f>
        <v/>
      </c>
      <c r="O188" s="49" t="str">
        <f aca="false">IF(N188="","",IF(N188&lt;=2,"0-2 Days",IF(N188&lt;=5,"3-5 Days",IF(N188&lt;=10,"6-10 Days","&gt;10 Days"))))</f>
        <v/>
      </c>
      <c r="P188" s="46"/>
    </row>
    <row r="189" customFormat="false" ht="15" hidden="false" customHeight="false" outlineLevel="0" collapsed="false">
      <c r="A189" s="47"/>
      <c r="B189" s="46"/>
      <c r="C189" s="46"/>
      <c r="D189" s="47"/>
      <c r="E189" s="47"/>
      <c r="F189" s="47"/>
      <c r="G189" s="40"/>
      <c r="H189" s="40"/>
      <c r="I189" s="47"/>
      <c r="J189" s="47"/>
      <c r="K189" s="47"/>
      <c r="L189" s="43"/>
      <c r="M189" s="46"/>
      <c r="N189" s="48" t="str">
        <f aca="true">IF(OR(A189="",G189=""),"",MAX(1,NETWORKDAYS(G189,IF(H189="",TODAY(),H189),Bank_Holidays!$A$6:$A$60)))</f>
        <v/>
      </c>
      <c r="O189" s="49" t="str">
        <f aca="false">IF(N189="","",IF(N189&lt;=2,"0-2 Days",IF(N189&lt;=5,"3-5 Days",IF(N189&lt;=10,"6-10 Days","&gt;10 Days"))))</f>
        <v/>
      </c>
      <c r="P189" s="46"/>
    </row>
    <row r="190" customFormat="false" ht="15" hidden="false" customHeight="false" outlineLevel="0" collapsed="false">
      <c r="A190" s="47"/>
      <c r="B190" s="46"/>
      <c r="C190" s="46"/>
      <c r="D190" s="47"/>
      <c r="E190" s="47"/>
      <c r="F190" s="47"/>
      <c r="G190" s="40"/>
      <c r="H190" s="40"/>
      <c r="I190" s="47"/>
      <c r="J190" s="47"/>
      <c r="K190" s="47"/>
      <c r="L190" s="43"/>
      <c r="M190" s="46"/>
      <c r="N190" s="48" t="str">
        <f aca="true">IF(OR(A190="",G190=""),"",MAX(1,NETWORKDAYS(G190,IF(H190="",TODAY(),H190),Bank_Holidays!$A$6:$A$60)))</f>
        <v/>
      </c>
      <c r="O190" s="49" t="str">
        <f aca="false">IF(N190="","",IF(N190&lt;=2,"0-2 Days",IF(N190&lt;=5,"3-5 Days",IF(N190&lt;=10,"6-10 Days","&gt;10 Days"))))</f>
        <v/>
      </c>
      <c r="P190" s="46"/>
    </row>
    <row r="191" customFormat="false" ht="15" hidden="false" customHeight="false" outlineLevel="0" collapsed="false">
      <c r="A191" s="47"/>
      <c r="B191" s="46"/>
      <c r="C191" s="46"/>
      <c r="D191" s="47"/>
      <c r="E191" s="47"/>
      <c r="F191" s="47"/>
      <c r="G191" s="40"/>
      <c r="H191" s="40"/>
      <c r="I191" s="47"/>
      <c r="J191" s="47"/>
      <c r="K191" s="47"/>
      <c r="L191" s="43"/>
      <c r="M191" s="46"/>
      <c r="N191" s="48" t="str">
        <f aca="true">IF(OR(A191="",G191=""),"",MAX(1,NETWORKDAYS(G191,IF(H191="",TODAY(),H191),Bank_Holidays!$A$6:$A$60)))</f>
        <v/>
      </c>
      <c r="O191" s="49" t="str">
        <f aca="false">IF(N191="","",IF(N191&lt;=2,"0-2 Days",IF(N191&lt;=5,"3-5 Days",IF(N191&lt;=10,"6-10 Days","&gt;10 Days"))))</f>
        <v/>
      </c>
      <c r="P191" s="46"/>
    </row>
    <row r="192" customFormat="false" ht="15" hidden="false" customHeight="false" outlineLevel="0" collapsed="false">
      <c r="A192" s="47"/>
      <c r="B192" s="46"/>
      <c r="C192" s="46"/>
      <c r="D192" s="47"/>
      <c r="E192" s="47"/>
      <c r="F192" s="47"/>
      <c r="G192" s="40"/>
      <c r="H192" s="40"/>
      <c r="I192" s="47"/>
      <c r="J192" s="47"/>
      <c r="K192" s="47"/>
      <c r="L192" s="43"/>
      <c r="M192" s="46"/>
      <c r="N192" s="48" t="str">
        <f aca="true">IF(OR(A192="",G192=""),"",MAX(1,NETWORKDAYS(G192,IF(H192="",TODAY(),H192),Bank_Holidays!$A$6:$A$60)))</f>
        <v/>
      </c>
      <c r="O192" s="49" t="str">
        <f aca="false">IF(N192="","",IF(N192&lt;=2,"0-2 Days",IF(N192&lt;=5,"3-5 Days",IF(N192&lt;=10,"6-10 Days","&gt;10 Days"))))</f>
        <v/>
      </c>
      <c r="P192" s="46"/>
    </row>
    <row r="193" customFormat="false" ht="15" hidden="false" customHeight="false" outlineLevel="0" collapsed="false">
      <c r="A193" s="47"/>
      <c r="B193" s="46"/>
      <c r="C193" s="46"/>
      <c r="D193" s="47"/>
      <c r="E193" s="47"/>
      <c r="F193" s="47"/>
      <c r="G193" s="40"/>
      <c r="H193" s="40"/>
      <c r="I193" s="47"/>
      <c r="J193" s="47"/>
      <c r="K193" s="47"/>
      <c r="L193" s="43"/>
      <c r="M193" s="46"/>
      <c r="N193" s="48" t="str">
        <f aca="true">IF(OR(A193="",G193=""),"",MAX(1,NETWORKDAYS(G193,IF(H193="",TODAY(),H193),Bank_Holidays!$A$6:$A$60)))</f>
        <v/>
      </c>
      <c r="O193" s="49" t="str">
        <f aca="false">IF(N193="","",IF(N193&lt;=2,"0-2 Days",IF(N193&lt;=5,"3-5 Days",IF(N193&lt;=10,"6-10 Days","&gt;10 Days"))))</f>
        <v/>
      </c>
      <c r="P193" s="46"/>
    </row>
    <row r="194" customFormat="false" ht="15" hidden="false" customHeight="false" outlineLevel="0" collapsed="false">
      <c r="A194" s="47"/>
      <c r="B194" s="46"/>
      <c r="C194" s="46"/>
      <c r="D194" s="47"/>
      <c r="E194" s="47"/>
      <c r="F194" s="47"/>
      <c r="G194" s="40"/>
      <c r="H194" s="40"/>
      <c r="I194" s="47"/>
      <c r="J194" s="47"/>
      <c r="K194" s="47"/>
      <c r="L194" s="43"/>
      <c r="M194" s="46"/>
      <c r="N194" s="48" t="str">
        <f aca="true">IF(OR(A194="",G194=""),"",MAX(1,NETWORKDAYS(G194,IF(H194="",TODAY(),H194),Bank_Holidays!$A$6:$A$60)))</f>
        <v/>
      </c>
      <c r="O194" s="49" t="str">
        <f aca="false">IF(N194="","",IF(N194&lt;=2,"0-2 Days",IF(N194&lt;=5,"3-5 Days",IF(N194&lt;=10,"6-10 Days","&gt;10 Days"))))</f>
        <v/>
      </c>
      <c r="P194" s="46"/>
    </row>
    <row r="195" customFormat="false" ht="15" hidden="false" customHeight="false" outlineLevel="0" collapsed="false">
      <c r="A195" s="47"/>
      <c r="B195" s="46"/>
      <c r="C195" s="46"/>
      <c r="D195" s="47"/>
      <c r="E195" s="47"/>
      <c r="F195" s="47"/>
      <c r="G195" s="40"/>
      <c r="H195" s="40"/>
      <c r="I195" s="47"/>
      <c r="J195" s="47"/>
      <c r="K195" s="47"/>
      <c r="L195" s="43"/>
      <c r="M195" s="46"/>
      <c r="N195" s="48" t="str">
        <f aca="true">IF(OR(A195="",G195=""),"",MAX(1,NETWORKDAYS(G195,IF(H195="",TODAY(),H195),Bank_Holidays!$A$6:$A$60)))</f>
        <v/>
      </c>
      <c r="O195" s="49" t="str">
        <f aca="false">IF(N195="","",IF(N195&lt;=2,"0-2 Days",IF(N195&lt;=5,"3-5 Days",IF(N195&lt;=10,"6-10 Days","&gt;10 Days"))))</f>
        <v/>
      </c>
      <c r="P195" s="46"/>
    </row>
    <row r="196" customFormat="false" ht="15" hidden="false" customHeight="false" outlineLevel="0" collapsed="false">
      <c r="A196" s="47"/>
      <c r="B196" s="46"/>
      <c r="C196" s="46"/>
      <c r="D196" s="47"/>
      <c r="E196" s="47"/>
      <c r="F196" s="47"/>
      <c r="G196" s="40"/>
      <c r="H196" s="40"/>
      <c r="I196" s="47"/>
      <c r="J196" s="47"/>
      <c r="K196" s="47"/>
      <c r="L196" s="43"/>
      <c r="M196" s="46"/>
      <c r="N196" s="48" t="str">
        <f aca="true">IF(OR(A196="",G196=""),"",MAX(1,NETWORKDAYS(G196,IF(H196="",TODAY(),H196),Bank_Holidays!$A$6:$A$60)))</f>
        <v/>
      </c>
      <c r="O196" s="49" t="str">
        <f aca="false">IF(N196="","",IF(N196&lt;=2,"0-2 Days",IF(N196&lt;=5,"3-5 Days",IF(N196&lt;=10,"6-10 Days","&gt;10 Days"))))</f>
        <v/>
      </c>
      <c r="P196" s="46"/>
    </row>
    <row r="197" customFormat="false" ht="15" hidden="false" customHeight="false" outlineLevel="0" collapsed="false">
      <c r="A197" s="47"/>
      <c r="B197" s="46"/>
      <c r="C197" s="46"/>
      <c r="D197" s="47"/>
      <c r="E197" s="47"/>
      <c r="F197" s="47"/>
      <c r="G197" s="40"/>
      <c r="H197" s="40"/>
      <c r="I197" s="47"/>
      <c r="J197" s="47"/>
      <c r="K197" s="47"/>
      <c r="L197" s="43"/>
      <c r="M197" s="46"/>
      <c r="N197" s="48" t="str">
        <f aca="true">IF(OR(A197="",G197=""),"",MAX(1,NETWORKDAYS(G197,IF(H197="",TODAY(),H197),Bank_Holidays!$A$6:$A$60)))</f>
        <v/>
      </c>
      <c r="O197" s="49" t="str">
        <f aca="false">IF(N197="","",IF(N197&lt;=2,"0-2 Days",IF(N197&lt;=5,"3-5 Days",IF(N197&lt;=10,"6-10 Days","&gt;10 Days"))))</f>
        <v/>
      </c>
      <c r="P197" s="46"/>
    </row>
    <row r="198" customFormat="false" ht="15" hidden="false" customHeight="false" outlineLevel="0" collapsed="false">
      <c r="A198" s="47"/>
      <c r="B198" s="46"/>
      <c r="C198" s="46"/>
      <c r="D198" s="47"/>
      <c r="E198" s="47"/>
      <c r="F198" s="47"/>
      <c r="G198" s="40"/>
      <c r="H198" s="40"/>
      <c r="I198" s="47"/>
      <c r="J198" s="47"/>
      <c r="K198" s="47"/>
      <c r="L198" s="43"/>
      <c r="M198" s="46"/>
      <c r="N198" s="48" t="str">
        <f aca="true">IF(OR(A198="",G198=""),"",MAX(1,NETWORKDAYS(G198,IF(H198="",TODAY(),H198),Bank_Holidays!$A$6:$A$60)))</f>
        <v/>
      </c>
      <c r="O198" s="49" t="str">
        <f aca="false">IF(N198="","",IF(N198&lt;=2,"0-2 Days",IF(N198&lt;=5,"3-5 Days",IF(N198&lt;=10,"6-10 Days","&gt;10 Days"))))</f>
        <v/>
      </c>
      <c r="P198" s="46"/>
    </row>
    <row r="199" customFormat="false" ht="15" hidden="false" customHeight="false" outlineLevel="0" collapsed="false">
      <c r="A199" s="47"/>
      <c r="B199" s="46"/>
      <c r="C199" s="46"/>
      <c r="D199" s="47"/>
      <c r="E199" s="47"/>
      <c r="F199" s="47"/>
      <c r="G199" s="40"/>
      <c r="H199" s="40"/>
      <c r="I199" s="47"/>
      <c r="J199" s="47"/>
      <c r="K199" s="47"/>
      <c r="L199" s="43"/>
      <c r="M199" s="46"/>
      <c r="N199" s="48" t="str">
        <f aca="true">IF(OR(A199="",G199=""),"",MAX(1,NETWORKDAYS(G199,IF(H199="",TODAY(),H199),Bank_Holidays!$A$6:$A$60)))</f>
        <v/>
      </c>
      <c r="O199" s="49" t="str">
        <f aca="false">IF(N199="","",IF(N199&lt;=2,"0-2 Days",IF(N199&lt;=5,"3-5 Days",IF(N199&lt;=10,"6-10 Days","&gt;10 Days"))))</f>
        <v/>
      </c>
      <c r="P199" s="46"/>
    </row>
    <row r="200" customFormat="false" ht="15" hidden="false" customHeight="false" outlineLevel="0" collapsed="false">
      <c r="A200" s="47"/>
      <c r="B200" s="46"/>
      <c r="C200" s="46"/>
      <c r="D200" s="47"/>
      <c r="E200" s="47"/>
      <c r="F200" s="47"/>
      <c r="G200" s="40"/>
      <c r="H200" s="40"/>
      <c r="I200" s="47"/>
      <c r="J200" s="47"/>
      <c r="K200" s="47"/>
      <c r="L200" s="43"/>
      <c r="M200" s="46"/>
      <c r="N200" s="48" t="str">
        <f aca="true">IF(OR(A200="",G200=""),"",MAX(1,NETWORKDAYS(G200,IF(H200="",TODAY(),H200),Bank_Holidays!$A$6:$A$60)))</f>
        <v/>
      </c>
      <c r="O200" s="49" t="str">
        <f aca="false">IF(N200="","",IF(N200&lt;=2,"0-2 Days",IF(N200&lt;=5,"3-5 Days",IF(N200&lt;=10,"6-10 Days","&gt;10 Days"))))</f>
        <v/>
      </c>
      <c r="P200" s="46"/>
    </row>
    <row r="201" customFormat="false" ht="15" hidden="false" customHeight="false" outlineLevel="0" collapsed="false">
      <c r="A201" s="47"/>
      <c r="B201" s="46"/>
      <c r="C201" s="46"/>
      <c r="D201" s="47"/>
      <c r="E201" s="47"/>
      <c r="F201" s="47"/>
      <c r="G201" s="40"/>
      <c r="H201" s="40"/>
      <c r="I201" s="47"/>
      <c r="J201" s="47"/>
      <c r="K201" s="47"/>
      <c r="L201" s="43"/>
      <c r="M201" s="46"/>
      <c r="N201" s="48" t="str">
        <f aca="true">IF(OR(A201="",G201=""),"",MAX(1,NETWORKDAYS(G201,IF(H201="",TODAY(),H201),Bank_Holidays!$A$6:$A$60)))</f>
        <v/>
      </c>
      <c r="O201" s="49" t="str">
        <f aca="false">IF(N201="","",IF(N201&lt;=2,"0-2 Days",IF(N201&lt;=5,"3-5 Days",IF(N201&lt;=10,"6-10 Days","&gt;10 Days"))))</f>
        <v/>
      </c>
      <c r="P201" s="46"/>
    </row>
    <row r="202" customFormat="false" ht="15" hidden="false" customHeight="false" outlineLevel="0" collapsed="false">
      <c r="A202" s="47"/>
      <c r="B202" s="46"/>
      <c r="C202" s="46"/>
      <c r="D202" s="47"/>
      <c r="E202" s="47"/>
      <c r="F202" s="47"/>
      <c r="G202" s="40"/>
      <c r="H202" s="40"/>
      <c r="I202" s="47"/>
      <c r="J202" s="47"/>
      <c r="K202" s="47"/>
      <c r="L202" s="43"/>
      <c r="M202" s="46"/>
      <c r="N202" s="48" t="str">
        <f aca="true">IF(OR(A202="",G202=""),"",MAX(1,NETWORKDAYS(G202,IF(H202="",TODAY(),H202),Bank_Holidays!$A$6:$A$60)))</f>
        <v/>
      </c>
      <c r="O202" s="49" t="str">
        <f aca="false">IF(N202="","",IF(N202&lt;=2,"0-2 Days",IF(N202&lt;=5,"3-5 Days",IF(N202&lt;=10,"6-10 Days","&gt;10 Days"))))</f>
        <v/>
      </c>
      <c r="P202" s="46"/>
    </row>
    <row r="203" customFormat="false" ht="15" hidden="false" customHeight="false" outlineLevel="0" collapsed="false">
      <c r="A203" s="47"/>
      <c r="B203" s="46"/>
      <c r="C203" s="46"/>
      <c r="D203" s="47"/>
      <c r="E203" s="47"/>
      <c r="F203" s="47"/>
      <c r="G203" s="40"/>
      <c r="H203" s="40"/>
      <c r="I203" s="47"/>
      <c r="J203" s="47"/>
      <c r="K203" s="47"/>
      <c r="L203" s="43"/>
      <c r="M203" s="46"/>
      <c r="N203" s="48" t="str">
        <f aca="true">IF(OR(A203="",G203=""),"",MAX(1,NETWORKDAYS(G203,IF(H203="",TODAY(),H203),Bank_Holidays!$A$6:$A$60)))</f>
        <v/>
      </c>
      <c r="O203" s="49" t="str">
        <f aca="false">IF(N203="","",IF(N203&lt;=2,"0-2 Days",IF(N203&lt;=5,"3-5 Days",IF(N203&lt;=10,"6-10 Days","&gt;10 Days"))))</f>
        <v/>
      </c>
      <c r="P203" s="46"/>
    </row>
    <row r="204" customFormat="false" ht="15" hidden="false" customHeight="false" outlineLevel="0" collapsed="false">
      <c r="A204" s="47"/>
      <c r="B204" s="46"/>
      <c r="C204" s="46"/>
      <c r="D204" s="47"/>
      <c r="E204" s="47"/>
      <c r="F204" s="47"/>
      <c r="G204" s="40"/>
      <c r="H204" s="40"/>
      <c r="I204" s="47"/>
      <c r="J204" s="47"/>
      <c r="K204" s="47"/>
      <c r="L204" s="43"/>
      <c r="M204" s="46"/>
      <c r="N204" s="48" t="str">
        <f aca="true">IF(OR(A204="",G204=""),"",MAX(1,NETWORKDAYS(G204,IF(H204="",TODAY(),H204),Bank_Holidays!$A$6:$A$60)))</f>
        <v/>
      </c>
      <c r="O204" s="49" t="str">
        <f aca="false">IF(N204="","",IF(N204&lt;=2,"0-2 Days",IF(N204&lt;=5,"3-5 Days",IF(N204&lt;=10,"6-10 Days","&gt;10 Days"))))</f>
        <v/>
      </c>
      <c r="P204" s="46"/>
    </row>
    <row r="205" customFormat="false" ht="15" hidden="false" customHeight="false" outlineLevel="0" collapsed="false">
      <c r="A205" s="47"/>
      <c r="B205" s="46"/>
      <c r="C205" s="46"/>
      <c r="D205" s="47"/>
      <c r="E205" s="47"/>
      <c r="F205" s="47"/>
      <c r="G205" s="40"/>
      <c r="H205" s="40"/>
      <c r="I205" s="47"/>
      <c r="J205" s="47"/>
      <c r="K205" s="47"/>
      <c r="L205" s="43"/>
      <c r="M205" s="46"/>
      <c r="N205" s="48" t="str">
        <f aca="true">IF(OR(A205="",G205=""),"",MAX(1,NETWORKDAYS(G205,IF(H205="",TODAY(),H205),Bank_Holidays!$A$6:$A$60)))</f>
        <v/>
      </c>
      <c r="O205" s="49" t="str">
        <f aca="false">IF(N205="","",IF(N205&lt;=2,"0-2 Days",IF(N205&lt;=5,"3-5 Days",IF(N205&lt;=10,"6-10 Days","&gt;10 Days"))))</f>
        <v/>
      </c>
      <c r="P205" s="46"/>
    </row>
    <row r="206" customFormat="false" ht="15" hidden="false" customHeight="false" outlineLevel="0" collapsed="false">
      <c r="A206" s="47"/>
      <c r="B206" s="46"/>
      <c r="C206" s="46"/>
      <c r="D206" s="47"/>
      <c r="E206" s="47"/>
      <c r="F206" s="47"/>
      <c r="G206" s="40"/>
      <c r="H206" s="40"/>
      <c r="I206" s="47"/>
      <c r="J206" s="47"/>
      <c r="K206" s="47"/>
      <c r="L206" s="43"/>
      <c r="M206" s="46"/>
      <c r="N206" s="48" t="str">
        <f aca="true">IF(OR(A206="",G206=""),"",MAX(1,NETWORKDAYS(G206,IF(H206="",TODAY(),H206),Bank_Holidays!$A$6:$A$60)))</f>
        <v/>
      </c>
      <c r="O206" s="49" t="str">
        <f aca="false">IF(N206="","",IF(N206&lt;=2,"0-2 Days",IF(N206&lt;=5,"3-5 Days",IF(N206&lt;=10,"6-10 Days","&gt;10 Days"))))</f>
        <v/>
      </c>
      <c r="P206" s="46"/>
    </row>
    <row r="207" customFormat="false" ht="15" hidden="false" customHeight="false" outlineLevel="0" collapsed="false">
      <c r="A207" s="47"/>
      <c r="B207" s="46"/>
      <c r="C207" s="46"/>
      <c r="D207" s="47"/>
      <c r="E207" s="47"/>
      <c r="F207" s="47"/>
      <c r="G207" s="40"/>
      <c r="H207" s="40"/>
      <c r="I207" s="47"/>
      <c r="J207" s="47"/>
      <c r="K207" s="47"/>
      <c r="L207" s="43"/>
      <c r="M207" s="46"/>
      <c r="N207" s="48" t="str">
        <f aca="true">IF(OR(A207="",G207=""),"",MAX(1,NETWORKDAYS(G207,IF(H207="",TODAY(),H207),Bank_Holidays!$A$6:$A$60)))</f>
        <v/>
      </c>
      <c r="O207" s="49" t="str">
        <f aca="false">IF(N207="","",IF(N207&lt;=2,"0-2 Days",IF(N207&lt;=5,"3-5 Days",IF(N207&lt;=10,"6-10 Days","&gt;10 Days"))))</f>
        <v/>
      </c>
      <c r="P207" s="46"/>
    </row>
    <row r="208" customFormat="false" ht="15" hidden="false" customHeight="false" outlineLevel="0" collapsed="false">
      <c r="A208" s="47"/>
      <c r="B208" s="46"/>
      <c r="C208" s="46"/>
      <c r="D208" s="47"/>
      <c r="E208" s="47"/>
      <c r="F208" s="47"/>
      <c r="G208" s="40"/>
      <c r="H208" s="40"/>
      <c r="I208" s="47"/>
      <c r="J208" s="47"/>
      <c r="K208" s="47"/>
      <c r="L208" s="43"/>
      <c r="M208" s="46"/>
      <c r="N208" s="48" t="str">
        <f aca="true">IF(OR(A208="",G208=""),"",MAX(1,NETWORKDAYS(G208,IF(H208="",TODAY(),H208),Bank_Holidays!$A$6:$A$60)))</f>
        <v/>
      </c>
      <c r="O208" s="49" t="str">
        <f aca="false">IF(N208="","",IF(N208&lt;=2,"0-2 Days",IF(N208&lt;=5,"3-5 Days",IF(N208&lt;=10,"6-10 Days","&gt;10 Days"))))</f>
        <v/>
      </c>
      <c r="P208" s="46"/>
    </row>
    <row r="209" customFormat="false" ht="15" hidden="false" customHeight="false" outlineLevel="0" collapsed="false">
      <c r="A209" s="47"/>
      <c r="B209" s="46"/>
      <c r="C209" s="46"/>
      <c r="D209" s="47"/>
      <c r="E209" s="47"/>
      <c r="F209" s="47"/>
      <c r="G209" s="40"/>
      <c r="H209" s="40"/>
      <c r="I209" s="47"/>
      <c r="J209" s="47"/>
      <c r="K209" s="47"/>
      <c r="L209" s="43"/>
      <c r="M209" s="46"/>
      <c r="N209" s="48" t="str">
        <f aca="true">IF(OR(A209="",G209=""),"",MAX(1,NETWORKDAYS(G209,IF(H209="",TODAY(),H209),Bank_Holidays!$A$6:$A$60)))</f>
        <v/>
      </c>
      <c r="O209" s="49" t="str">
        <f aca="false">IF(N209="","",IF(N209&lt;=2,"0-2 Days",IF(N209&lt;=5,"3-5 Days",IF(N209&lt;=10,"6-10 Days","&gt;10 Days"))))</f>
        <v/>
      </c>
      <c r="P209" s="46"/>
    </row>
    <row r="210" customFormat="false" ht="15" hidden="false" customHeight="false" outlineLevel="0" collapsed="false">
      <c r="A210" s="47"/>
      <c r="B210" s="46"/>
      <c r="C210" s="46"/>
      <c r="D210" s="47"/>
      <c r="E210" s="47"/>
      <c r="F210" s="47"/>
      <c r="G210" s="40"/>
      <c r="H210" s="40"/>
      <c r="I210" s="47"/>
      <c r="J210" s="47"/>
      <c r="K210" s="47"/>
      <c r="L210" s="43"/>
      <c r="M210" s="46"/>
      <c r="N210" s="48" t="str">
        <f aca="true">IF(OR(A210="",G210=""),"",MAX(1,NETWORKDAYS(G210,IF(H210="",TODAY(),H210),Bank_Holidays!$A$6:$A$60)))</f>
        <v/>
      </c>
      <c r="O210" s="49" t="str">
        <f aca="false">IF(N210="","",IF(N210&lt;=2,"0-2 Days",IF(N210&lt;=5,"3-5 Days",IF(N210&lt;=10,"6-10 Days","&gt;10 Days"))))</f>
        <v/>
      </c>
      <c r="P210" s="46"/>
    </row>
    <row r="211" customFormat="false" ht="15" hidden="false" customHeight="false" outlineLevel="0" collapsed="false">
      <c r="A211" s="47"/>
      <c r="B211" s="46"/>
      <c r="C211" s="46"/>
      <c r="D211" s="47"/>
      <c r="E211" s="47"/>
      <c r="F211" s="47"/>
      <c r="G211" s="40"/>
      <c r="H211" s="40"/>
      <c r="I211" s="47"/>
      <c r="J211" s="47"/>
      <c r="K211" s="47"/>
      <c r="L211" s="43"/>
      <c r="M211" s="46"/>
      <c r="N211" s="48" t="str">
        <f aca="true">IF(OR(A211="",G211=""),"",MAX(1,NETWORKDAYS(G211,IF(H211="",TODAY(),H211),Bank_Holidays!$A$6:$A$60)))</f>
        <v/>
      </c>
      <c r="O211" s="49" t="str">
        <f aca="false">IF(N211="","",IF(N211&lt;=2,"0-2 Days",IF(N211&lt;=5,"3-5 Days",IF(N211&lt;=10,"6-10 Days","&gt;10 Days"))))</f>
        <v/>
      </c>
      <c r="P211" s="46"/>
    </row>
    <row r="212" customFormat="false" ht="15" hidden="false" customHeight="false" outlineLevel="0" collapsed="false">
      <c r="A212" s="47"/>
      <c r="B212" s="46"/>
      <c r="C212" s="46"/>
      <c r="D212" s="47"/>
      <c r="E212" s="47"/>
      <c r="F212" s="47"/>
      <c r="G212" s="40"/>
      <c r="H212" s="40"/>
      <c r="I212" s="47"/>
      <c r="J212" s="47"/>
      <c r="K212" s="47"/>
      <c r="L212" s="43"/>
      <c r="M212" s="46"/>
      <c r="N212" s="48" t="str">
        <f aca="true">IF(OR(A212="",G212=""),"",MAX(1,NETWORKDAYS(G212,IF(H212="",TODAY(),H212),Bank_Holidays!$A$6:$A$60)))</f>
        <v/>
      </c>
      <c r="O212" s="49" t="str">
        <f aca="false">IF(N212="","",IF(N212&lt;=2,"0-2 Days",IF(N212&lt;=5,"3-5 Days",IF(N212&lt;=10,"6-10 Days","&gt;10 Days"))))</f>
        <v/>
      </c>
      <c r="P212" s="46"/>
    </row>
    <row r="213" customFormat="false" ht="15" hidden="false" customHeight="false" outlineLevel="0" collapsed="false">
      <c r="A213" s="47"/>
      <c r="B213" s="46"/>
      <c r="C213" s="46"/>
      <c r="D213" s="47"/>
      <c r="E213" s="47"/>
      <c r="F213" s="47"/>
      <c r="G213" s="40"/>
      <c r="H213" s="40"/>
      <c r="I213" s="47"/>
      <c r="J213" s="47"/>
      <c r="K213" s="47"/>
      <c r="L213" s="43"/>
      <c r="M213" s="46"/>
      <c r="N213" s="48" t="str">
        <f aca="true">IF(OR(A213="",G213=""),"",MAX(1,NETWORKDAYS(G213,IF(H213="",TODAY(),H213),Bank_Holidays!$A$6:$A$60)))</f>
        <v/>
      </c>
      <c r="O213" s="49" t="str">
        <f aca="false">IF(N213="","",IF(N213&lt;=2,"0-2 Days",IF(N213&lt;=5,"3-5 Days",IF(N213&lt;=10,"6-10 Days","&gt;10 Days"))))</f>
        <v/>
      </c>
      <c r="P213" s="46"/>
    </row>
    <row r="214" customFormat="false" ht="15" hidden="false" customHeight="false" outlineLevel="0" collapsed="false">
      <c r="A214" s="47"/>
      <c r="B214" s="46"/>
      <c r="C214" s="46"/>
      <c r="D214" s="47"/>
      <c r="E214" s="47"/>
      <c r="F214" s="47"/>
      <c r="G214" s="40"/>
      <c r="H214" s="40"/>
      <c r="I214" s="47"/>
      <c r="J214" s="47"/>
      <c r="K214" s="47"/>
      <c r="L214" s="43"/>
      <c r="M214" s="46"/>
      <c r="N214" s="48" t="str">
        <f aca="true">IF(OR(A214="",G214=""),"",MAX(1,NETWORKDAYS(G214,IF(H214="",TODAY(),H214),Bank_Holidays!$A$6:$A$60)))</f>
        <v/>
      </c>
      <c r="O214" s="49" t="str">
        <f aca="false">IF(N214="","",IF(N214&lt;=2,"0-2 Days",IF(N214&lt;=5,"3-5 Days",IF(N214&lt;=10,"6-10 Days","&gt;10 Days"))))</f>
        <v/>
      </c>
      <c r="P214" s="46"/>
    </row>
    <row r="215" customFormat="false" ht="15" hidden="false" customHeight="false" outlineLevel="0" collapsed="false">
      <c r="A215" s="47"/>
      <c r="B215" s="46"/>
      <c r="C215" s="46"/>
      <c r="D215" s="47"/>
      <c r="E215" s="47"/>
      <c r="F215" s="47"/>
      <c r="G215" s="40"/>
      <c r="H215" s="40"/>
      <c r="I215" s="47"/>
      <c r="J215" s="47"/>
      <c r="K215" s="47"/>
      <c r="L215" s="43"/>
      <c r="M215" s="46"/>
      <c r="N215" s="48" t="str">
        <f aca="true">IF(OR(A215="",G215=""),"",MAX(1,NETWORKDAYS(G215,IF(H215="",TODAY(),H215),Bank_Holidays!$A$6:$A$60)))</f>
        <v/>
      </c>
      <c r="O215" s="49" t="str">
        <f aca="false">IF(N215="","",IF(N215&lt;=2,"0-2 Days",IF(N215&lt;=5,"3-5 Days",IF(N215&lt;=10,"6-10 Days","&gt;10 Days"))))</f>
        <v/>
      </c>
      <c r="P215" s="46"/>
    </row>
    <row r="216" customFormat="false" ht="15" hidden="false" customHeight="false" outlineLevel="0" collapsed="false">
      <c r="A216" s="47"/>
      <c r="B216" s="46"/>
      <c r="C216" s="46"/>
      <c r="D216" s="47"/>
      <c r="E216" s="47"/>
      <c r="F216" s="47"/>
      <c r="G216" s="40"/>
      <c r="H216" s="40"/>
      <c r="I216" s="47"/>
      <c r="J216" s="47"/>
      <c r="K216" s="47"/>
      <c r="L216" s="43"/>
      <c r="M216" s="46"/>
      <c r="N216" s="48" t="str">
        <f aca="true">IF(OR(A216="",G216=""),"",MAX(1,NETWORKDAYS(G216,IF(H216="",TODAY(),H216),Bank_Holidays!$A$6:$A$60)))</f>
        <v/>
      </c>
      <c r="O216" s="49" t="str">
        <f aca="false">IF(N216="","",IF(N216&lt;=2,"0-2 Days",IF(N216&lt;=5,"3-5 Days",IF(N216&lt;=10,"6-10 Days","&gt;10 Days"))))</f>
        <v/>
      </c>
      <c r="P216" s="46"/>
    </row>
    <row r="217" customFormat="false" ht="15" hidden="false" customHeight="false" outlineLevel="0" collapsed="false">
      <c r="A217" s="47"/>
      <c r="B217" s="46"/>
      <c r="C217" s="46"/>
      <c r="D217" s="47"/>
      <c r="E217" s="47"/>
      <c r="F217" s="47"/>
      <c r="G217" s="40"/>
      <c r="H217" s="40"/>
      <c r="I217" s="47"/>
      <c r="J217" s="47"/>
      <c r="K217" s="47"/>
      <c r="L217" s="43"/>
      <c r="M217" s="46"/>
      <c r="N217" s="48" t="str">
        <f aca="true">IF(OR(A217="",G217=""),"",MAX(1,NETWORKDAYS(G217,IF(H217="",TODAY(),H217),Bank_Holidays!$A$6:$A$60)))</f>
        <v/>
      </c>
      <c r="O217" s="49" t="str">
        <f aca="false">IF(N217="","",IF(N217&lt;=2,"0-2 Days",IF(N217&lt;=5,"3-5 Days",IF(N217&lt;=10,"6-10 Days","&gt;10 Days"))))</f>
        <v/>
      </c>
      <c r="P217" s="46"/>
    </row>
    <row r="218" customFormat="false" ht="15" hidden="false" customHeight="false" outlineLevel="0" collapsed="false">
      <c r="A218" s="47"/>
      <c r="B218" s="46"/>
      <c r="C218" s="46"/>
      <c r="D218" s="47"/>
      <c r="E218" s="47"/>
      <c r="F218" s="47"/>
      <c r="G218" s="40"/>
      <c r="H218" s="40"/>
      <c r="I218" s="47"/>
      <c r="J218" s="47"/>
      <c r="K218" s="47"/>
      <c r="L218" s="43"/>
      <c r="M218" s="46"/>
      <c r="N218" s="48" t="str">
        <f aca="true">IF(OR(A218="",G218=""),"",MAX(1,NETWORKDAYS(G218,IF(H218="",TODAY(),H218),Bank_Holidays!$A$6:$A$60)))</f>
        <v/>
      </c>
      <c r="O218" s="49" t="str">
        <f aca="false">IF(N218="","",IF(N218&lt;=2,"0-2 Days",IF(N218&lt;=5,"3-5 Days",IF(N218&lt;=10,"6-10 Days","&gt;10 Days"))))</f>
        <v/>
      </c>
      <c r="P218" s="46"/>
    </row>
    <row r="219" customFormat="false" ht="15" hidden="false" customHeight="false" outlineLevel="0" collapsed="false">
      <c r="A219" s="47"/>
      <c r="B219" s="46"/>
      <c r="C219" s="46"/>
      <c r="D219" s="47"/>
      <c r="E219" s="47"/>
      <c r="F219" s="47"/>
      <c r="G219" s="40"/>
      <c r="H219" s="40"/>
      <c r="I219" s="47"/>
      <c r="J219" s="47"/>
      <c r="K219" s="47"/>
      <c r="L219" s="43"/>
      <c r="M219" s="46"/>
      <c r="N219" s="48" t="str">
        <f aca="true">IF(OR(A219="",G219=""),"",MAX(1,NETWORKDAYS(G219,IF(H219="",TODAY(),H219),Bank_Holidays!$A$6:$A$60)))</f>
        <v/>
      </c>
      <c r="O219" s="49" t="str">
        <f aca="false">IF(N219="","",IF(N219&lt;=2,"0-2 Days",IF(N219&lt;=5,"3-5 Days",IF(N219&lt;=10,"6-10 Days","&gt;10 Days"))))</f>
        <v/>
      </c>
      <c r="P219" s="46"/>
    </row>
    <row r="220" customFormat="false" ht="15" hidden="false" customHeight="false" outlineLevel="0" collapsed="false">
      <c r="A220" s="47"/>
      <c r="B220" s="46"/>
      <c r="C220" s="46"/>
      <c r="D220" s="47"/>
      <c r="E220" s="47"/>
      <c r="F220" s="47"/>
      <c r="G220" s="40"/>
      <c r="H220" s="40"/>
      <c r="I220" s="47"/>
      <c r="J220" s="47"/>
      <c r="K220" s="47"/>
      <c r="L220" s="43"/>
      <c r="M220" s="46"/>
      <c r="N220" s="48" t="str">
        <f aca="true">IF(OR(A220="",G220=""),"",MAX(1,NETWORKDAYS(G220,IF(H220="",TODAY(),H220),Bank_Holidays!$A$6:$A$60)))</f>
        <v/>
      </c>
      <c r="O220" s="49" t="str">
        <f aca="false">IF(N220="","",IF(N220&lt;=2,"0-2 Days",IF(N220&lt;=5,"3-5 Days",IF(N220&lt;=10,"6-10 Days","&gt;10 Days"))))</f>
        <v/>
      </c>
      <c r="P220" s="46"/>
    </row>
    <row r="221" customFormat="false" ht="15" hidden="false" customHeight="false" outlineLevel="0" collapsed="false">
      <c r="A221" s="47"/>
      <c r="B221" s="46"/>
      <c r="C221" s="46"/>
      <c r="D221" s="47"/>
      <c r="E221" s="47"/>
      <c r="F221" s="47"/>
      <c r="G221" s="40"/>
      <c r="H221" s="40"/>
      <c r="I221" s="47"/>
      <c r="J221" s="47"/>
      <c r="K221" s="47"/>
      <c r="L221" s="43"/>
      <c r="M221" s="46"/>
      <c r="N221" s="48" t="str">
        <f aca="true">IF(OR(A221="",G221=""),"",MAX(1,NETWORKDAYS(G221,IF(H221="",TODAY(),H221),Bank_Holidays!$A$6:$A$60)))</f>
        <v/>
      </c>
      <c r="O221" s="49" t="str">
        <f aca="false">IF(N221="","",IF(N221&lt;=2,"0-2 Days",IF(N221&lt;=5,"3-5 Days",IF(N221&lt;=10,"6-10 Days","&gt;10 Days"))))</f>
        <v/>
      </c>
      <c r="P221" s="46"/>
    </row>
    <row r="222" customFormat="false" ht="15" hidden="false" customHeight="false" outlineLevel="0" collapsed="false">
      <c r="A222" s="47"/>
      <c r="B222" s="46"/>
      <c r="C222" s="46"/>
      <c r="D222" s="47"/>
      <c r="E222" s="47"/>
      <c r="F222" s="47"/>
      <c r="G222" s="40"/>
      <c r="H222" s="40"/>
      <c r="I222" s="47"/>
      <c r="J222" s="47"/>
      <c r="K222" s="47"/>
      <c r="L222" s="43"/>
      <c r="M222" s="46"/>
      <c r="N222" s="48" t="str">
        <f aca="true">IF(OR(A222="",G222=""),"",MAX(1,NETWORKDAYS(G222,IF(H222="",TODAY(),H222),Bank_Holidays!$A$6:$A$60)))</f>
        <v/>
      </c>
      <c r="O222" s="49" t="str">
        <f aca="false">IF(N222="","",IF(N222&lt;=2,"0-2 Days",IF(N222&lt;=5,"3-5 Days",IF(N222&lt;=10,"6-10 Days","&gt;10 Days"))))</f>
        <v/>
      </c>
      <c r="P222" s="46"/>
    </row>
    <row r="223" customFormat="false" ht="15" hidden="false" customHeight="false" outlineLevel="0" collapsed="false">
      <c r="A223" s="47"/>
      <c r="B223" s="46"/>
      <c r="C223" s="46"/>
      <c r="D223" s="47"/>
      <c r="E223" s="47"/>
      <c r="F223" s="47"/>
      <c r="G223" s="40"/>
      <c r="H223" s="40"/>
      <c r="I223" s="47"/>
      <c r="J223" s="47"/>
      <c r="K223" s="47"/>
      <c r="L223" s="43"/>
      <c r="M223" s="46"/>
      <c r="N223" s="48" t="str">
        <f aca="true">IF(OR(A223="",G223=""),"",MAX(1,NETWORKDAYS(G223,IF(H223="",TODAY(),H223),Bank_Holidays!$A$6:$A$60)))</f>
        <v/>
      </c>
      <c r="O223" s="49" t="str">
        <f aca="false">IF(N223="","",IF(N223&lt;=2,"0-2 Days",IF(N223&lt;=5,"3-5 Days",IF(N223&lt;=10,"6-10 Days","&gt;10 Days"))))</f>
        <v/>
      </c>
      <c r="P223" s="46"/>
    </row>
    <row r="224" customFormat="false" ht="15" hidden="false" customHeight="false" outlineLevel="0" collapsed="false">
      <c r="A224" s="47"/>
      <c r="B224" s="46"/>
      <c r="C224" s="46"/>
      <c r="D224" s="47"/>
      <c r="E224" s="47"/>
      <c r="F224" s="47"/>
      <c r="G224" s="40"/>
      <c r="H224" s="40"/>
      <c r="I224" s="47"/>
      <c r="J224" s="47"/>
      <c r="K224" s="47"/>
      <c r="L224" s="43"/>
      <c r="M224" s="46"/>
      <c r="N224" s="48" t="str">
        <f aca="true">IF(OR(A224="",G224=""),"",MAX(1,NETWORKDAYS(G224,IF(H224="",TODAY(),H224),Bank_Holidays!$A$6:$A$60)))</f>
        <v/>
      </c>
      <c r="O224" s="49" t="str">
        <f aca="false">IF(N224="","",IF(N224&lt;=2,"0-2 Days",IF(N224&lt;=5,"3-5 Days",IF(N224&lt;=10,"6-10 Days","&gt;10 Days"))))</f>
        <v/>
      </c>
      <c r="P224" s="46"/>
    </row>
    <row r="225" customFormat="false" ht="15" hidden="false" customHeight="false" outlineLevel="0" collapsed="false">
      <c r="A225" s="47"/>
      <c r="B225" s="46"/>
      <c r="C225" s="46"/>
      <c r="D225" s="47"/>
      <c r="E225" s="47"/>
      <c r="F225" s="47"/>
      <c r="G225" s="40"/>
      <c r="H225" s="40"/>
      <c r="I225" s="47"/>
      <c r="J225" s="47"/>
      <c r="K225" s="47"/>
      <c r="L225" s="43"/>
      <c r="M225" s="46"/>
      <c r="N225" s="48" t="str">
        <f aca="true">IF(OR(A225="",G225=""),"",MAX(1,NETWORKDAYS(G225,IF(H225="",TODAY(),H225),Bank_Holidays!$A$6:$A$60)))</f>
        <v/>
      </c>
      <c r="O225" s="49" t="str">
        <f aca="false">IF(N225="","",IF(N225&lt;=2,"0-2 Days",IF(N225&lt;=5,"3-5 Days",IF(N225&lt;=10,"6-10 Days","&gt;10 Days"))))</f>
        <v/>
      </c>
      <c r="P225" s="46"/>
    </row>
    <row r="226" customFormat="false" ht="15" hidden="false" customHeight="false" outlineLevel="0" collapsed="false">
      <c r="A226" s="47"/>
      <c r="B226" s="46"/>
      <c r="C226" s="46"/>
      <c r="D226" s="47"/>
      <c r="E226" s="47"/>
      <c r="F226" s="47"/>
      <c r="G226" s="40"/>
      <c r="H226" s="40"/>
      <c r="I226" s="47"/>
      <c r="J226" s="47"/>
      <c r="K226" s="47"/>
      <c r="L226" s="43"/>
      <c r="M226" s="46"/>
      <c r="N226" s="48" t="str">
        <f aca="true">IF(OR(A226="",G226=""),"",MAX(1,NETWORKDAYS(G226,IF(H226="",TODAY(),H226),Bank_Holidays!$A$6:$A$60)))</f>
        <v/>
      </c>
      <c r="O226" s="49" t="str">
        <f aca="false">IF(N226="","",IF(N226&lt;=2,"0-2 Days",IF(N226&lt;=5,"3-5 Days",IF(N226&lt;=10,"6-10 Days","&gt;10 Days"))))</f>
        <v/>
      </c>
      <c r="P226" s="46"/>
    </row>
    <row r="227" customFormat="false" ht="15" hidden="false" customHeight="false" outlineLevel="0" collapsed="false">
      <c r="A227" s="47"/>
      <c r="B227" s="46"/>
      <c r="C227" s="46"/>
      <c r="D227" s="47"/>
      <c r="E227" s="47"/>
      <c r="F227" s="47"/>
      <c r="G227" s="40"/>
      <c r="H227" s="40"/>
      <c r="I227" s="47"/>
      <c r="J227" s="47"/>
      <c r="K227" s="47"/>
      <c r="L227" s="43"/>
      <c r="M227" s="46"/>
      <c r="N227" s="48" t="str">
        <f aca="true">IF(OR(A227="",G227=""),"",MAX(1,NETWORKDAYS(G227,IF(H227="",TODAY(),H227),Bank_Holidays!$A$6:$A$60)))</f>
        <v/>
      </c>
      <c r="O227" s="49" t="str">
        <f aca="false">IF(N227="","",IF(N227&lt;=2,"0-2 Days",IF(N227&lt;=5,"3-5 Days",IF(N227&lt;=10,"6-10 Days","&gt;10 Days"))))</f>
        <v/>
      </c>
      <c r="P227" s="46"/>
    </row>
    <row r="228" customFormat="false" ht="15" hidden="false" customHeight="false" outlineLevel="0" collapsed="false">
      <c r="A228" s="47"/>
      <c r="B228" s="46"/>
      <c r="C228" s="46"/>
      <c r="D228" s="47"/>
      <c r="E228" s="47"/>
      <c r="F228" s="47"/>
      <c r="G228" s="40"/>
      <c r="H228" s="40"/>
      <c r="I228" s="47"/>
      <c r="J228" s="47"/>
      <c r="K228" s="47"/>
      <c r="L228" s="43"/>
      <c r="M228" s="46"/>
      <c r="N228" s="48" t="str">
        <f aca="true">IF(OR(A228="",G228=""),"",MAX(1,NETWORKDAYS(G228,IF(H228="",TODAY(),H228),Bank_Holidays!$A$6:$A$60)))</f>
        <v/>
      </c>
      <c r="O228" s="49" t="str">
        <f aca="false">IF(N228="","",IF(N228&lt;=2,"0-2 Days",IF(N228&lt;=5,"3-5 Days",IF(N228&lt;=10,"6-10 Days","&gt;10 Days"))))</f>
        <v/>
      </c>
      <c r="P228" s="46"/>
    </row>
    <row r="229" customFormat="false" ht="15" hidden="false" customHeight="false" outlineLevel="0" collapsed="false">
      <c r="A229" s="47"/>
      <c r="B229" s="46"/>
      <c r="C229" s="46"/>
      <c r="D229" s="47"/>
      <c r="E229" s="47"/>
      <c r="F229" s="47"/>
      <c r="G229" s="40"/>
      <c r="H229" s="40"/>
      <c r="I229" s="47"/>
      <c r="J229" s="47"/>
      <c r="K229" s="47"/>
      <c r="L229" s="43"/>
      <c r="M229" s="46"/>
      <c r="N229" s="48" t="str">
        <f aca="true">IF(OR(A229="",G229=""),"",MAX(1,NETWORKDAYS(G229,IF(H229="",TODAY(),H229),Bank_Holidays!$A$6:$A$60)))</f>
        <v/>
      </c>
      <c r="O229" s="49" t="str">
        <f aca="false">IF(N229="","",IF(N229&lt;=2,"0-2 Days",IF(N229&lt;=5,"3-5 Days",IF(N229&lt;=10,"6-10 Days","&gt;10 Days"))))</f>
        <v/>
      </c>
      <c r="P229" s="46"/>
    </row>
    <row r="230" customFormat="false" ht="15" hidden="false" customHeight="false" outlineLevel="0" collapsed="false">
      <c r="A230" s="47"/>
      <c r="B230" s="46"/>
      <c r="C230" s="46"/>
      <c r="D230" s="47"/>
      <c r="E230" s="47"/>
      <c r="F230" s="47"/>
      <c r="G230" s="40"/>
      <c r="H230" s="40"/>
      <c r="I230" s="47"/>
      <c r="J230" s="47"/>
      <c r="K230" s="47"/>
      <c r="L230" s="43"/>
      <c r="M230" s="46"/>
      <c r="N230" s="48" t="str">
        <f aca="true">IF(OR(A230="",G230=""),"",MAX(1,NETWORKDAYS(G230,IF(H230="",TODAY(),H230),Bank_Holidays!$A$6:$A$60)))</f>
        <v/>
      </c>
      <c r="O230" s="49" t="str">
        <f aca="false">IF(N230="","",IF(N230&lt;=2,"0-2 Days",IF(N230&lt;=5,"3-5 Days",IF(N230&lt;=10,"6-10 Days","&gt;10 Days"))))</f>
        <v/>
      </c>
      <c r="P230" s="46"/>
    </row>
    <row r="231" customFormat="false" ht="15" hidden="false" customHeight="false" outlineLevel="0" collapsed="false">
      <c r="A231" s="47"/>
      <c r="B231" s="46"/>
      <c r="C231" s="46"/>
      <c r="D231" s="47"/>
      <c r="E231" s="47"/>
      <c r="F231" s="47"/>
      <c r="G231" s="40"/>
      <c r="H231" s="40"/>
      <c r="I231" s="47"/>
      <c r="J231" s="47"/>
      <c r="K231" s="47"/>
      <c r="L231" s="43"/>
      <c r="M231" s="46"/>
      <c r="N231" s="48" t="str">
        <f aca="true">IF(OR(A231="",G231=""),"",MAX(1,NETWORKDAYS(G231,IF(H231="",TODAY(),H231),Bank_Holidays!$A$6:$A$60)))</f>
        <v/>
      </c>
      <c r="O231" s="49" t="str">
        <f aca="false">IF(N231="","",IF(N231&lt;=2,"0-2 Days",IF(N231&lt;=5,"3-5 Days",IF(N231&lt;=10,"6-10 Days","&gt;10 Days"))))</f>
        <v/>
      </c>
      <c r="P231" s="46"/>
    </row>
    <row r="232" customFormat="false" ht="15" hidden="false" customHeight="false" outlineLevel="0" collapsed="false">
      <c r="A232" s="47"/>
      <c r="B232" s="46"/>
      <c r="C232" s="46"/>
      <c r="D232" s="47"/>
      <c r="E232" s="47"/>
      <c r="F232" s="47"/>
      <c r="G232" s="40"/>
      <c r="H232" s="40"/>
      <c r="I232" s="47"/>
      <c r="J232" s="47"/>
      <c r="K232" s="47"/>
      <c r="L232" s="43"/>
      <c r="M232" s="46"/>
      <c r="N232" s="48" t="str">
        <f aca="true">IF(OR(A232="",G232=""),"",MAX(1,NETWORKDAYS(G232,IF(H232="",TODAY(),H232),Bank_Holidays!$A$6:$A$60)))</f>
        <v/>
      </c>
      <c r="O232" s="49" t="str">
        <f aca="false">IF(N232="","",IF(N232&lt;=2,"0-2 Days",IF(N232&lt;=5,"3-5 Days",IF(N232&lt;=10,"6-10 Days","&gt;10 Days"))))</f>
        <v/>
      </c>
      <c r="P232" s="46"/>
    </row>
    <row r="233" customFormat="false" ht="15" hidden="false" customHeight="false" outlineLevel="0" collapsed="false">
      <c r="A233" s="47"/>
      <c r="B233" s="46"/>
      <c r="C233" s="46"/>
      <c r="D233" s="47"/>
      <c r="E233" s="47"/>
      <c r="F233" s="47"/>
      <c r="G233" s="40"/>
      <c r="H233" s="40"/>
      <c r="I233" s="47"/>
      <c r="J233" s="47"/>
      <c r="K233" s="47"/>
      <c r="L233" s="43"/>
      <c r="M233" s="46"/>
      <c r="N233" s="48" t="str">
        <f aca="true">IF(OR(A233="",G233=""),"",MAX(1,NETWORKDAYS(G233,IF(H233="",TODAY(),H233),Bank_Holidays!$A$6:$A$60)))</f>
        <v/>
      </c>
      <c r="O233" s="49" t="str">
        <f aca="false">IF(N233="","",IF(N233&lt;=2,"0-2 Days",IF(N233&lt;=5,"3-5 Days",IF(N233&lt;=10,"6-10 Days","&gt;10 Days"))))</f>
        <v/>
      </c>
      <c r="P233" s="46"/>
    </row>
    <row r="234" customFormat="false" ht="15" hidden="false" customHeight="false" outlineLevel="0" collapsed="false">
      <c r="A234" s="47"/>
      <c r="B234" s="46"/>
      <c r="C234" s="46"/>
      <c r="D234" s="47"/>
      <c r="E234" s="47"/>
      <c r="F234" s="47"/>
      <c r="G234" s="40"/>
      <c r="H234" s="40"/>
      <c r="I234" s="47"/>
      <c r="J234" s="47"/>
      <c r="K234" s="47"/>
      <c r="L234" s="43"/>
      <c r="M234" s="46"/>
      <c r="N234" s="48" t="str">
        <f aca="true">IF(OR(A234="",G234=""),"",MAX(1,NETWORKDAYS(G234,IF(H234="",TODAY(),H234),Bank_Holidays!$A$6:$A$60)))</f>
        <v/>
      </c>
      <c r="O234" s="49" t="str">
        <f aca="false">IF(N234="","",IF(N234&lt;=2,"0-2 Days",IF(N234&lt;=5,"3-5 Days",IF(N234&lt;=10,"6-10 Days","&gt;10 Days"))))</f>
        <v/>
      </c>
      <c r="P234" s="46"/>
    </row>
    <row r="235" customFormat="false" ht="15" hidden="false" customHeight="false" outlineLevel="0" collapsed="false">
      <c r="A235" s="47"/>
      <c r="B235" s="46"/>
      <c r="C235" s="46"/>
      <c r="D235" s="47"/>
      <c r="E235" s="47"/>
      <c r="F235" s="47"/>
      <c r="G235" s="40"/>
      <c r="H235" s="40"/>
      <c r="I235" s="47"/>
      <c r="J235" s="47"/>
      <c r="K235" s="47"/>
      <c r="L235" s="43"/>
      <c r="M235" s="46"/>
      <c r="N235" s="48" t="str">
        <f aca="true">IF(OR(A235="",G235=""),"",MAX(1,NETWORKDAYS(G235,IF(H235="",TODAY(),H235),Bank_Holidays!$A$6:$A$60)))</f>
        <v/>
      </c>
      <c r="O235" s="49" t="str">
        <f aca="false">IF(N235="","",IF(N235&lt;=2,"0-2 Days",IF(N235&lt;=5,"3-5 Days",IF(N235&lt;=10,"6-10 Days","&gt;10 Days"))))</f>
        <v/>
      </c>
      <c r="P235" s="46"/>
    </row>
    <row r="236" customFormat="false" ht="15" hidden="false" customHeight="false" outlineLevel="0" collapsed="false">
      <c r="A236" s="47"/>
      <c r="B236" s="46"/>
      <c r="C236" s="46"/>
      <c r="D236" s="47"/>
      <c r="E236" s="47"/>
      <c r="F236" s="47"/>
      <c r="G236" s="40"/>
      <c r="H236" s="40"/>
      <c r="I236" s="47"/>
      <c r="J236" s="47"/>
      <c r="K236" s="47"/>
      <c r="L236" s="43"/>
      <c r="M236" s="46"/>
      <c r="N236" s="48" t="str">
        <f aca="true">IF(OR(A236="",G236=""),"",MAX(1,NETWORKDAYS(G236,IF(H236="",TODAY(),H236),Bank_Holidays!$A$6:$A$60)))</f>
        <v/>
      </c>
      <c r="O236" s="49" t="str">
        <f aca="false">IF(N236="","",IF(N236&lt;=2,"0-2 Days",IF(N236&lt;=5,"3-5 Days",IF(N236&lt;=10,"6-10 Days","&gt;10 Days"))))</f>
        <v/>
      </c>
      <c r="P236" s="46"/>
    </row>
    <row r="237" customFormat="false" ht="15" hidden="false" customHeight="false" outlineLevel="0" collapsed="false">
      <c r="A237" s="47"/>
      <c r="B237" s="46"/>
      <c r="C237" s="46"/>
      <c r="D237" s="47"/>
      <c r="E237" s="47"/>
      <c r="F237" s="47"/>
      <c r="G237" s="40"/>
      <c r="H237" s="40"/>
      <c r="I237" s="47"/>
      <c r="J237" s="47"/>
      <c r="K237" s="47"/>
      <c r="L237" s="43"/>
      <c r="M237" s="46"/>
      <c r="N237" s="48" t="str">
        <f aca="true">IF(OR(A237="",G237=""),"",MAX(1,NETWORKDAYS(G237,IF(H237="",TODAY(),H237),Bank_Holidays!$A$6:$A$60)))</f>
        <v/>
      </c>
      <c r="O237" s="49" t="str">
        <f aca="false">IF(N237="","",IF(N237&lt;=2,"0-2 Days",IF(N237&lt;=5,"3-5 Days",IF(N237&lt;=10,"6-10 Days","&gt;10 Days"))))</f>
        <v/>
      </c>
      <c r="P237" s="46"/>
    </row>
    <row r="238" customFormat="false" ht="15" hidden="false" customHeight="false" outlineLevel="0" collapsed="false">
      <c r="A238" s="47"/>
      <c r="B238" s="46"/>
      <c r="C238" s="46"/>
      <c r="D238" s="47"/>
      <c r="E238" s="47"/>
      <c r="F238" s="47"/>
      <c r="G238" s="40"/>
      <c r="H238" s="40"/>
      <c r="I238" s="47"/>
      <c r="J238" s="47"/>
      <c r="K238" s="47"/>
      <c r="L238" s="43"/>
      <c r="M238" s="46"/>
      <c r="N238" s="48" t="str">
        <f aca="true">IF(OR(A238="",G238=""),"",MAX(1,NETWORKDAYS(G238,IF(H238="",TODAY(),H238),Bank_Holidays!$A$6:$A$60)))</f>
        <v/>
      </c>
      <c r="O238" s="49" t="str">
        <f aca="false">IF(N238="","",IF(N238&lt;=2,"0-2 Days",IF(N238&lt;=5,"3-5 Days",IF(N238&lt;=10,"6-10 Days","&gt;10 Days"))))</f>
        <v/>
      </c>
      <c r="P238" s="46"/>
    </row>
    <row r="239" customFormat="false" ht="15" hidden="false" customHeight="false" outlineLevel="0" collapsed="false">
      <c r="A239" s="47"/>
      <c r="B239" s="46"/>
      <c r="C239" s="46"/>
      <c r="D239" s="47"/>
      <c r="E239" s="47"/>
      <c r="F239" s="47"/>
      <c r="G239" s="40"/>
      <c r="H239" s="40"/>
      <c r="I239" s="47"/>
      <c r="J239" s="47"/>
      <c r="K239" s="47"/>
      <c r="L239" s="43"/>
      <c r="M239" s="46"/>
      <c r="N239" s="48" t="str">
        <f aca="true">IF(OR(A239="",G239=""),"",MAX(1,NETWORKDAYS(G239,IF(H239="",TODAY(),H239),Bank_Holidays!$A$6:$A$60)))</f>
        <v/>
      </c>
      <c r="O239" s="49" t="str">
        <f aca="false">IF(N239="","",IF(N239&lt;=2,"0-2 Days",IF(N239&lt;=5,"3-5 Days",IF(N239&lt;=10,"6-10 Days","&gt;10 Days"))))</f>
        <v/>
      </c>
      <c r="P239" s="46"/>
    </row>
    <row r="240" customFormat="false" ht="15" hidden="false" customHeight="false" outlineLevel="0" collapsed="false">
      <c r="A240" s="47"/>
      <c r="B240" s="46"/>
      <c r="C240" s="46"/>
      <c r="D240" s="47"/>
      <c r="E240" s="47"/>
      <c r="F240" s="47"/>
      <c r="G240" s="40"/>
      <c r="H240" s="40"/>
      <c r="I240" s="47"/>
      <c r="J240" s="47"/>
      <c r="K240" s="47"/>
      <c r="L240" s="43"/>
      <c r="M240" s="46"/>
      <c r="N240" s="48" t="str">
        <f aca="true">IF(OR(A240="",G240=""),"",MAX(1,NETWORKDAYS(G240,IF(H240="",TODAY(),H240),Bank_Holidays!$A$6:$A$60)))</f>
        <v/>
      </c>
      <c r="O240" s="49" t="str">
        <f aca="false">IF(N240="","",IF(N240&lt;=2,"0-2 Days",IF(N240&lt;=5,"3-5 Days",IF(N240&lt;=10,"6-10 Days","&gt;10 Days"))))</f>
        <v/>
      </c>
      <c r="P240" s="46"/>
    </row>
    <row r="241" customFormat="false" ht="15" hidden="false" customHeight="false" outlineLevel="0" collapsed="false">
      <c r="A241" s="47"/>
      <c r="B241" s="46"/>
      <c r="C241" s="46"/>
      <c r="D241" s="47"/>
      <c r="E241" s="47"/>
      <c r="F241" s="47"/>
      <c r="G241" s="40"/>
      <c r="H241" s="40"/>
      <c r="I241" s="47"/>
      <c r="J241" s="47"/>
      <c r="K241" s="47"/>
      <c r="L241" s="43"/>
      <c r="M241" s="46"/>
      <c r="N241" s="48" t="str">
        <f aca="true">IF(OR(A241="",G241=""),"",MAX(1,NETWORKDAYS(G241,IF(H241="",TODAY(),H241),Bank_Holidays!$A$6:$A$60)))</f>
        <v/>
      </c>
      <c r="O241" s="49" t="str">
        <f aca="false">IF(N241="","",IF(N241&lt;=2,"0-2 Days",IF(N241&lt;=5,"3-5 Days",IF(N241&lt;=10,"6-10 Days","&gt;10 Days"))))</f>
        <v/>
      </c>
      <c r="P241" s="46"/>
    </row>
    <row r="242" customFormat="false" ht="15" hidden="false" customHeight="false" outlineLevel="0" collapsed="false">
      <c r="A242" s="47"/>
      <c r="B242" s="46"/>
      <c r="C242" s="46"/>
      <c r="D242" s="47"/>
      <c r="E242" s="47"/>
      <c r="F242" s="47"/>
      <c r="G242" s="40"/>
      <c r="H242" s="40"/>
      <c r="I242" s="47"/>
      <c r="J242" s="47"/>
      <c r="K242" s="47"/>
      <c r="L242" s="43"/>
      <c r="M242" s="46"/>
      <c r="N242" s="48" t="str">
        <f aca="true">IF(OR(A242="",G242=""),"",MAX(1,NETWORKDAYS(G242,IF(H242="",TODAY(),H242),Bank_Holidays!$A$6:$A$60)))</f>
        <v/>
      </c>
      <c r="O242" s="49" t="str">
        <f aca="false">IF(N242="","",IF(N242&lt;=2,"0-2 Days",IF(N242&lt;=5,"3-5 Days",IF(N242&lt;=10,"6-10 Days","&gt;10 Days"))))</f>
        <v/>
      </c>
      <c r="P242" s="46"/>
    </row>
    <row r="243" customFormat="false" ht="15" hidden="false" customHeight="false" outlineLevel="0" collapsed="false">
      <c r="A243" s="47"/>
      <c r="B243" s="46"/>
      <c r="C243" s="46"/>
      <c r="D243" s="47"/>
      <c r="E243" s="47"/>
      <c r="F243" s="47"/>
      <c r="G243" s="40"/>
      <c r="H243" s="40"/>
      <c r="I243" s="47"/>
      <c r="J243" s="47"/>
      <c r="K243" s="47"/>
      <c r="L243" s="43"/>
      <c r="M243" s="46"/>
      <c r="N243" s="48" t="str">
        <f aca="true">IF(OR(A243="",G243=""),"",MAX(1,NETWORKDAYS(G243,IF(H243="",TODAY(),H243),Bank_Holidays!$A$6:$A$60)))</f>
        <v/>
      </c>
      <c r="O243" s="49" t="str">
        <f aca="false">IF(N243="","",IF(N243&lt;=2,"0-2 Days",IF(N243&lt;=5,"3-5 Days",IF(N243&lt;=10,"6-10 Days","&gt;10 Days"))))</f>
        <v/>
      </c>
      <c r="P243" s="46"/>
    </row>
    <row r="244" customFormat="false" ht="15" hidden="false" customHeight="false" outlineLevel="0" collapsed="false">
      <c r="A244" s="47"/>
      <c r="B244" s="46"/>
      <c r="C244" s="46"/>
      <c r="D244" s="47"/>
      <c r="E244" s="47"/>
      <c r="F244" s="47"/>
      <c r="G244" s="40"/>
      <c r="H244" s="40"/>
      <c r="I244" s="47"/>
      <c r="J244" s="47"/>
      <c r="K244" s="47"/>
      <c r="L244" s="43"/>
      <c r="M244" s="46"/>
      <c r="N244" s="48" t="str">
        <f aca="true">IF(OR(A244="",G244=""),"",MAX(1,NETWORKDAYS(G244,IF(H244="",TODAY(),H244),Bank_Holidays!$A$6:$A$60)))</f>
        <v/>
      </c>
      <c r="O244" s="49" t="str">
        <f aca="false">IF(N244="","",IF(N244&lt;=2,"0-2 Days",IF(N244&lt;=5,"3-5 Days",IF(N244&lt;=10,"6-10 Days","&gt;10 Days"))))</f>
        <v/>
      </c>
      <c r="P244" s="46"/>
    </row>
    <row r="245" customFormat="false" ht="15" hidden="false" customHeight="false" outlineLevel="0" collapsed="false">
      <c r="A245" s="47"/>
      <c r="B245" s="46"/>
      <c r="C245" s="46"/>
      <c r="D245" s="47"/>
      <c r="E245" s="47"/>
      <c r="F245" s="47"/>
      <c r="G245" s="40"/>
      <c r="H245" s="40"/>
      <c r="I245" s="47"/>
      <c r="J245" s="47"/>
      <c r="K245" s="47"/>
      <c r="L245" s="43"/>
      <c r="M245" s="46"/>
      <c r="N245" s="48" t="str">
        <f aca="true">IF(OR(A245="",G245=""),"",MAX(1,NETWORKDAYS(G245,IF(H245="",TODAY(),H245),Bank_Holidays!$A$6:$A$60)))</f>
        <v/>
      </c>
      <c r="O245" s="49" t="str">
        <f aca="false">IF(N245="","",IF(N245&lt;=2,"0-2 Days",IF(N245&lt;=5,"3-5 Days",IF(N245&lt;=10,"6-10 Days","&gt;10 Days"))))</f>
        <v/>
      </c>
      <c r="P245" s="46"/>
    </row>
    <row r="246" customFormat="false" ht="15" hidden="false" customHeight="false" outlineLevel="0" collapsed="false">
      <c r="A246" s="47"/>
      <c r="B246" s="46"/>
      <c r="C246" s="46"/>
      <c r="D246" s="47"/>
      <c r="E246" s="47"/>
      <c r="F246" s="47"/>
      <c r="G246" s="40"/>
      <c r="H246" s="40"/>
      <c r="I246" s="47"/>
      <c r="J246" s="47"/>
      <c r="K246" s="47"/>
      <c r="L246" s="43"/>
      <c r="M246" s="46"/>
      <c r="N246" s="48" t="str">
        <f aca="true">IF(OR(A246="",G246=""),"",MAX(1,NETWORKDAYS(G246,IF(H246="",TODAY(),H246),Bank_Holidays!$A$6:$A$60)))</f>
        <v/>
      </c>
      <c r="O246" s="49" t="str">
        <f aca="false">IF(N246="","",IF(N246&lt;=2,"0-2 Days",IF(N246&lt;=5,"3-5 Days",IF(N246&lt;=10,"6-10 Days","&gt;10 Days"))))</f>
        <v/>
      </c>
      <c r="P246" s="46"/>
    </row>
    <row r="247" customFormat="false" ht="15" hidden="false" customHeight="false" outlineLevel="0" collapsed="false">
      <c r="A247" s="47"/>
      <c r="B247" s="46"/>
      <c r="C247" s="46"/>
      <c r="D247" s="47"/>
      <c r="E247" s="47"/>
      <c r="F247" s="47"/>
      <c r="G247" s="40"/>
      <c r="H247" s="40"/>
      <c r="I247" s="47"/>
      <c r="J247" s="47"/>
      <c r="K247" s="47"/>
      <c r="L247" s="43"/>
      <c r="M247" s="46"/>
      <c r="N247" s="48" t="str">
        <f aca="true">IF(OR(A247="",G247=""),"",MAX(1,NETWORKDAYS(G247,IF(H247="",TODAY(),H247),Bank_Holidays!$A$6:$A$60)))</f>
        <v/>
      </c>
      <c r="O247" s="49" t="str">
        <f aca="false">IF(N247="","",IF(N247&lt;=2,"0-2 Days",IF(N247&lt;=5,"3-5 Days",IF(N247&lt;=10,"6-10 Days","&gt;10 Days"))))</f>
        <v/>
      </c>
      <c r="P247" s="46"/>
    </row>
    <row r="248" customFormat="false" ht="15" hidden="false" customHeight="false" outlineLevel="0" collapsed="false">
      <c r="A248" s="47"/>
      <c r="B248" s="46"/>
      <c r="C248" s="46"/>
      <c r="D248" s="47"/>
      <c r="E248" s="47"/>
      <c r="F248" s="47"/>
      <c r="G248" s="40"/>
      <c r="H248" s="40"/>
      <c r="I248" s="47"/>
      <c r="J248" s="47"/>
      <c r="K248" s="47"/>
      <c r="L248" s="43"/>
      <c r="M248" s="46"/>
      <c r="N248" s="48" t="str">
        <f aca="true">IF(OR(A248="",G248=""),"",MAX(1,NETWORKDAYS(G248,IF(H248="",TODAY(),H248),Bank_Holidays!$A$6:$A$60)))</f>
        <v/>
      </c>
      <c r="O248" s="49" t="str">
        <f aca="false">IF(N248="","",IF(N248&lt;=2,"0-2 Days",IF(N248&lt;=5,"3-5 Days",IF(N248&lt;=10,"6-10 Days","&gt;10 Days"))))</f>
        <v/>
      </c>
      <c r="P248" s="46"/>
    </row>
    <row r="249" customFormat="false" ht="15" hidden="false" customHeight="false" outlineLevel="0" collapsed="false">
      <c r="A249" s="47"/>
      <c r="B249" s="46"/>
      <c r="C249" s="46"/>
      <c r="D249" s="47"/>
      <c r="E249" s="47"/>
      <c r="F249" s="47"/>
      <c r="G249" s="40"/>
      <c r="H249" s="40"/>
      <c r="I249" s="47"/>
      <c r="J249" s="47"/>
      <c r="K249" s="47"/>
      <c r="L249" s="43"/>
      <c r="M249" s="46"/>
      <c r="N249" s="48" t="str">
        <f aca="true">IF(OR(A249="",G249=""),"",MAX(1,NETWORKDAYS(G249,IF(H249="",TODAY(),H249),Bank_Holidays!$A$6:$A$60)))</f>
        <v/>
      </c>
      <c r="O249" s="49" t="str">
        <f aca="false">IF(N249="","",IF(N249&lt;=2,"0-2 Days",IF(N249&lt;=5,"3-5 Days",IF(N249&lt;=10,"6-10 Days","&gt;10 Days"))))</f>
        <v/>
      </c>
      <c r="P249" s="46"/>
    </row>
    <row r="250" customFormat="false" ht="15" hidden="false" customHeight="false" outlineLevel="0" collapsed="false">
      <c r="A250" s="47"/>
      <c r="B250" s="46"/>
      <c r="C250" s="46"/>
      <c r="D250" s="47"/>
      <c r="E250" s="47"/>
      <c r="F250" s="47"/>
      <c r="G250" s="40"/>
      <c r="H250" s="40"/>
      <c r="I250" s="47"/>
      <c r="J250" s="47"/>
      <c r="K250" s="47"/>
      <c r="L250" s="43"/>
      <c r="M250" s="46"/>
      <c r="N250" s="48" t="str">
        <f aca="true">IF(OR(A250="",G250=""),"",MAX(1,NETWORKDAYS(G250,IF(H250="",TODAY(),H250),Bank_Holidays!$A$6:$A$60)))</f>
        <v/>
      </c>
      <c r="O250" s="49" t="str">
        <f aca="false">IF(N250="","",IF(N250&lt;=2,"0-2 Days",IF(N250&lt;=5,"3-5 Days",IF(N250&lt;=10,"6-10 Days","&gt;10 Days"))))</f>
        <v/>
      </c>
      <c r="P250" s="46"/>
    </row>
    <row r="251" customFormat="false" ht="15" hidden="false" customHeight="false" outlineLevel="0" collapsed="false">
      <c r="A251" s="47"/>
      <c r="B251" s="46"/>
      <c r="C251" s="46"/>
      <c r="D251" s="47"/>
      <c r="E251" s="47"/>
      <c r="F251" s="47"/>
      <c r="G251" s="40"/>
      <c r="H251" s="40"/>
      <c r="I251" s="47"/>
      <c r="J251" s="47"/>
      <c r="K251" s="47"/>
      <c r="L251" s="43"/>
      <c r="M251" s="46"/>
      <c r="N251" s="48" t="str">
        <f aca="true">IF(OR(A251="",G251=""),"",MAX(1,NETWORKDAYS(G251,IF(H251="",TODAY(),H251),Bank_Holidays!$A$6:$A$60)))</f>
        <v/>
      </c>
      <c r="O251" s="49" t="str">
        <f aca="false">IF(N251="","",IF(N251&lt;=2,"0-2 Days",IF(N251&lt;=5,"3-5 Days",IF(N251&lt;=10,"6-10 Days","&gt;10 Days"))))</f>
        <v/>
      </c>
      <c r="P251" s="46"/>
    </row>
    <row r="252" customFormat="false" ht="15" hidden="false" customHeight="false" outlineLevel="0" collapsed="false">
      <c r="A252" s="47"/>
      <c r="B252" s="46"/>
      <c r="C252" s="46"/>
      <c r="D252" s="47"/>
      <c r="E252" s="47"/>
      <c r="F252" s="47"/>
      <c r="G252" s="40"/>
      <c r="H252" s="40"/>
      <c r="I252" s="47"/>
      <c r="J252" s="47"/>
      <c r="K252" s="47"/>
      <c r="L252" s="43"/>
      <c r="M252" s="46"/>
      <c r="N252" s="48" t="str">
        <f aca="true">IF(OR(A252="",G252=""),"",MAX(1,NETWORKDAYS(G252,IF(H252="",TODAY(),H252),Bank_Holidays!$A$6:$A$60)))</f>
        <v/>
      </c>
      <c r="O252" s="49" t="str">
        <f aca="false">IF(N252="","",IF(N252&lt;=2,"0-2 Days",IF(N252&lt;=5,"3-5 Days",IF(N252&lt;=10,"6-10 Days","&gt;10 Days"))))</f>
        <v/>
      </c>
      <c r="P252" s="46"/>
    </row>
    <row r="253" customFormat="false" ht="15" hidden="false" customHeight="false" outlineLevel="0" collapsed="false">
      <c r="A253" s="47"/>
      <c r="B253" s="46"/>
      <c r="C253" s="46"/>
      <c r="D253" s="47"/>
      <c r="E253" s="47"/>
      <c r="F253" s="47"/>
      <c r="G253" s="40"/>
      <c r="H253" s="40"/>
      <c r="I253" s="47"/>
      <c r="J253" s="47"/>
      <c r="K253" s="47"/>
      <c r="L253" s="43"/>
      <c r="M253" s="46"/>
      <c r="N253" s="48" t="str">
        <f aca="true">IF(OR(A253="",G253=""),"",MAX(1,NETWORKDAYS(G253,IF(H253="",TODAY(),H253),Bank_Holidays!$A$6:$A$60)))</f>
        <v/>
      </c>
      <c r="O253" s="49" t="str">
        <f aca="false">IF(N253="","",IF(N253&lt;=2,"0-2 Days",IF(N253&lt;=5,"3-5 Days",IF(N253&lt;=10,"6-10 Days","&gt;10 Days"))))</f>
        <v/>
      </c>
      <c r="P253" s="46"/>
    </row>
    <row r="254" customFormat="false" ht="15" hidden="false" customHeight="false" outlineLevel="0" collapsed="false">
      <c r="A254" s="47"/>
      <c r="B254" s="46"/>
      <c r="C254" s="46"/>
      <c r="D254" s="47"/>
      <c r="E254" s="47"/>
      <c r="F254" s="47"/>
      <c r="G254" s="40"/>
      <c r="H254" s="40"/>
      <c r="I254" s="47"/>
      <c r="J254" s="47"/>
      <c r="K254" s="47"/>
      <c r="L254" s="43"/>
      <c r="M254" s="46"/>
      <c r="N254" s="48" t="str">
        <f aca="true">IF(OR(A254="",G254=""),"",MAX(1,NETWORKDAYS(G254,IF(H254="",TODAY(),H254),Bank_Holidays!$A$6:$A$60)))</f>
        <v/>
      </c>
      <c r="O254" s="49" t="str">
        <f aca="false">IF(N254="","",IF(N254&lt;=2,"0-2 Days",IF(N254&lt;=5,"3-5 Days",IF(N254&lt;=10,"6-10 Days","&gt;10 Days"))))</f>
        <v/>
      </c>
      <c r="P254" s="46"/>
    </row>
    <row r="255" customFormat="false" ht="15" hidden="false" customHeight="false" outlineLevel="0" collapsed="false">
      <c r="A255" s="47"/>
      <c r="B255" s="46"/>
      <c r="C255" s="46"/>
      <c r="D255" s="47"/>
      <c r="E255" s="47"/>
      <c r="F255" s="47"/>
      <c r="G255" s="40"/>
      <c r="H255" s="40"/>
      <c r="I255" s="47"/>
      <c r="J255" s="47"/>
      <c r="K255" s="47"/>
      <c r="L255" s="43"/>
      <c r="M255" s="46"/>
      <c r="N255" s="48" t="str">
        <f aca="true">IF(OR(A255="",G255=""),"",MAX(1,NETWORKDAYS(G255,IF(H255="",TODAY(),H255),Bank_Holidays!$A$6:$A$60)))</f>
        <v/>
      </c>
      <c r="O255" s="49" t="str">
        <f aca="false">IF(N255="","",IF(N255&lt;=2,"0-2 Days",IF(N255&lt;=5,"3-5 Days",IF(N255&lt;=10,"6-10 Days","&gt;10 Days"))))</f>
        <v/>
      </c>
      <c r="P255" s="46"/>
    </row>
    <row r="256" customFormat="false" ht="15" hidden="false" customHeight="false" outlineLevel="0" collapsed="false">
      <c r="A256" s="47"/>
      <c r="B256" s="46"/>
      <c r="C256" s="46"/>
      <c r="D256" s="47"/>
      <c r="E256" s="47"/>
      <c r="F256" s="47"/>
      <c r="G256" s="40"/>
      <c r="H256" s="40"/>
      <c r="I256" s="47"/>
      <c r="J256" s="47"/>
      <c r="K256" s="47"/>
      <c r="L256" s="43"/>
      <c r="M256" s="46"/>
      <c r="N256" s="48" t="str">
        <f aca="true">IF(OR(A256="",G256=""),"",MAX(1,NETWORKDAYS(G256,IF(H256="",TODAY(),H256),Bank_Holidays!$A$6:$A$60)))</f>
        <v/>
      </c>
      <c r="O256" s="49" t="str">
        <f aca="false">IF(N256="","",IF(N256&lt;=2,"0-2 Days",IF(N256&lt;=5,"3-5 Days",IF(N256&lt;=10,"6-10 Days","&gt;10 Days"))))</f>
        <v/>
      </c>
      <c r="P256" s="46"/>
    </row>
    <row r="257" customFormat="false" ht="15" hidden="false" customHeight="false" outlineLevel="0" collapsed="false">
      <c r="A257" s="47"/>
      <c r="B257" s="46"/>
      <c r="C257" s="46"/>
      <c r="D257" s="47"/>
      <c r="E257" s="47"/>
      <c r="F257" s="47"/>
      <c r="G257" s="40"/>
      <c r="H257" s="40"/>
      <c r="I257" s="47"/>
      <c r="J257" s="47"/>
      <c r="K257" s="47"/>
      <c r="L257" s="43"/>
      <c r="M257" s="46"/>
      <c r="N257" s="48" t="str">
        <f aca="true">IF(OR(A257="",G257=""),"",MAX(1,NETWORKDAYS(G257,IF(H257="",TODAY(),H257),Bank_Holidays!$A$6:$A$60)))</f>
        <v/>
      </c>
      <c r="O257" s="49" t="str">
        <f aca="false">IF(N257="","",IF(N257&lt;=2,"0-2 Days",IF(N257&lt;=5,"3-5 Days",IF(N257&lt;=10,"6-10 Days","&gt;10 Days"))))</f>
        <v/>
      </c>
      <c r="P257" s="46"/>
    </row>
    <row r="258" customFormat="false" ht="15" hidden="false" customHeight="false" outlineLevel="0" collapsed="false">
      <c r="A258" s="47"/>
      <c r="B258" s="46"/>
      <c r="C258" s="46"/>
      <c r="D258" s="47"/>
      <c r="E258" s="47"/>
      <c r="F258" s="47"/>
      <c r="G258" s="40"/>
      <c r="H258" s="40"/>
      <c r="I258" s="47"/>
      <c r="J258" s="47"/>
      <c r="K258" s="47"/>
      <c r="L258" s="43"/>
      <c r="M258" s="46"/>
      <c r="N258" s="48" t="str">
        <f aca="true">IF(OR(A258="",G258=""),"",MAX(1,NETWORKDAYS(G258,IF(H258="",TODAY(),H258),Bank_Holidays!$A$6:$A$60)))</f>
        <v/>
      </c>
      <c r="O258" s="49" t="str">
        <f aca="false">IF(N258="","",IF(N258&lt;=2,"0-2 Days",IF(N258&lt;=5,"3-5 Days",IF(N258&lt;=10,"6-10 Days","&gt;10 Days"))))</f>
        <v/>
      </c>
      <c r="P258" s="46"/>
    </row>
    <row r="259" customFormat="false" ht="15" hidden="false" customHeight="false" outlineLevel="0" collapsed="false">
      <c r="A259" s="47"/>
      <c r="B259" s="46"/>
      <c r="C259" s="46"/>
      <c r="D259" s="47"/>
      <c r="E259" s="47"/>
      <c r="F259" s="47"/>
      <c r="G259" s="40"/>
      <c r="H259" s="40"/>
      <c r="I259" s="47"/>
      <c r="J259" s="47"/>
      <c r="K259" s="47"/>
      <c r="L259" s="43"/>
      <c r="M259" s="46"/>
      <c r="N259" s="48" t="str">
        <f aca="true">IF(OR(A259="",G259=""),"",MAX(1,NETWORKDAYS(G259,IF(H259="",TODAY(),H259),Bank_Holidays!$A$6:$A$60)))</f>
        <v/>
      </c>
      <c r="O259" s="49" t="str">
        <f aca="false">IF(N259="","",IF(N259&lt;=2,"0-2 Days",IF(N259&lt;=5,"3-5 Days",IF(N259&lt;=10,"6-10 Days","&gt;10 Days"))))</f>
        <v/>
      </c>
      <c r="P259" s="46"/>
    </row>
    <row r="260" customFormat="false" ht="15" hidden="false" customHeight="false" outlineLevel="0" collapsed="false">
      <c r="A260" s="47"/>
      <c r="B260" s="46"/>
      <c r="C260" s="46"/>
      <c r="D260" s="47"/>
      <c r="E260" s="47"/>
      <c r="F260" s="47"/>
      <c r="G260" s="40"/>
      <c r="H260" s="40"/>
      <c r="I260" s="47"/>
      <c r="J260" s="47"/>
      <c r="K260" s="47"/>
      <c r="L260" s="43"/>
      <c r="M260" s="46"/>
      <c r="N260" s="48" t="str">
        <f aca="true">IF(OR(A260="",G260=""),"",MAX(1,NETWORKDAYS(G260,IF(H260="",TODAY(),H260),Bank_Holidays!$A$6:$A$60)))</f>
        <v/>
      </c>
      <c r="O260" s="49" t="str">
        <f aca="false">IF(N260="","",IF(N260&lt;=2,"0-2 Days",IF(N260&lt;=5,"3-5 Days",IF(N260&lt;=10,"6-10 Days","&gt;10 Days"))))</f>
        <v/>
      </c>
      <c r="P260" s="46"/>
    </row>
    <row r="261" customFormat="false" ht="15" hidden="false" customHeight="false" outlineLevel="0" collapsed="false">
      <c r="A261" s="47"/>
      <c r="B261" s="46"/>
      <c r="C261" s="46"/>
      <c r="D261" s="47"/>
      <c r="E261" s="47"/>
      <c r="F261" s="47"/>
      <c r="G261" s="40"/>
      <c r="H261" s="40"/>
      <c r="I261" s="47"/>
      <c r="J261" s="47"/>
      <c r="K261" s="47"/>
      <c r="L261" s="43"/>
      <c r="M261" s="46"/>
      <c r="N261" s="48" t="str">
        <f aca="true">IF(OR(A261="",G261=""),"",MAX(1,NETWORKDAYS(G261,IF(H261="",TODAY(),H261),Bank_Holidays!$A$6:$A$60)))</f>
        <v/>
      </c>
      <c r="O261" s="49" t="str">
        <f aca="false">IF(N261="","",IF(N261&lt;=2,"0-2 Days",IF(N261&lt;=5,"3-5 Days",IF(N261&lt;=10,"6-10 Days","&gt;10 Days"))))</f>
        <v/>
      </c>
      <c r="P261" s="46"/>
    </row>
    <row r="262" customFormat="false" ht="15" hidden="false" customHeight="false" outlineLevel="0" collapsed="false">
      <c r="A262" s="47"/>
      <c r="B262" s="46"/>
      <c r="C262" s="46"/>
      <c r="D262" s="47"/>
      <c r="E262" s="47"/>
      <c r="F262" s="47"/>
      <c r="G262" s="40"/>
      <c r="H262" s="40"/>
      <c r="I262" s="47"/>
      <c r="J262" s="47"/>
      <c r="K262" s="47"/>
      <c r="L262" s="43"/>
      <c r="M262" s="46"/>
      <c r="N262" s="48" t="str">
        <f aca="true">IF(OR(A262="",G262=""),"",MAX(1,NETWORKDAYS(G262,IF(H262="",TODAY(),H262),Bank_Holidays!$A$6:$A$60)))</f>
        <v/>
      </c>
      <c r="O262" s="49" t="str">
        <f aca="false">IF(N262="","",IF(N262&lt;=2,"0-2 Days",IF(N262&lt;=5,"3-5 Days",IF(N262&lt;=10,"6-10 Days","&gt;10 Days"))))</f>
        <v/>
      </c>
      <c r="P262" s="46"/>
    </row>
    <row r="263" customFormat="false" ht="15" hidden="false" customHeight="false" outlineLevel="0" collapsed="false">
      <c r="A263" s="47"/>
      <c r="B263" s="46"/>
      <c r="C263" s="46"/>
      <c r="D263" s="47"/>
      <c r="E263" s="47"/>
      <c r="F263" s="47"/>
      <c r="G263" s="40"/>
      <c r="H263" s="40"/>
      <c r="I263" s="47"/>
      <c r="J263" s="47"/>
      <c r="K263" s="47"/>
      <c r="L263" s="43"/>
      <c r="M263" s="46"/>
      <c r="N263" s="48" t="str">
        <f aca="true">IF(OR(A263="",G263=""),"",MAX(1,NETWORKDAYS(G263,IF(H263="",TODAY(),H263),Bank_Holidays!$A$6:$A$60)))</f>
        <v/>
      </c>
      <c r="O263" s="49" t="str">
        <f aca="false">IF(N263="","",IF(N263&lt;=2,"0-2 Days",IF(N263&lt;=5,"3-5 Days",IF(N263&lt;=10,"6-10 Days","&gt;10 Days"))))</f>
        <v/>
      </c>
      <c r="P263" s="46"/>
    </row>
    <row r="264" customFormat="false" ht="15" hidden="false" customHeight="false" outlineLevel="0" collapsed="false">
      <c r="A264" s="47"/>
      <c r="B264" s="46"/>
      <c r="C264" s="46"/>
      <c r="D264" s="47"/>
      <c r="E264" s="47"/>
      <c r="F264" s="47"/>
      <c r="G264" s="40"/>
      <c r="H264" s="40"/>
      <c r="I264" s="47"/>
      <c r="J264" s="47"/>
      <c r="K264" s="47"/>
      <c r="L264" s="43"/>
      <c r="M264" s="46"/>
      <c r="N264" s="48" t="str">
        <f aca="true">IF(OR(A264="",G264=""),"",MAX(1,NETWORKDAYS(G264,IF(H264="",TODAY(),H264),Bank_Holidays!$A$6:$A$60)))</f>
        <v/>
      </c>
      <c r="O264" s="49" t="str">
        <f aca="false">IF(N264="","",IF(N264&lt;=2,"0-2 Days",IF(N264&lt;=5,"3-5 Days",IF(N264&lt;=10,"6-10 Days","&gt;10 Days"))))</f>
        <v/>
      </c>
      <c r="P264" s="46"/>
    </row>
    <row r="265" customFormat="false" ht="15" hidden="false" customHeight="false" outlineLevel="0" collapsed="false">
      <c r="A265" s="47"/>
      <c r="B265" s="46"/>
      <c r="C265" s="46"/>
      <c r="D265" s="47"/>
      <c r="E265" s="47"/>
      <c r="F265" s="47"/>
      <c r="G265" s="40"/>
      <c r="H265" s="40"/>
      <c r="I265" s="47"/>
      <c r="J265" s="47"/>
      <c r="K265" s="47"/>
      <c r="L265" s="43"/>
      <c r="M265" s="46"/>
      <c r="N265" s="48" t="str">
        <f aca="true">IF(OR(A265="",G265=""),"",MAX(1,NETWORKDAYS(G265,IF(H265="",TODAY(),H265),Bank_Holidays!$A$6:$A$60)))</f>
        <v/>
      </c>
      <c r="O265" s="49" t="str">
        <f aca="false">IF(N265="","",IF(N265&lt;=2,"0-2 Days",IF(N265&lt;=5,"3-5 Days",IF(N265&lt;=10,"6-10 Days","&gt;10 Days"))))</f>
        <v/>
      </c>
      <c r="P265" s="46"/>
    </row>
    <row r="266" customFormat="false" ht="15" hidden="false" customHeight="false" outlineLevel="0" collapsed="false">
      <c r="A266" s="47"/>
      <c r="B266" s="46"/>
      <c r="C266" s="46"/>
      <c r="D266" s="47"/>
      <c r="E266" s="47"/>
      <c r="F266" s="47"/>
      <c r="G266" s="40"/>
      <c r="H266" s="40"/>
      <c r="I266" s="47"/>
      <c r="J266" s="47"/>
      <c r="K266" s="47"/>
      <c r="L266" s="43"/>
      <c r="M266" s="46"/>
      <c r="N266" s="48" t="str">
        <f aca="true">IF(OR(A266="",G266=""),"",MAX(1,NETWORKDAYS(G266,IF(H266="",TODAY(),H266),Bank_Holidays!$A$6:$A$60)))</f>
        <v/>
      </c>
      <c r="O266" s="49" t="str">
        <f aca="false">IF(N266="","",IF(N266&lt;=2,"0-2 Days",IF(N266&lt;=5,"3-5 Days",IF(N266&lt;=10,"6-10 Days","&gt;10 Days"))))</f>
        <v/>
      </c>
      <c r="P266" s="46"/>
    </row>
    <row r="267" customFormat="false" ht="15" hidden="false" customHeight="false" outlineLevel="0" collapsed="false">
      <c r="A267" s="47"/>
      <c r="B267" s="46"/>
      <c r="C267" s="46"/>
      <c r="D267" s="47"/>
      <c r="E267" s="47"/>
      <c r="F267" s="47"/>
      <c r="G267" s="40"/>
      <c r="H267" s="40"/>
      <c r="I267" s="47"/>
      <c r="J267" s="47"/>
      <c r="K267" s="47"/>
      <c r="L267" s="43"/>
      <c r="M267" s="46"/>
      <c r="N267" s="48" t="str">
        <f aca="true">IF(OR(A267="",G267=""),"",MAX(1,NETWORKDAYS(G267,IF(H267="",TODAY(),H267),Bank_Holidays!$A$6:$A$60)))</f>
        <v/>
      </c>
      <c r="O267" s="49" t="str">
        <f aca="false">IF(N267="","",IF(N267&lt;=2,"0-2 Days",IF(N267&lt;=5,"3-5 Days",IF(N267&lt;=10,"6-10 Days","&gt;10 Days"))))</f>
        <v/>
      </c>
      <c r="P267" s="46"/>
    </row>
    <row r="268" customFormat="false" ht="15" hidden="false" customHeight="false" outlineLevel="0" collapsed="false">
      <c r="A268" s="47"/>
      <c r="B268" s="46"/>
      <c r="C268" s="46"/>
      <c r="D268" s="47"/>
      <c r="E268" s="47"/>
      <c r="F268" s="47"/>
      <c r="G268" s="40"/>
      <c r="H268" s="40"/>
      <c r="I268" s="47"/>
      <c r="J268" s="47"/>
      <c r="K268" s="47"/>
      <c r="L268" s="43"/>
      <c r="M268" s="46"/>
      <c r="N268" s="48" t="str">
        <f aca="true">IF(OR(A268="",G268=""),"",MAX(1,NETWORKDAYS(G268,IF(H268="",TODAY(),H268),Bank_Holidays!$A$6:$A$60)))</f>
        <v/>
      </c>
      <c r="O268" s="49" t="str">
        <f aca="false">IF(N268="","",IF(N268&lt;=2,"0-2 Days",IF(N268&lt;=5,"3-5 Days",IF(N268&lt;=10,"6-10 Days","&gt;10 Days"))))</f>
        <v/>
      </c>
      <c r="P268" s="46"/>
    </row>
    <row r="269" customFormat="false" ht="15" hidden="false" customHeight="false" outlineLevel="0" collapsed="false">
      <c r="A269" s="47"/>
      <c r="B269" s="46"/>
      <c r="C269" s="46"/>
      <c r="D269" s="47"/>
      <c r="E269" s="47"/>
      <c r="F269" s="47"/>
      <c r="G269" s="40"/>
      <c r="H269" s="40"/>
      <c r="I269" s="47"/>
      <c r="J269" s="47"/>
      <c r="K269" s="47"/>
      <c r="L269" s="43"/>
      <c r="M269" s="46"/>
      <c r="N269" s="48" t="str">
        <f aca="true">IF(OR(A269="",G269=""),"",MAX(1,NETWORKDAYS(G269,IF(H269="",TODAY(),H269),Bank_Holidays!$A$6:$A$60)))</f>
        <v/>
      </c>
      <c r="O269" s="49" t="str">
        <f aca="false">IF(N269="","",IF(N269&lt;=2,"0-2 Days",IF(N269&lt;=5,"3-5 Days",IF(N269&lt;=10,"6-10 Days","&gt;10 Days"))))</f>
        <v/>
      </c>
      <c r="P269" s="46"/>
    </row>
    <row r="270" customFormat="false" ht="15" hidden="false" customHeight="false" outlineLevel="0" collapsed="false">
      <c r="A270" s="47"/>
      <c r="B270" s="46"/>
      <c r="C270" s="46"/>
      <c r="D270" s="47"/>
      <c r="E270" s="47"/>
      <c r="F270" s="47"/>
      <c r="G270" s="40"/>
      <c r="H270" s="40"/>
      <c r="I270" s="47"/>
      <c r="J270" s="47"/>
      <c r="K270" s="47"/>
      <c r="L270" s="43"/>
      <c r="M270" s="46"/>
      <c r="N270" s="48" t="str">
        <f aca="true">IF(OR(A270="",G270=""),"",MAX(1,NETWORKDAYS(G270,IF(H270="",TODAY(),H270),Bank_Holidays!$A$6:$A$60)))</f>
        <v/>
      </c>
      <c r="O270" s="49" t="str">
        <f aca="false">IF(N270="","",IF(N270&lt;=2,"0-2 Days",IF(N270&lt;=5,"3-5 Days",IF(N270&lt;=10,"6-10 Days","&gt;10 Days"))))</f>
        <v/>
      </c>
      <c r="P270" s="46"/>
    </row>
    <row r="271" customFormat="false" ht="15" hidden="false" customHeight="false" outlineLevel="0" collapsed="false">
      <c r="A271" s="47"/>
      <c r="B271" s="46"/>
      <c r="C271" s="46"/>
      <c r="D271" s="47"/>
      <c r="E271" s="47"/>
      <c r="F271" s="47"/>
      <c r="G271" s="40"/>
      <c r="H271" s="40"/>
      <c r="I271" s="47"/>
      <c r="J271" s="47"/>
      <c r="K271" s="47"/>
      <c r="L271" s="43"/>
      <c r="M271" s="46"/>
      <c r="N271" s="48" t="str">
        <f aca="true">IF(OR(A271="",G271=""),"",MAX(1,NETWORKDAYS(G271,IF(H271="",TODAY(),H271),Bank_Holidays!$A$6:$A$60)))</f>
        <v/>
      </c>
      <c r="O271" s="49" t="str">
        <f aca="false">IF(N271="","",IF(N271&lt;=2,"0-2 Days",IF(N271&lt;=5,"3-5 Days",IF(N271&lt;=10,"6-10 Days","&gt;10 Days"))))</f>
        <v/>
      </c>
      <c r="P271" s="46"/>
    </row>
    <row r="272" customFormat="false" ht="15" hidden="false" customHeight="false" outlineLevel="0" collapsed="false">
      <c r="A272" s="47"/>
      <c r="B272" s="46"/>
      <c r="C272" s="46"/>
      <c r="D272" s="47"/>
      <c r="E272" s="47"/>
      <c r="F272" s="47"/>
      <c r="G272" s="40"/>
      <c r="H272" s="40"/>
      <c r="I272" s="47"/>
      <c r="J272" s="47"/>
      <c r="K272" s="47"/>
      <c r="L272" s="43"/>
      <c r="M272" s="46"/>
      <c r="N272" s="48" t="str">
        <f aca="true">IF(OR(A272="",G272=""),"",MAX(1,NETWORKDAYS(G272,IF(H272="",TODAY(),H272),Bank_Holidays!$A$6:$A$60)))</f>
        <v/>
      </c>
      <c r="O272" s="49" t="str">
        <f aca="false">IF(N272="","",IF(N272&lt;=2,"0-2 Days",IF(N272&lt;=5,"3-5 Days",IF(N272&lt;=10,"6-10 Days","&gt;10 Days"))))</f>
        <v/>
      </c>
      <c r="P272" s="46"/>
    </row>
    <row r="273" customFormat="false" ht="15" hidden="false" customHeight="false" outlineLevel="0" collapsed="false">
      <c r="A273" s="47"/>
      <c r="B273" s="46"/>
      <c r="C273" s="46"/>
      <c r="D273" s="47"/>
      <c r="E273" s="47"/>
      <c r="F273" s="47"/>
      <c r="G273" s="40"/>
      <c r="H273" s="40"/>
      <c r="I273" s="47"/>
      <c r="J273" s="47"/>
      <c r="K273" s="47"/>
      <c r="L273" s="43"/>
      <c r="M273" s="46"/>
      <c r="N273" s="48" t="str">
        <f aca="true">IF(OR(A273="",G273=""),"",MAX(1,NETWORKDAYS(G273,IF(H273="",TODAY(),H273),Bank_Holidays!$A$6:$A$60)))</f>
        <v/>
      </c>
      <c r="O273" s="49" t="str">
        <f aca="false">IF(N273="","",IF(N273&lt;=2,"0-2 Days",IF(N273&lt;=5,"3-5 Days",IF(N273&lt;=10,"6-10 Days","&gt;10 Days"))))</f>
        <v/>
      </c>
      <c r="P273" s="46"/>
    </row>
    <row r="274" customFormat="false" ht="15" hidden="false" customHeight="false" outlineLevel="0" collapsed="false">
      <c r="A274" s="47"/>
      <c r="B274" s="46"/>
      <c r="C274" s="46"/>
      <c r="D274" s="47"/>
      <c r="E274" s="47"/>
      <c r="F274" s="47"/>
      <c r="G274" s="40"/>
      <c r="H274" s="40"/>
      <c r="I274" s="47"/>
      <c r="J274" s="47"/>
      <c r="K274" s="47"/>
      <c r="L274" s="43"/>
      <c r="M274" s="46"/>
      <c r="N274" s="48" t="str">
        <f aca="true">IF(OR(A274="",G274=""),"",MAX(1,NETWORKDAYS(G274,IF(H274="",TODAY(),H274),Bank_Holidays!$A$6:$A$60)))</f>
        <v/>
      </c>
      <c r="O274" s="49" t="str">
        <f aca="false">IF(N274="","",IF(N274&lt;=2,"0-2 Days",IF(N274&lt;=5,"3-5 Days",IF(N274&lt;=10,"6-10 Days","&gt;10 Days"))))</f>
        <v/>
      </c>
      <c r="P274" s="46"/>
    </row>
    <row r="275" customFormat="false" ht="15" hidden="false" customHeight="false" outlineLevel="0" collapsed="false">
      <c r="A275" s="47"/>
      <c r="B275" s="46"/>
      <c r="C275" s="46"/>
      <c r="D275" s="47"/>
      <c r="E275" s="47"/>
      <c r="F275" s="47"/>
      <c r="G275" s="40"/>
      <c r="H275" s="40"/>
      <c r="I275" s="47"/>
      <c r="J275" s="47"/>
      <c r="K275" s="47"/>
      <c r="L275" s="43"/>
      <c r="M275" s="46"/>
      <c r="N275" s="48" t="str">
        <f aca="true">IF(OR(A275="",G275=""),"",MAX(1,NETWORKDAYS(G275,IF(H275="",TODAY(),H275),Bank_Holidays!$A$6:$A$60)))</f>
        <v/>
      </c>
      <c r="O275" s="49" t="str">
        <f aca="false">IF(N275="","",IF(N275&lt;=2,"0-2 Days",IF(N275&lt;=5,"3-5 Days",IF(N275&lt;=10,"6-10 Days","&gt;10 Days"))))</f>
        <v/>
      </c>
      <c r="P275" s="46"/>
    </row>
    <row r="276" customFormat="false" ht="15" hidden="false" customHeight="false" outlineLevel="0" collapsed="false">
      <c r="A276" s="47"/>
      <c r="B276" s="46"/>
      <c r="C276" s="46"/>
      <c r="D276" s="47"/>
      <c r="E276" s="47"/>
      <c r="F276" s="47"/>
      <c r="G276" s="40"/>
      <c r="H276" s="40"/>
      <c r="I276" s="47"/>
      <c r="J276" s="47"/>
      <c r="K276" s="47"/>
      <c r="L276" s="43"/>
      <c r="M276" s="46"/>
      <c r="N276" s="48" t="str">
        <f aca="true">IF(OR(A276="",G276=""),"",MAX(1,NETWORKDAYS(G276,IF(H276="",TODAY(),H276),Bank_Holidays!$A$6:$A$60)))</f>
        <v/>
      </c>
      <c r="O276" s="49" t="str">
        <f aca="false">IF(N276="","",IF(N276&lt;=2,"0-2 Days",IF(N276&lt;=5,"3-5 Days",IF(N276&lt;=10,"6-10 Days","&gt;10 Days"))))</f>
        <v/>
      </c>
      <c r="P276" s="46"/>
    </row>
    <row r="277" customFormat="false" ht="15" hidden="false" customHeight="false" outlineLevel="0" collapsed="false">
      <c r="A277" s="47"/>
      <c r="B277" s="46"/>
      <c r="C277" s="46"/>
      <c r="D277" s="47"/>
      <c r="E277" s="47"/>
      <c r="F277" s="47"/>
      <c r="G277" s="40"/>
      <c r="H277" s="40"/>
      <c r="I277" s="47"/>
      <c r="J277" s="47"/>
      <c r="K277" s="47"/>
      <c r="L277" s="43"/>
      <c r="M277" s="46"/>
      <c r="N277" s="48" t="str">
        <f aca="true">IF(OR(A277="",G277=""),"",MAX(1,NETWORKDAYS(G277,IF(H277="",TODAY(),H277),Bank_Holidays!$A$6:$A$60)))</f>
        <v/>
      </c>
      <c r="O277" s="49" t="str">
        <f aca="false">IF(N277="","",IF(N277&lt;=2,"0-2 Days",IF(N277&lt;=5,"3-5 Days",IF(N277&lt;=10,"6-10 Days","&gt;10 Days"))))</f>
        <v/>
      </c>
      <c r="P277" s="46"/>
    </row>
    <row r="278" customFormat="false" ht="15" hidden="false" customHeight="false" outlineLevel="0" collapsed="false">
      <c r="A278" s="47"/>
      <c r="B278" s="46"/>
      <c r="C278" s="46"/>
      <c r="D278" s="47"/>
      <c r="E278" s="47"/>
      <c r="F278" s="47"/>
      <c r="G278" s="40"/>
      <c r="H278" s="40"/>
      <c r="I278" s="47"/>
      <c r="J278" s="47"/>
      <c r="K278" s="47"/>
      <c r="L278" s="43"/>
      <c r="M278" s="46"/>
      <c r="N278" s="48" t="str">
        <f aca="true">IF(OR(A278="",G278=""),"",MAX(1,NETWORKDAYS(G278,IF(H278="",TODAY(),H278),Bank_Holidays!$A$6:$A$60)))</f>
        <v/>
      </c>
      <c r="O278" s="49" t="str">
        <f aca="false">IF(N278="","",IF(N278&lt;=2,"0-2 Days",IF(N278&lt;=5,"3-5 Days",IF(N278&lt;=10,"6-10 Days","&gt;10 Days"))))</f>
        <v/>
      </c>
      <c r="P278" s="46"/>
    </row>
    <row r="279" customFormat="false" ht="15" hidden="false" customHeight="false" outlineLevel="0" collapsed="false">
      <c r="A279" s="47"/>
      <c r="B279" s="46"/>
      <c r="C279" s="46"/>
      <c r="D279" s="47"/>
      <c r="E279" s="47"/>
      <c r="F279" s="47"/>
      <c r="G279" s="40"/>
      <c r="H279" s="40"/>
      <c r="I279" s="47"/>
      <c r="J279" s="47"/>
      <c r="K279" s="47"/>
      <c r="L279" s="43"/>
      <c r="M279" s="46"/>
      <c r="N279" s="48" t="str">
        <f aca="true">IF(OR(A279="",G279=""),"",MAX(1,NETWORKDAYS(G279,IF(H279="",TODAY(),H279),Bank_Holidays!$A$6:$A$60)))</f>
        <v/>
      </c>
      <c r="O279" s="49" t="str">
        <f aca="false">IF(N279="","",IF(N279&lt;=2,"0-2 Days",IF(N279&lt;=5,"3-5 Days",IF(N279&lt;=10,"6-10 Days","&gt;10 Days"))))</f>
        <v/>
      </c>
      <c r="P279" s="46"/>
    </row>
    <row r="280" customFormat="false" ht="15" hidden="false" customHeight="false" outlineLevel="0" collapsed="false">
      <c r="A280" s="47"/>
      <c r="B280" s="46"/>
      <c r="C280" s="46"/>
      <c r="D280" s="47"/>
      <c r="E280" s="47"/>
      <c r="F280" s="47"/>
      <c r="G280" s="40"/>
      <c r="H280" s="40"/>
      <c r="I280" s="47"/>
      <c r="J280" s="47"/>
      <c r="K280" s="47"/>
      <c r="L280" s="43"/>
      <c r="M280" s="46"/>
      <c r="N280" s="48" t="str">
        <f aca="true">IF(OR(A280="",G280=""),"",MAX(1,NETWORKDAYS(G280,IF(H280="",TODAY(),H280),Bank_Holidays!$A$6:$A$60)))</f>
        <v/>
      </c>
      <c r="O280" s="49" t="str">
        <f aca="false">IF(N280="","",IF(N280&lt;=2,"0-2 Days",IF(N280&lt;=5,"3-5 Days",IF(N280&lt;=10,"6-10 Days","&gt;10 Days"))))</f>
        <v/>
      </c>
      <c r="P280" s="46"/>
    </row>
    <row r="281" customFormat="false" ht="15" hidden="false" customHeight="false" outlineLevel="0" collapsed="false">
      <c r="A281" s="47"/>
      <c r="B281" s="46"/>
      <c r="C281" s="46"/>
      <c r="D281" s="47"/>
      <c r="E281" s="47"/>
      <c r="F281" s="47"/>
      <c r="G281" s="40"/>
      <c r="H281" s="40"/>
      <c r="I281" s="47"/>
      <c r="J281" s="47"/>
      <c r="K281" s="47"/>
      <c r="L281" s="43"/>
      <c r="M281" s="46"/>
      <c r="N281" s="48" t="str">
        <f aca="true">IF(OR(A281="",G281=""),"",MAX(1,NETWORKDAYS(G281,IF(H281="",TODAY(),H281),Bank_Holidays!$A$6:$A$60)))</f>
        <v/>
      </c>
      <c r="O281" s="49" t="str">
        <f aca="false">IF(N281="","",IF(N281&lt;=2,"0-2 Days",IF(N281&lt;=5,"3-5 Days",IF(N281&lt;=10,"6-10 Days","&gt;10 Days"))))</f>
        <v/>
      </c>
      <c r="P281" s="46"/>
    </row>
    <row r="282" customFormat="false" ht="15" hidden="false" customHeight="false" outlineLevel="0" collapsed="false">
      <c r="A282" s="47"/>
      <c r="B282" s="46"/>
      <c r="C282" s="46"/>
      <c r="D282" s="47"/>
      <c r="E282" s="47"/>
      <c r="F282" s="47"/>
      <c r="G282" s="40"/>
      <c r="H282" s="40"/>
      <c r="I282" s="47"/>
      <c r="J282" s="47"/>
      <c r="K282" s="47"/>
      <c r="L282" s="43"/>
      <c r="M282" s="46"/>
      <c r="N282" s="48" t="str">
        <f aca="true">IF(OR(A282="",G282=""),"",MAX(1,NETWORKDAYS(G282,IF(H282="",TODAY(),H282),Bank_Holidays!$A$6:$A$60)))</f>
        <v/>
      </c>
      <c r="O282" s="49" t="str">
        <f aca="false">IF(N282="","",IF(N282&lt;=2,"0-2 Days",IF(N282&lt;=5,"3-5 Days",IF(N282&lt;=10,"6-10 Days","&gt;10 Days"))))</f>
        <v/>
      </c>
      <c r="P282" s="46"/>
    </row>
    <row r="283" customFormat="false" ht="15" hidden="false" customHeight="false" outlineLevel="0" collapsed="false">
      <c r="A283" s="47"/>
      <c r="B283" s="46"/>
      <c r="C283" s="46"/>
      <c r="D283" s="47"/>
      <c r="E283" s="47"/>
      <c r="F283" s="47"/>
      <c r="G283" s="40"/>
      <c r="H283" s="40"/>
      <c r="I283" s="47"/>
      <c r="J283" s="47"/>
      <c r="K283" s="47"/>
      <c r="L283" s="43"/>
      <c r="M283" s="46"/>
      <c r="N283" s="48" t="str">
        <f aca="true">IF(OR(A283="",G283=""),"",MAX(1,NETWORKDAYS(G283,IF(H283="",TODAY(),H283),Bank_Holidays!$A$6:$A$60)))</f>
        <v/>
      </c>
      <c r="O283" s="49" t="str">
        <f aca="false">IF(N283="","",IF(N283&lt;=2,"0-2 Days",IF(N283&lt;=5,"3-5 Days",IF(N283&lt;=10,"6-10 Days","&gt;10 Days"))))</f>
        <v/>
      </c>
      <c r="P283" s="46"/>
    </row>
    <row r="284" customFormat="false" ht="15" hidden="false" customHeight="false" outlineLevel="0" collapsed="false">
      <c r="A284" s="47"/>
      <c r="B284" s="46"/>
      <c r="C284" s="46"/>
      <c r="D284" s="47"/>
      <c r="E284" s="47"/>
      <c r="F284" s="47"/>
      <c r="G284" s="40"/>
      <c r="H284" s="40"/>
      <c r="I284" s="47"/>
      <c r="J284" s="47"/>
      <c r="K284" s="47"/>
      <c r="L284" s="43"/>
      <c r="M284" s="46"/>
      <c r="N284" s="48" t="str">
        <f aca="true">IF(OR(A284="",G284=""),"",MAX(1,NETWORKDAYS(G284,IF(H284="",TODAY(),H284),Bank_Holidays!$A$6:$A$60)))</f>
        <v/>
      </c>
      <c r="O284" s="49" t="str">
        <f aca="false">IF(N284="","",IF(N284&lt;=2,"0-2 Days",IF(N284&lt;=5,"3-5 Days",IF(N284&lt;=10,"6-10 Days","&gt;10 Days"))))</f>
        <v/>
      </c>
      <c r="P284" s="46"/>
    </row>
    <row r="285" customFormat="false" ht="15" hidden="false" customHeight="false" outlineLevel="0" collapsed="false">
      <c r="A285" s="47"/>
      <c r="B285" s="46"/>
      <c r="C285" s="46"/>
      <c r="D285" s="47"/>
      <c r="E285" s="47"/>
      <c r="F285" s="47"/>
      <c r="G285" s="40"/>
      <c r="H285" s="40"/>
      <c r="I285" s="47"/>
      <c r="J285" s="47"/>
      <c r="K285" s="47"/>
      <c r="L285" s="43"/>
      <c r="M285" s="46"/>
      <c r="N285" s="48" t="str">
        <f aca="true">IF(OR(A285="",G285=""),"",MAX(1,NETWORKDAYS(G285,IF(H285="",TODAY(),H285),Bank_Holidays!$A$6:$A$60)))</f>
        <v/>
      </c>
      <c r="O285" s="49" t="str">
        <f aca="false">IF(N285="","",IF(N285&lt;=2,"0-2 Days",IF(N285&lt;=5,"3-5 Days",IF(N285&lt;=10,"6-10 Days","&gt;10 Days"))))</f>
        <v/>
      </c>
      <c r="P285" s="46"/>
    </row>
    <row r="286" customFormat="false" ht="15" hidden="false" customHeight="false" outlineLevel="0" collapsed="false">
      <c r="A286" s="47"/>
      <c r="B286" s="46"/>
      <c r="C286" s="46"/>
      <c r="D286" s="47"/>
      <c r="E286" s="47"/>
      <c r="F286" s="47"/>
      <c r="G286" s="40"/>
      <c r="H286" s="40"/>
      <c r="I286" s="47"/>
      <c r="J286" s="47"/>
      <c r="K286" s="47"/>
      <c r="L286" s="43"/>
      <c r="M286" s="46"/>
      <c r="N286" s="48" t="str">
        <f aca="true">IF(OR(A286="",G286=""),"",MAX(1,NETWORKDAYS(G286,IF(H286="",TODAY(),H286),Bank_Holidays!$A$6:$A$60)))</f>
        <v/>
      </c>
      <c r="O286" s="49" t="str">
        <f aca="false">IF(N286="","",IF(N286&lt;=2,"0-2 Days",IF(N286&lt;=5,"3-5 Days",IF(N286&lt;=10,"6-10 Days","&gt;10 Days"))))</f>
        <v/>
      </c>
      <c r="P286" s="46"/>
    </row>
    <row r="287" customFormat="false" ht="15" hidden="false" customHeight="false" outlineLevel="0" collapsed="false">
      <c r="A287" s="47"/>
      <c r="B287" s="46"/>
      <c r="C287" s="46"/>
      <c r="D287" s="47"/>
      <c r="E287" s="47"/>
      <c r="F287" s="47"/>
      <c r="G287" s="40"/>
      <c r="H287" s="40"/>
      <c r="I287" s="47"/>
      <c r="J287" s="47"/>
      <c r="K287" s="47"/>
      <c r="L287" s="43"/>
      <c r="M287" s="46"/>
      <c r="N287" s="48" t="str">
        <f aca="true">IF(OR(A287="",G287=""),"",MAX(1,NETWORKDAYS(G287,IF(H287="",TODAY(),H287),Bank_Holidays!$A$6:$A$60)))</f>
        <v/>
      </c>
      <c r="O287" s="49" t="str">
        <f aca="false">IF(N287="","",IF(N287&lt;=2,"0-2 Days",IF(N287&lt;=5,"3-5 Days",IF(N287&lt;=10,"6-10 Days","&gt;10 Days"))))</f>
        <v/>
      </c>
      <c r="P287" s="46"/>
    </row>
    <row r="288" customFormat="false" ht="15" hidden="false" customHeight="false" outlineLevel="0" collapsed="false">
      <c r="A288" s="47"/>
      <c r="B288" s="46"/>
      <c r="C288" s="46"/>
      <c r="D288" s="47"/>
      <c r="E288" s="47"/>
      <c r="F288" s="47"/>
      <c r="G288" s="40"/>
      <c r="H288" s="40"/>
      <c r="I288" s="47"/>
      <c r="J288" s="47"/>
      <c r="K288" s="47"/>
      <c r="L288" s="43"/>
      <c r="M288" s="46"/>
      <c r="N288" s="48" t="str">
        <f aca="true">IF(OR(A288="",G288=""),"",MAX(1,NETWORKDAYS(G288,IF(H288="",TODAY(),H288),Bank_Holidays!$A$6:$A$60)))</f>
        <v/>
      </c>
      <c r="O288" s="49" t="str">
        <f aca="false">IF(N288="","",IF(N288&lt;=2,"0-2 Days",IF(N288&lt;=5,"3-5 Days",IF(N288&lt;=10,"6-10 Days","&gt;10 Days"))))</f>
        <v/>
      </c>
      <c r="P288" s="46"/>
    </row>
    <row r="289" customFormat="false" ht="15" hidden="false" customHeight="false" outlineLevel="0" collapsed="false">
      <c r="A289" s="47"/>
      <c r="B289" s="46"/>
      <c r="C289" s="46"/>
      <c r="D289" s="47"/>
      <c r="E289" s="47"/>
      <c r="F289" s="47"/>
      <c r="G289" s="40"/>
      <c r="H289" s="40"/>
      <c r="I289" s="47"/>
      <c r="J289" s="47"/>
      <c r="K289" s="47"/>
      <c r="L289" s="43"/>
      <c r="M289" s="46"/>
      <c r="N289" s="48" t="str">
        <f aca="true">IF(OR(A289="",G289=""),"",MAX(1,NETWORKDAYS(G289,IF(H289="",TODAY(),H289),Bank_Holidays!$A$6:$A$60)))</f>
        <v/>
      </c>
      <c r="O289" s="49" t="str">
        <f aca="false">IF(N289="","",IF(N289&lt;=2,"0-2 Days",IF(N289&lt;=5,"3-5 Days",IF(N289&lt;=10,"6-10 Days","&gt;10 Days"))))</f>
        <v/>
      </c>
      <c r="P289" s="46"/>
    </row>
    <row r="290" customFormat="false" ht="15" hidden="false" customHeight="false" outlineLevel="0" collapsed="false">
      <c r="A290" s="47"/>
      <c r="B290" s="46"/>
      <c r="C290" s="46"/>
      <c r="D290" s="47"/>
      <c r="E290" s="47"/>
      <c r="F290" s="47"/>
      <c r="G290" s="40"/>
      <c r="H290" s="40"/>
      <c r="I290" s="47"/>
      <c r="J290" s="47"/>
      <c r="K290" s="47"/>
      <c r="L290" s="43"/>
      <c r="M290" s="46"/>
      <c r="N290" s="48" t="str">
        <f aca="true">IF(OR(A290="",G290=""),"",MAX(1,NETWORKDAYS(G290,IF(H290="",TODAY(),H290),Bank_Holidays!$A$6:$A$60)))</f>
        <v/>
      </c>
      <c r="O290" s="49" t="str">
        <f aca="false">IF(N290="","",IF(N290&lt;=2,"0-2 Days",IF(N290&lt;=5,"3-5 Days",IF(N290&lt;=10,"6-10 Days","&gt;10 Days"))))</f>
        <v/>
      </c>
      <c r="P290" s="46"/>
    </row>
    <row r="291" customFormat="false" ht="15" hidden="false" customHeight="false" outlineLevel="0" collapsed="false">
      <c r="A291" s="47"/>
      <c r="B291" s="46"/>
      <c r="C291" s="46"/>
      <c r="D291" s="47"/>
      <c r="E291" s="47"/>
      <c r="F291" s="47"/>
      <c r="G291" s="40"/>
      <c r="H291" s="40"/>
      <c r="I291" s="47"/>
      <c r="J291" s="47"/>
      <c r="K291" s="47"/>
      <c r="L291" s="43"/>
      <c r="M291" s="46"/>
      <c r="N291" s="48" t="str">
        <f aca="true">IF(OR(A291="",G291=""),"",MAX(1,NETWORKDAYS(G291,IF(H291="",TODAY(),H291),Bank_Holidays!$A$6:$A$60)))</f>
        <v/>
      </c>
      <c r="O291" s="49" t="str">
        <f aca="false">IF(N291="","",IF(N291&lt;=2,"0-2 Days",IF(N291&lt;=5,"3-5 Days",IF(N291&lt;=10,"6-10 Days","&gt;10 Days"))))</f>
        <v/>
      </c>
      <c r="P291" s="46"/>
    </row>
    <row r="292" customFormat="false" ht="15" hidden="false" customHeight="false" outlineLevel="0" collapsed="false">
      <c r="A292" s="47"/>
      <c r="B292" s="46"/>
      <c r="C292" s="46"/>
      <c r="D292" s="47"/>
      <c r="E292" s="47"/>
      <c r="F292" s="47"/>
      <c r="G292" s="40"/>
      <c r="H292" s="40"/>
      <c r="I292" s="47"/>
      <c r="J292" s="47"/>
      <c r="K292" s="47"/>
      <c r="L292" s="43"/>
      <c r="M292" s="46"/>
      <c r="N292" s="48" t="str">
        <f aca="true">IF(OR(A292="",G292=""),"",MAX(1,NETWORKDAYS(G292,IF(H292="",TODAY(),H292),Bank_Holidays!$A$6:$A$60)))</f>
        <v/>
      </c>
      <c r="O292" s="49" t="str">
        <f aca="false">IF(N292="","",IF(N292&lt;=2,"0-2 Days",IF(N292&lt;=5,"3-5 Days",IF(N292&lt;=10,"6-10 Days","&gt;10 Days"))))</f>
        <v/>
      </c>
      <c r="P292" s="46"/>
    </row>
    <row r="293" customFormat="false" ht="15" hidden="false" customHeight="false" outlineLevel="0" collapsed="false">
      <c r="A293" s="47"/>
      <c r="B293" s="46"/>
      <c r="C293" s="46"/>
      <c r="D293" s="47"/>
      <c r="E293" s="47"/>
      <c r="F293" s="47"/>
      <c r="G293" s="40"/>
      <c r="H293" s="40"/>
      <c r="I293" s="47"/>
      <c r="J293" s="47"/>
      <c r="K293" s="47"/>
      <c r="L293" s="43"/>
      <c r="M293" s="46"/>
      <c r="N293" s="48" t="str">
        <f aca="true">IF(OR(A293="",G293=""),"",MAX(1,NETWORKDAYS(G293,IF(H293="",TODAY(),H293),Bank_Holidays!$A$6:$A$60)))</f>
        <v/>
      </c>
      <c r="O293" s="49" t="str">
        <f aca="false">IF(N293="","",IF(N293&lt;=2,"0-2 Days",IF(N293&lt;=5,"3-5 Days",IF(N293&lt;=10,"6-10 Days","&gt;10 Days"))))</f>
        <v/>
      </c>
      <c r="P293" s="46"/>
    </row>
    <row r="294" customFormat="false" ht="15" hidden="false" customHeight="false" outlineLevel="0" collapsed="false">
      <c r="A294" s="47"/>
      <c r="B294" s="46"/>
      <c r="C294" s="46"/>
      <c r="D294" s="47"/>
      <c r="E294" s="47"/>
      <c r="F294" s="47"/>
      <c r="G294" s="40"/>
      <c r="H294" s="40"/>
      <c r="I294" s="47"/>
      <c r="J294" s="47"/>
      <c r="K294" s="47"/>
      <c r="L294" s="43"/>
      <c r="M294" s="46"/>
      <c r="N294" s="48" t="str">
        <f aca="true">IF(OR(A294="",G294=""),"",MAX(1,NETWORKDAYS(G294,IF(H294="",TODAY(),H294),Bank_Holidays!$A$6:$A$60)))</f>
        <v/>
      </c>
      <c r="O294" s="49" t="str">
        <f aca="false">IF(N294="","",IF(N294&lt;=2,"0-2 Days",IF(N294&lt;=5,"3-5 Days",IF(N294&lt;=10,"6-10 Days","&gt;10 Days"))))</f>
        <v/>
      </c>
      <c r="P294" s="46"/>
    </row>
    <row r="295" customFormat="false" ht="15" hidden="false" customHeight="false" outlineLevel="0" collapsed="false">
      <c r="A295" s="47"/>
      <c r="B295" s="46"/>
      <c r="C295" s="46"/>
      <c r="D295" s="47"/>
      <c r="E295" s="47"/>
      <c r="F295" s="47"/>
      <c r="G295" s="40"/>
      <c r="H295" s="40"/>
      <c r="I295" s="47"/>
      <c r="J295" s="47"/>
      <c r="K295" s="47"/>
      <c r="L295" s="43"/>
      <c r="M295" s="46"/>
      <c r="N295" s="48" t="str">
        <f aca="true">IF(OR(A295="",G295=""),"",MAX(1,NETWORKDAYS(G295,IF(H295="",TODAY(),H295),Bank_Holidays!$A$6:$A$60)))</f>
        <v/>
      </c>
      <c r="O295" s="49" t="str">
        <f aca="false">IF(N295="","",IF(N295&lt;=2,"0-2 Days",IF(N295&lt;=5,"3-5 Days",IF(N295&lt;=10,"6-10 Days","&gt;10 Days"))))</f>
        <v/>
      </c>
      <c r="P295" s="46"/>
    </row>
    <row r="296" customFormat="false" ht="15" hidden="false" customHeight="false" outlineLevel="0" collapsed="false">
      <c r="A296" s="47"/>
      <c r="B296" s="46"/>
      <c r="C296" s="46"/>
      <c r="D296" s="47"/>
      <c r="E296" s="47"/>
      <c r="F296" s="47"/>
      <c r="G296" s="40"/>
      <c r="H296" s="40"/>
      <c r="I296" s="47"/>
      <c r="J296" s="47"/>
      <c r="K296" s="47"/>
      <c r="L296" s="43"/>
      <c r="M296" s="46"/>
      <c r="N296" s="48" t="str">
        <f aca="true">IF(OR(A296="",G296=""),"",MAX(1,NETWORKDAYS(G296,IF(H296="",TODAY(),H296),Bank_Holidays!$A$6:$A$60)))</f>
        <v/>
      </c>
      <c r="O296" s="49" t="str">
        <f aca="false">IF(N296="","",IF(N296&lt;=2,"0-2 Days",IF(N296&lt;=5,"3-5 Days",IF(N296&lt;=10,"6-10 Days","&gt;10 Days"))))</f>
        <v/>
      </c>
      <c r="P296" s="46"/>
    </row>
    <row r="297" customFormat="false" ht="15" hidden="false" customHeight="false" outlineLevel="0" collapsed="false">
      <c r="A297" s="47"/>
      <c r="B297" s="46"/>
      <c r="C297" s="46"/>
      <c r="D297" s="47"/>
      <c r="E297" s="47"/>
      <c r="F297" s="47"/>
      <c r="G297" s="40"/>
      <c r="H297" s="40"/>
      <c r="I297" s="47"/>
      <c r="J297" s="47"/>
      <c r="K297" s="47"/>
      <c r="L297" s="43"/>
      <c r="M297" s="46"/>
      <c r="N297" s="48" t="str">
        <f aca="true">IF(OR(A297="",G297=""),"",MAX(1,NETWORKDAYS(G297,IF(H297="",TODAY(),H297),Bank_Holidays!$A$6:$A$60)))</f>
        <v/>
      </c>
      <c r="O297" s="49" t="str">
        <f aca="false">IF(N297="","",IF(N297&lt;=2,"0-2 Days",IF(N297&lt;=5,"3-5 Days",IF(N297&lt;=10,"6-10 Days","&gt;10 Days"))))</f>
        <v/>
      </c>
      <c r="P297" s="46"/>
    </row>
    <row r="298" customFormat="false" ht="15" hidden="false" customHeight="false" outlineLevel="0" collapsed="false">
      <c r="A298" s="47"/>
      <c r="B298" s="46"/>
      <c r="C298" s="46"/>
      <c r="D298" s="47"/>
      <c r="E298" s="47"/>
      <c r="F298" s="47"/>
      <c r="G298" s="40"/>
      <c r="H298" s="40"/>
      <c r="I298" s="47"/>
      <c r="J298" s="47"/>
      <c r="K298" s="47"/>
      <c r="L298" s="43"/>
      <c r="M298" s="46"/>
      <c r="N298" s="48" t="str">
        <f aca="true">IF(OR(A298="",G298=""),"",MAX(1,NETWORKDAYS(G298,IF(H298="",TODAY(),H298),Bank_Holidays!$A$6:$A$60)))</f>
        <v/>
      </c>
      <c r="O298" s="49" t="str">
        <f aca="false">IF(N298="","",IF(N298&lt;=2,"0-2 Days",IF(N298&lt;=5,"3-5 Days",IF(N298&lt;=10,"6-10 Days","&gt;10 Days"))))</f>
        <v/>
      </c>
      <c r="P298" s="46"/>
    </row>
    <row r="299" customFormat="false" ht="15" hidden="false" customHeight="false" outlineLevel="0" collapsed="false">
      <c r="A299" s="47"/>
      <c r="B299" s="46"/>
      <c r="C299" s="46"/>
      <c r="D299" s="47"/>
      <c r="E299" s="47"/>
      <c r="F299" s="47"/>
      <c r="G299" s="40"/>
      <c r="H299" s="40"/>
      <c r="I299" s="47"/>
      <c r="J299" s="47"/>
      <c r="K299" s="47"/>
      <c r="L299" s="43"/>
      <c r="M299" s="46"/>
      <c r="N299" s="48" t="str">
        <f aca="true">IF(OR(A299="",G299=""),"",MAX(1,NETWORKDAYS(G299,IF(H299="",TODAY(),H299),Bank_Holidays!$A$6:$A$60)))</f>
        <v/>
      </c>
      <c r="O299" s="49" t="str">
        <f aca="false">IF(N299="","",IF(N299&lt;=2,"0-2 Days",IF(N299&lt;=5,"3-5 Days",IF(N299&lt;=10,"6-10 Days","&gt;10 Days"))))</f>
        <v/>
      </c>
      <c r="P299" s="46"/>
    </row>
    <row r="300" customFormat="false" ht="15" hidden="false" customHeight="false" outlineLevel="0" collapsed="false">
      <c r="A300" s="47"/>
      <c r="B300" s="46"/>
      <c r="C300" s="46"/>
      <c r="D300" s="47"/>
      <c r="E300" s="47"/>
      <c r="F300" s="47"/>
      <c r="G300" s="40"/>
      <c r="H300" s="40"/>
      <c r="I300" s="47"/>
      <c r="J300" s="47"/>
      <c r="K300" s="47"/>
      <c r="L300" s="43"/>
      <c r="M300" s="46"/>
      <c r="N300" s="48" t="str">
        <f aca="true">IF(OR(A300="",G300=""),"",MAX(1,NETWORKDAYS(G300,IF(H300="",TODAY(),H300),Bank_Holidays!$A$6:$A$60)))</f>
        <v/>
      </c>
      <c r="O300" s="49" t="str">
        <f aca="false">IF(N300="","",IF(N300&lt;=2,"0-2 Days",IF(N300&lt;=5,"3-5 Days",IF(N300&lt;=10,"6-10 Days","&gt;10 Days"))))</f>
        <v/>
      </c>
      <c r="P300" s="46"/>
    </row>
    <row r="301" customFormat="false" ht="15" hidden="false" customHeight="false" outlineLevel="0" collapsed="false">
      <c r="A301" s="47"/>
      <c r="B301" s="46"/>
      <c r="C301" s="46"/>
      <c r="D301" s="47"/>
      <c r="E301" s="47"/>
      <c r="F301" s="47"/>
      <c r="G301" s="40"/>
      <c r="H301" s="40"/>
      <c r="I301" s="47"/>
      <c r="J301" s="47"/>
      <c r="K301" s="47"/>
      <c r="L301" s="43"/>
      <c r="M301" s="46"/>
      <c r="N301" s="48" t="str">
        <f aca="true">IF(OR(A301="",G301=""),"",MAX(1,NETWORKDAYS(G301,IF(H301="",TODAY(),H301),Bank_Holidays!$A$6:$A$60)))</f>
        <v/>
      </c>
      <c r="O301" s="49" t="str">
        <f aca="false">IF(N301="","",IF(N301&lt;=2,"0-2 Days",IF(N301&lt;=5,"3-5 Days",IF(N301&lt;=10,"6-10 Days","&gt;10 Days"))))</f>
        <v/>
      </c>
      <c r="P301" s="46"/>
    </row>
    <row r="302" customFormat="false" ht="15" hidden="false" customHeight="false" outlineLevel="0" collapsed="false">
      <c r="A302" s="47"/>
      <c r="B302" s="46"/>
      <c r="C302" s="46"/>
      <c r="D302" s="47"/>
      <c r="E302" s="47"/>
      <c r="F302" s="47"/>
      <c r="G302" s="40"/>
      <c r="H302" s="40"/>
      <c r="I302" s="47"/>
      <c r="J302" s="47"/>
      <c r="K302" s="47"/>
      <c r="L302" s="43"/>
      <c r="M302" s="46"/>
      <c r="N302" s="48" t="str">
        <f aca="true">IF(OR(A302="",G302=""),"",MAX(1,NETWORKDAYS(G302,IF(H302="",TODAY(),H302),Bank_Holidays!$A$6:$A$60)))</f>
        <v/>
      </c>
      <c r="O302" s="49" t="str">
        <f aca="false">IF(N302="","",IF(N302&lt;=2,"0-2 Days",IF(N302&lt;=5,"3-5 Days",IF(N302&lt;=10,"6-10 Days","&gt;10 Days"))))</f>
        <v/>
      </c>
      <c r="P302" s="46"/>
    </row>
    <row r="303" customFormat="false" ht="15" hidden="false" customHeight="false" outlineLevel="0" collapsed="false">
      <c r="A303" s="47"/>
      <c r="B303" s="46"/>
      <c r="C303" s="46"/>
      <c r="D303" s="47"/>
      <c r="E303" s="47"/>
      <c r="F303" s="47"/>
      <c r="G303" s="40"/>
      <c r="H303" s="40"/>
      <c r="I303" s="47"/>
      <c r="J303" s="47"/>
      <c r="K303" s="47"/>
      <c r="L303" s="43"/>
      <c r="M303" s="46"/>
      <c r="N303" s="48" t="str">
        <f aca="true">IF(OR(A303="",G303=""),"",MAX(1,NETWORKDAYS(G303,IF(H303="",TODAY(),H303),Bank_Holidays!$A$6:$A$60)))</f>
        <v/>
      </c>
      <c r="O303" s="49" t="str">
        <f aca="false">IF(N303="","",IF(N303&lt;=2,"0-2 Days",IF(N303&lt;=5,"3-5 Days",IF(N303&lt;=10,"6-10 Days","&gt;10 Days"))))</f>
        <v/>
      </c>
      <c r="P303" s="46"/>
    </row>
    <row r="304" customFormat="false" ht="15" hidden="false" customHeight="false" outlineLevel="0" collapsed="false">
      <c r="A304" s="47"/>
      <c r="B304" s="46"/>
      <c r="C304" s="46"/>
      <c r="D304" s="47"/>
      <c r="E304" s="47"/>
      <c r="F304" s="47"/>
      <c r="G304" s="40"/>
      <c r="H304" s="40"/>
      <c r="I304" s="47"/>
      <c r="J304" s="47"/>
      <c r="K304" s="47"/>
      <c r="L304" s="43"/>
      <c r="M304" s="46"/>
      <c r="N304" s="48" t="str">
        <f aca="true">IF(OR(A304="",G304=""),"",MAX(1,NETWORKDAYS(G304,IF(H304="",TODAY(),H304),Bank_Holidays!$A$6:$A$60)))</f>
        <v/>
      </c>
      <c r="O304" s="49" t="str">
        <f aca="false">IF(N304="","",IF(N304&lt;=2,"0-2 Days",IF(N304&lt;=5,"3-5 Days",IF(N304&lt;=10,"6-10 Days","&gt;10 Days"))))</f>
        <v/>
      </c>
      <c r="P304" s="46"/>
    </row>
    <row r="305" customFormat="false" ht="15" hidden="false" customHeight="false" outlineLevel="0" collapsed="false">
      <c r="A305" s="47"/>
      <c r="B305" s="46"/>
      <c r="C305" s="46"/>
      <c r="D305" s="47"/>
      <c r="E305" s="47"/>
      <c r="F305" s="47"/>
      <c r="G305" s="40"/>
      <c r="H305" s="40"/>
      <c r="I305" s="47"/>
      <c r="J305" s="47"/>
      <c r="K305" s="47"/>
      <c r="L305" s="43"/>
      <c r="M305" s="46"/>
      <c r="N305" s="48" t="str">
        <f aca="true">IF(OR(A305="",G305=""),"",MAX(1,NETWORKDAYS(G305,IF(H305="",TODAY(),H305),Bank_Holidays!$A$6:$A$60)))</f>
        <v/>
      </c>
      <c r="O305" s="49" t="str">
        <f aca="false">IF(N305="","",IF(N305&lt;=2,"0-2 Days",IF(N305&lt;=5,"3-5 Days",IF(N305&lt;=10,"6-10 Days","&gt;10 Days"))))</f>
        <v/>
      </c>
      <c r="P305" s="46"/>
    </row>
  </sheetData>
  <autoFilter ref="A5:P305"/>
  <conditionalFormatting sqref="O6:O305">
    <cfRule type="cellIs" priority="2" operator="equal" aboveAverage="0" equalAverage="0" bottom="0" percent="0" rank="0" text="" dxfId="10">
      <formula>"&gt;10 Days"</formula>
    </cfRule>
    <cfRule type="cellIs" priority="3" operator="equal" aboveAverage="0" equalAverage="0" bottom="0" percent="0" rank="0" text="" dxfId="9">
      <formula>"6-10 Days"</formula>
    </cfRule>
    <cfRule type="cellIs" priority="4" operator="equal" aboveAverage="0" equalAverage="0" bottom="0" percent="0" rank="0" text="" dxfId="8">
      <formula>"3-5 Days"</formula>
    </cfRule>
    <cfRule type="cellIs" priority="5" operator="equal" aboveAverage="0" equalAverage="0" bottom="0" percent="0" rank="0" text="" dxfId="8">
      <formula>"0-2 Days"</formula>
    </cfRule>
  </conditionalFormatting>
  <dataValidations count="9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false" error="Please choose a value from the dropdown (list 'Test Type' on the Lists sheet)." errorStyle="stop" errorTitle="Pick from the list" operator="between" showDropDown="false" showErrorMessage="true" showInputMessage="false" sqref="D6:D305" type="list">
      <formula1>Lists!$C$2:$C$40</formula1>
      <formula2>0</formula2>
    </dataValidation>
    <dataValidation allowBlank="false" error="Please choose a value from the dropdown (list 'Priority' on the Lists sheet)." errorStyle="stop" errorTitle="Pick from the list" operator="between" showDropDown="false" showErrorMessage="true" showInputMessage="false" sqref="E6:E305" type="list">
      <formula1>Lists!$A$2:$A$40</formula1>
      <formula2>0</formula2>
    </dataValidation>
    <dataValidation allowBlank="false" error="Please choose a value from the dropdown (list 'Severity' on the Lists sheet)." errorStyle="stop" errorTitle="Pick from the list" operator="between" showDropDown="false" showErrorMessage="true" showInputMessage="false" sqref="F6:F305" type="list">
      <formula1>Lists!$B$2:$B$40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G6:G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H6:H305" type="date">
      <formula1>43831</formula1>
      <formula2>0</formula2>
    </dataValidation>
    <dataValidation allowBlank="false" error="Please choose a value from the dropdown (list 'Defect Status' on the Lists sheet)." errorStyle="stop" errorTitle="Pick from the list" operator="between" showDropDown="false" showErrorMessage="true" showInputMessage="false" sqref="I6:I305" type="list">
      <formula1>Lists!$D$2:$D$40</formula1>
      <formula2>0</formula2>
    </dataValidation>
    <dataValidation allowBlank="false" error="Please choose a value from the dropdown (list 'Found In' on the Lists sheet)." errorStyle="stop" errorTitle="Pick from the list" operator="between" showDropDown="false" showErrorMessage="true" showInputMessage="false" sqref="J6:J305" type="list">
      <formula1>Lists!$E$2:$E$40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L6:L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394</v>
      </c>
    </row>
    <row r="2" customFormat="false" ht="15" hidden="false" customHeight="true" outlineLevel="0" collapsed="false">
      <c r="A2" s="23" t="s">
        <v>395</v>
      </c>
    </row>
    <row r="3" customFormat="false" ht="15" hidden="false" customHeight="true" outlineLevel="0" collapsed="false">
      <c r="A3" s="35" t="s">
        <v>396</v>
      </c>
    </row>
    <row r="5" customFormat="false" ht="43.5" hidden="false" customHeight="true" outlineLevel="0" collapsed="false">
      <c r="A5" s="39" t="s">
        <v>397</v>
      </c>
      <c r="B5" s="39" t="s">
        <v>398</v>
      </c>
      <c r="C5" s="39" t="s">
        <v>281</v>
      </c>
      <c r="D5" s="39" t="s">
        <v>399</v>
      </c>
      <c r="E5" s="39" t="s">
        <v>400</v>
      </c>
      <c r="F5" s="39" t="s">
        <v>401</v>
      </c>
      <c r="G5" s="39" t="s">
        <v>350</v>
      </c>
      <c r="H5" s="39" t="s">
        <v>402</v>
      </c>
      <c r="I5" s="39" t="s">
        <v>403</v>
      </c>
      <c r="J5" s="39" t="s">
        <v>404</v>
      </c>
      <c r="K5" s="39" t="s">
        <v>262</v>
      </c>
    </row>
    <row r="6" customFormat="false" ht="30" hidden="false" customHeight="true" outlineLevel="0" collapsed="false">
      <c r="A6" s="27" t="s">
        <v>156</v>
      </c>
      <c r="B6" s="46" t="s">
        <v>405</v>
      </c>
      <c r="C6" s="46" t="s">
        <v>406</v>
      </c>
      <c r="D6" s="40" t="n">
        <v>46076</v>
      </c>
      <c r="E6" s="40" t="n">
        <v>46084</v>
      </c>
      <c r="F6" s="43" t="n">
        <v>1</v>
      </c>
      <c r="G6" s="47" t="s">
        <v>407</v>
      </c>
      <c r="H6" s="44" t="n">
        <v>760000</v>
      </c>
      <c r="I6" s="48" t="n">
        <f aca="true">IF(OR(A6="",D6=""),"",MAX(0,NETWORKDAYS(D6,IF(E6="",TODAY(),E6),Bank_Holidays!$A$6:$A$60)-N(F6)))</f>
        <v>6</v>
      </c>
      <c r="J6" s="49" t="str">
        <f aca="false">IF(I6="","",IF(I6&gt;Config!$B$16,"Yes","No"))</f>
        <v>No</v>
      </c>
      <c r="K6" s="46"/>
    </row>
    <row r="7" customFormat="false" ht="30" hidden="false" customHeight="true" outlineLevel="0" collapsed="false">
      <c r="A7" s="27" t="s">
        <v>408</v>
      </c>
      <c r="B7" s="46" t="s">
        <v>409</v>
      </c>
      <c r="C7" s="46" t="s">
        <v>406</v>
      </c>
      <c r="D7" s="40" t="n">
        <v>46160</v>
      </c>
      <c r="E7" s="40" t="n">
        <v>46164</v>
      </c>
      <c r="F7" s="43" t="n">
        <v>0</v>
      </c>
      <c r="G7" s="47" t="s">
        <v>407</v>
      </c>
      <c r="H7" s="44"/>
      <c r="I7" s="48" t="n">
        <f aca="true">IF(OR(A7="",D7=""),"",MAX(0,NETWORKDAYS(D7,IF(E7="",TODAY(),E7),Bank_Holidays!$A$6:$A$60)-N(F7)))</f>
        <v>5</v>
      </c>
      <c r="J7" s="49" t="str">
        <f aca="false">IF(I7="","",IF(I7&gt;Config!$B$16,"Yes","No"))</f>
        <v>No</v>
      </c>
      <c r="K7" s="46"/>
    </row>
    <row r="8" customFormat="false" ht="30" hidden="false" customHeight="true" outlineLevel="0" collapsed="false">
      <c r="A8" s="27" t="s">
        <v>410</v>
      </c>
      <c r="B8" s="46" t="s">
        <v>411</v>
      </c>
      <c r="C8" s="46" t="s">
        <v>406</v>
      </c>
      <c r="D8" s="40" t="n">
        <v>46223</v>
      </c>
      <c r="E8" s="40" t="n">
        <v>46233</v>
      </c>
      <c r="F8" s="43" t="n">
        <v>2</v>
      </c>
      <c r="G8" s="47" t="s">
        <v>407</v>
      </c>
      <c r="H8" s="44"/>
      <c r="I8" s="48" t="n">
        <f aca="true">IF(OR(A8="",D8=""),"",MAX(0,NETWORKDAYS(D8,IF(E8="",TODAY(),E8),Bank_Holidays!$A$6:$A$60)-N(F8)))</f>
        <v>7</v>
      </c>
      <c r="J8" s="49" t="str">
        <f aca="false">IF(I8="","",IF(I8&gt;Config!$B$16,"Yes","No"))</f>
        <v>No</v>
      </c>
      <c r="K8" s="46"/>
    </row>
    <row r="9" customFormat="false" ht="15" hidden="false" customHeight="false" outlineLevel="0" collapsed="false">
      <c r="A9" s="27" t="s">
        <v>412</v>
      </c>
      <c r="B9" s="46" t="s">
        <v>413</v>
      </c>
      <c r="C9" s="46" t="s">
        <v>406</v>
      </c>
      <c r="D9" s="40" t="n">
        <v>46266</v>
      </c>
      <c r="E9" s="40" t="n">
        <v>46269</v>
      </c>
      <c r="F9" s="43" t="n">
        <v>0</v>
      </c>
      <c r="G9" s="47" t="s">
        <v>407</v>
      </c>
      <c r="H9" s="44"/>
      <c r="I9" s="48" t="n">
        <f aca="true">IF(OR(A9="",D9=""),"",MAX(0,NETWORKDAYS(D9,IF(E9="",TODAY(),E9),Bank_Holidays!$A$6:$A$60)-N(F9)))</f>
        <v>4</v>
      </c>
      <c r="J9" s="49" t="str">
        <f aca="false">IF(I9="","",IF(I9&gt;Config!$B$16,"Yes","No"))</f>
        <v>No</v>
      </c>
      <c r="K9" s="46"/>
    </row>
    <row r="10" customFormat="false" ht="30" hidden="false" customHeight="true" outlineLevel="0" collapsed="false">
      <c r="A10" s="27" t="s">
        <v>414</v>
      </c>
      <c r="B10" s="46" t="s">
        <v>415</v>
      </c>
      <c r="C10" s="46" t="s">
        <v>406</v>
      </c>
      <c r="D10" s="40" t="n">
        <v>46293</v>
      </c>
      <c r="E10" s="40"/>
      <c r="F10" s="43" t="n">
        <v>0</v>
      </c>
      <c r="G10" s="47" t="s">
        <v>416</v>
      </c>
      <c r="H10" s="44"/>
      <c r="I10" s="48" t="n">
        <f aca="true">IF(OR(A10="",D10=""),"",MAX(0,NETWORKDAYS(D10,IF(E10="",TODAY(),E10),Bank_Holidays!$A$6:$A$60)-N(F10)))</f>
        <v>5</v>
      </c>
      <c r="J10" s="49" t="str">
        <f aca="false">IF(I10="","",IF(I10&gt;Config!$B$16,"Yes","No"))</f>
        <v>No</v>
      </c>
      <c r="K10" s="46"/>
    </row>
    <row r="11" customFormat="false" ht="15" hidden="false" customHeight="false" outlineLevel="0" collapsed="false">
      <c r="A11" s="27"/>
      <c r="B11" s="46"/>
      <c r="C11" s="46"/>
      <c r="D11" s="40"/>
      <c r="E11" s="40"/>
      <c r="F11" s="43"/>
      <c r="G11" s="47"/>
      <c r="H11" s="44"/>
      <c r="I11" s="48" t="str">
        <f aca="true">IF(OR(A11="",D11=""),"",MAX(0,NETWORKDAYS(D11,IF(E11="",TODAY(),E11),Bank_Holidays!$A$6:$A$60)-N(F11)))</f>
        <v/>
      </c>
      <c r="J11" s="49" t="str">
        <f aca="false">IF(I11="","",IF(I11&gt;Config!$B$16,"Yes","No"))</f>
        <v/>
      </c>
      <c r="K11" s="46"/>
    </row>
    <row r="12" customFormat="false" ht="15" hidden="false" customHeight="false" outlineLevel="0" collapsed="false">
      <c r="A12" s="27"/>
      <c r="B12" s="46"/>
      <c r="C12" s="46"/>
      <c r="D12" s="40"/>
      <c r="E12" s="40"/>
      <c r="F12" s="43"/>
      <c r="G12" s="47"/>
      <c r="H12" s="44"/>
      <c r="I12" s="48" t="str">
        <f aca="true">IF(OR(A12="",D12=""),"",MAX(0,NETWORKDAYS(D12,IF(E12="",TODAY(),E12),Bank_Holidays!$A$6:$A$60)-N(F12)))</f>
        <v/>
      </c>
      <c r="J12" s="49" t="str">
        <f aca="false">IF(I12="","",IF(I12&gt;Config!$B$16,"Yes","No"))</f>
        <v/>
      </c>
      <c r="K12" s="46"/>
    </row>
    <row r="13" customFormat="false" ht="15" hidden="false" customHeight="false" outlineLevel="0" collapsed="false">
      <c r="A13" s="27"/>
      <c r="B13" s="46"/>
      <c r="C13" s="46"/>
      <c r="D13" s="40"/>
      <c r="E13" s="40"/>
      <c r="F13" s="43"/>
      <c r="G13" s="47"/>
      <c r="H13" s="44"/>
      <c r="I13" s="48" t="str">
        <f aca="true">IF(OR(A13="",D13=""),"",MAX(0,NETWORKDAYS(D13,IF(E13="",TODAY(),E13),Bank_Holidays!$A$6:$A$60)-N(F13)))</f>
        <v/>
      </c>
      <c r="J13" s="49" t="str">
        <f aca="false">IF(I13="","",IF(I13&gt;Config!$B$16,"Yes","No"))</f>
        <v/>
      </c>
      <c r="K13" s="46"/>
    </row>
    <row r="14" customFormat="false" ht="15" hidden="false" customHeight="false" outlineLevel="0" collapsed="false">
      <c r="A14" s="27"/>
      <c r="B14" s="46"/>
      <c r="C14" s="46"/>
      <c r="D14" s="40"/>
      <c r="E14" s="40"/>
      <c r="F14" s="43"/>
      <c r="G14" s="47"/>
      <c r="H14" s="44"/>
      <c r="I14" s="48" t="str">
        <f aca="true">IF(OR(A14="",D14=""),"",MAX(0,NETWORKDAYS(D14,IF(E14="",TODAY(),E14),Bank_Holidays!$A$6:$A$60)-N(F14)))</f>
        <v/>
      </c>
      <c r="J14" s="49" t="str">
        <f aca="false">IF(I14="","",IF(I14&gt;Config!$B$16,"Yes","No"))</f>
        <v/>
      </c>
      <c r="K14" s="46"/>
    </row>
    <row r="15" customFormat="false" ht="15" hidden="false" customHeight="false" outlineLevel="0" collapsed="false">
      <c r="A15" s="27"/>
      <c r="B15" s="46"/>
      <c r="C15" s="46"/>
      <c r="D15" s="40"/>
      <c r="E15" s="40"/>
      <c r="F15" s="43"/>
      <c r="G15" s="47"/>
      <c r="H15" s="44"/>
      <c r="I15" s="48" t="str">
        <f aca="true">IF(OR(A15="",D15=""),"",MAX(0,NETWORKDAYS(D15,IF(E15="",TODAY(),E15),Bank_Holidays!$A$6:$A$60)-N(F15)))</f>
        <v/>
      </c>
      <c r="J15" s="49" t="str">
        <f aca="false">IF(I15="","",IF(I15&gt;Config!$B$16,"Yes","No"))</f>
        <v/>
      </c>
      <c r="K15" s="46"/>
    </row>
    <row r="16" customFormat="false" ht="15" hidden="false" customHeight="false" outlineLevel="0" collapsed="false">
      <c r="A16" s="27"/>
      <c r="B16" s="46"/>
      <c r="C16" s="46"/>
      <c r="D16" s="40"/>
      <c r="E16" s="40"/>
      <c r="F16" s="43"/>
      <c r="G16" s="47"/>
      <c r="H16" s="44"/>
      <c r="I16" s="48" t="str">
        <f aca="true">IF(OR(A16="",D16=""),"",MAX(0,NETWORKDAYS(D16,IF(E16="",TODAY(),E16),Bank_Holidays!$A$6:$A$60)-N(F16)))</f>
        <v/>
      </c>
      <c r="J16" s="49" t="str">
        <f aca="false">IF(I16="","",IF(I16&gt;Config!$B$16,"Yes","No"))</f>
        <v/>
      </c>
      <c r="K16" s="46"/>
    </row>
    <row r="17" customFormat="false" ht="15" hidden="false" customHeight="false" outlineLevel="0" collapsed="false">
      <c r="A17" s="27"/>
      <c r="B17" s="46"/>
      <c r="C17" s="46"/>
      <c r="D17" s="40"/>
      <c r="E17" s="40"/>
      <c r="F17" s="43"/>
      <c r="G17" s="47"/>
      <c r="H17" s="44"/>
      <c r="I17" s="48" t="str">
        <f aca="true">IF(OR(A17="",D17=""),"",MAX(0,NETWORKDAYS(D17,IF(E17="",TODAY(),E17),Bank_Holidays!$A$6:$A$60)-N(F17)))</f>
        <v/>
      </c>
      <c r="J17" s="49" t="str">
        <f aca="false">IF(I17="","",IF(I17&gt;Config!$B$16,"Yes","No"))</f>
        <v/>
      </c>
      <c r="K17" s="46"/>
    </row>
    <row r="18" customFormat="false" ht="15" hidden="false" customHeight="false" outlineLevel="0" collapsed="false">
      <c r="A18" s="27"/>
      <c r="B18" s="46"/>
      <c r="C18" s="46"/>
      <c r="D18" s="40"/>
      <c r="E18" s="40"/>
      <c r="F18" s="43"/>
      <c r="G18" s="47"/>
      <c r="H18" s="44"/>
      <c r="I18" s="48" t="str">
        <f aca="true">IF(OR(A18="",D18=""),"",MAX(0,NETWORKDAYS(D18,IF(E18="",TODAY(),E18),Bank_Holidays!$A$6:$A$60)-N(F18)))</f>
        <v/>
      </c>
      <c r="J18" s="49" t="str">
        <f aca="false">IF(I18="","",IF(I18&gt;Config!$B$16,"Yes","No"))</f>
        <v/>
      </c>
      <c r="K18" s="46"/>
    </row>
    <row r="19" customFormat="false" ht="15" hidden="false" customHeight="false" outlineLevel="0" collapsed="false">
      <c r="A19" s="27"/>
      <c r="B19" s="46"/>
      <c r="C19" s="46"/>
      <c r="D19" s="40"/>
      <c r="E19" s="40"/>
      <c r="F19" s="43"/>
      <c r="G19" s="47"/>
      <c r="H19" s="44"/>
      <c r="I19" s="48" t="str">
        <f aca="true">IF(OR(A19="",D19=""),"",MAX(0,NETWORKDAYS(D19,IF(E19="",TODAY(),E19),Bank_Holidays!$A$6:$A$60)-N(F19)))</f>
        <v/>
      </c>
      <c r="J19" s="49" t="str">
        <f aca="false">IF(I19="","",IF(I19&gt;Config!$B$16,"Yes","No"))</f>
        <v/>
      </c>
      <c r="K19" s="46"/>
    </row>
    <row r="20" customFormat="false" ht="15" hidden="false" customHeight="false" outlineLevel="0" collapsed="false">
      <c r="A20" s="27"/>
      <c r="B20" s="46"/>
      <c r="C20" s="46"/>
      <c r="D20" s="40"/>
      <c r="E20" s="40"/>
      <c r="F20" s="43"/>
      <c r="G20" s="47"/>
      <c r="H20" s="44"/>
      <c r="I20" s="48" t="str">
        <f aca="true">IF(OR(A20="",D20=""),"",MAX(0,NETWORKDAYS(D20,IF(E20="",TODAY(),E20),Bank_Holidays!$A$6:$A$60)-N(F20)))</f>
        <v/>
      </c>
      <c r="J20" s="49" t="str">
        <f aca="false">IF(I20="","",IF(I20&gt;Config!$B$16,"Yes","No"))</f>
        <v/>
      </c>
      <c r="K20" s="46"/>
    </row>
    <row r="21" customFormat="false" ht="15" hidden="false" customHeight="false" outlineLevel="0" collapsed="false">
      <c r="A21" s="27"/>
      <c r="B21" s="46"/>
      <c r="C21" s="46"/>
      <c r="D21" s="40"/>
      <c r="E21" s="40"/>
      <c r="F21" s="43"/>
      <c r="G21" s="47"/>
      <c r="H21" s="44"/>
      <c r="I21" s="48" t="str">
        <f aca="true">IF(OR(A21="",D21=""),"",MAX(0,NETWORKDAYS(D21,IF(E21="",TODAY(),E21),Bank_Holidays!$A$6:$A$60)-N(F21)))</f>
        <v/>
      </c>
      <c r="J21" s="49" t="str">
        <f aca="false">IF(I21="","",IF(I21&gt;Config!$B$16,"Yes","No"))</f>
        <v/>
      </c>
      <c r="K21" s="46"/>
    </row>
    <row r="22" customFormat="false" ht="15" hidden="false" customHeight="false" outlineLevel="0" collapsed="false">
      <c r="A22" s="27"/>
      <c r="B22" s="46"/>
      <c r="C22" s="46"/>
      <c r="D22" s="40"/>
      <c r="E22" s="40"/>
      <c r="F22" s="43"/>
      <c r="G22" s="47"/>
      <c r="H22" s="44"/>
      <c r="I22" s="48" t="str">
        <f aca="true">IF(OR(A22="",D22=""),"",MAX(0,NETWORKDAYS(D22,IF(E22="",TODAY(),E22),Bank_Holidays!$A$6:$A$60)-N(F22)))</f>
        <v/>
      </c>
      <c r="J22" s="49" t="str">
        <f aca="false">IF(I22="","",IF(I22&gt;Config!$B$16,"Yes","No"))</f>
        <v/>
      </c>
      <c r="K22" s="46"/>
    </row>
    <row r="23" customFormat="false" ht="15" hidden="false" customHeight="false" outlineLevel="0" collapsed="false">
      <c r="A23" s="27"/>
      <c r="B23" s="46"/>
      <c r="C23" s="46"/>
      <c r="D23" s="40"/>
      <c r="E23" s="40"/>
      <c r="F23" s="43"/>
      <c r="G23" s="47"/>
      <c r="H23" s="44"/>
      <c r="I23" s="48" t="str">
        <f aca="true">IF(OR(A23="",D23=""),"",MAX(0,NETWORKDAYS(D23,IF(E23="",TODAY(),E23),Bank_Holidays!$A$6:$A$60)-N(F23)))</f>
        <v/>
      </c>
      <c r="J23" s="49" t="str">
        <f aca="false">IF(I23="","",IF(I23&gt;Config!$B$16,"Yes","No"))</f>
        <v/>
      </c>
      <c r="K23" s="46"/>
    </row>
    <row r="24" customFormat="false" ht="15" hidden="false" customHeight="false" outlineLevel="0" collapsed="false">
      <c r="A24" s="27"/>
      <c r="B24" s="46"/>
      <c r="C24" s="46"/>
      <c r="D24" s="40"/>
      <c r="E24" s="40"/>
      <c r="F24" s="43"/>
      <c r="G24" s="47"/>
      <c r="H24" s="44"/>
      <c r="I24" s="48" t="str">
        <f aca="true">IF(OR(A24="",D24=""),"",MAX(0,NETWORKDAYS(D24,IF(E24="",TODAY(),E24),Bank_Holidays!$A$6:$A$60)-N(F24)))</f>
        <v/>
      </c>
      <c r="J24" s="49" t="str">
        <f aca="false">IF(I24="","",IF(I24&gt;Config!$B$16,"Yes","No"))</f>
        <v/>
      </c>
      <c r="K24" s="46"/>
    </row>
    <row r="25" customFormat="false" ht="15" hidden="false" customHeight="false" outlineLevel="0" collapsed="false">
      <c r="A25" s="27"/>
      <c r="B25" s="46"/>
      <c r="C25" s="46"/>
      <c r="D25" s="40"/>
      <c r="E25" s="40"/>
      <c r="F25" s="43"/>
      <c r="G25" s="47"/>
      <c r="H25" s="44"/>
      <c r="I25" s="48" t="str">
        <f aca="true">IF(OR(A25="",D25=""),"",MAX(0,NETWORKDAYS(D25,IF(E25="",TODAY(),E25),Bank_Holidays!$A$6:$A$60)-N(F25)))</f>
        <v/>
      </c>
      <c r="J25" s="49" t="str">
        <f aca="false">IF(I25="","",IF(I25&gt;Config!$B$16,"Yes","No"))</f>
        <v/>
      </c>
      <c r="K25" s="46"/>
    </row>
    <row r="26" customFormat="false" ht="15" hidden="false" customHeight="false" outlineLevel="0" collapsed="false">
      <c r="A26" s="27"/>
      <c r="B26" s="46"/>
      <c r="C26" s="46"/>
      <c r="D26" s="40"/>
      <c r="E26" s="40"/>
      <c r="F26" s="43"/>
      <c r="G26" s="47"/>
      <c r="H26" s="44"/>
      <c r="I26" s="48" t="str">
        <f aca="true">IF(OR(A26="",D26=""),"",MAX(0,NETWORKDAYS(D26,IF(E26="",TODAY(),E26),Bank_Holidays!$A$6:$A$60)-N(F26)))</f>
        <v/>
      </c>
      <c r="J26" s="49" t="str">
        <f aca="false">IF(I26="","",IF(I26&gt;Config!$B$16,"Yes","No"))</f>
        <v/>
      </c>
      <c r="K26" s="46"/>
    </row>
    <row r="27" customFormat="false" ht="15" hidden="false" customHeight="false" outlineLevel="0" collapsed="false">
      <c r="A27" s="27"/>
      <c r="B27" s="46"/>
      <c r="C27" s="46"/>
      <c r="D27" s="40"/>
      <c r="E27" s="40"/>
      <c r="F27" s="43"/>
      <c r="G27" s="47"/>
      <c r="H27" s="44"/>
      <c r="I27" s="48" t="str">
        <f aca="true">IF(OR(A27="",D27=""),"",MAX(0,NETWORKDAYS(D27,IF(E27="",TODAY(),E27),Bank_Holidays!$A$6:$A$60)-N(F27)))</f>
        <v/>
      </c>
      <c r="J27" s="49" t="str">
        <f aca="false">IF(I27="","",IF(I27&gt;Config!$B$16,"Yes","No"))</f>
        <v/>
      </c>
      <c r="K27" s="46"/>
    </row>
    <row r="28" customFormat="false" ht="15" hidden="false" customHeight="false" outlineLevel="0" collapsed="false">
      <c r="A28" s="27"/>
      <c r="B28" s="46"/>
      <c r="C28" s="46"/>
      <c r="D28" s="40"/>
      <c r="E28" s="40"/>
      <c r="F28" s="43"/>
      <c r="G28" s="47"/>
      <c r="H28" s="44"/>
      <c r="I28" s="48" t="str">
        <f aca="true">IF(OR(A28="",D28=""),"",MAX(0,NETWORKDAYS(D28,IF(E28="",TODAY(),E28),Bank_Holidays!$A$6:$A$60)-N(F28)))</f>
        <v/>
      </c>
      <c r="J28" s="49" t="str">
        <f aca="false">IF(I28="","",IF(I28&gt;Config!$B$16,"Yes","No"))</f>
        <v/>
      </c>
      <c r="K28" s="46"/>
    </row>
    <row r="29" customFormat="false" ht="15" hidden="false" customHeight="false" outlineLevel="0" collapsed="false">
      <c r="A29" s="27"/>
      <c r="B29" s="46"/>
      <c r="C29" s="46"/>
      <c r="D29" s="40"/>
      <c r="E29" s="40"/>
      <c r="F29" s="43"/>
      <c r="G29" s="47"/>
      <c r="H29" s="44"/>
      <c r="I29" s="48" t="str">
        <f aca="true">IF(OR(A29="",D29=""),"",MAX(0,NETWORKDAYS(D29,IF(E29="",TODAY(),E29),Bank_Holidays!$A$6:$A$60)-N(F29)))</f>
        <v/>
      </c>
      <c r="J29" s="49" t="str">
        <f aca="false">IF(I29="","",IF(I29&gt;Config!$B$16,"Yes","No"))</f>
        <v/>
      </c>
      <c r="K29" s="46"/>
    </row>
    <row r="30" customFormat="false" ht="15" hidden="false" customHeight="false" outlineLevel="0" collapsed="false">
      <c r="A30" s="27"/>
      <c r="B30" s="46"/>
      <c r="C30" s="46"/>
      <c r="D30" s="40"/>
      <c r="E30" s="40"/>
      <c r="F30" s="43"/>
      <c r="G30" s="47"/>
      <c r="H30" s="44"/>
      <c r="I30" s="48" t="str">
        <f aca="true">IF(OR(A30="",D30=""),"",MAX(0,NETWORKDAYS(D30,IF(E30="",TODAY(),E30),Bank_Holidays!$A$6:$A$60)-N(F30)))</f>
        <v/>
      </c>
      <c r="J30" s="49" t="str">
        <f aca="false">IF(I30="","",IF(I30&gt;Config!$B$16,"Yes","No"))</f>
        <v/>
      </c>
      <c r="K30" s="46"/>
    </row>
    <row r="31" customFormat="false" ht="15" hidden="false" customHeight="false" outlineLevel="0" collapsed="false">
      <c r="A31" s="27"/>
      <c r="B31" s="46"/>
      <c r="C31" s="46"/>
      <c r="D31" s="40"/>
      <c r="E31" s="40"/>
      <c r="F31" s="43"/>
      <c r="G31" s="47"/>
      <c r="H31" s="44"/>
      <c r="I31" s="48" t="str">
        <f aca="true">IF(OR(A31="",D31=""),"",MAX(0,NETWORKDAYS(D31,IF(E31="",TODAY(),E31),Bank_Holidays!$A$6:$A$60)-N(F31)))</f>
        <v/>
      </c>
      <c r="J31" s="49" t="str">
        <f aca="false">IF(I31="","",IF(I31&gt;Config!$B$16,"Yes","No"))</f>
        <v/>
      </c>
      <c r="K31" s="46"/>
    </row>
    <row r="32" customFormat="false" ht="15" hidden="false" customHeight="false" outlineLevel="0" collapsed="false">
      <c r="A32" s="27"/>
      <c r="B32" s="46"/>
      <c r="C32" s="46"/>
      <c r="D32" s="40"/>
      <c r="E32" s="40"/>
      <c r="F32" s="43"/>
      <c r="G32" s="47"/>
      <c r="H32" s="44"/>
      <c r="I32" s="48" t="str">
        <f aca="true">IF(OR(A32="",D32=""),"",MAX(0,NETWORKDAYS(D32,IF(E32="",TODAY(),E32),Bank_Holidays!$A$6:$A$60)-N(F32)))</f>
        <v/>
      </c>
      <c r="J32" s="49" t="str">
        <f aca="false">IF(I32="","",IF(I32&gt;Config!$B$16,"Yes","No"))</f>
        <v/>
      </c>
      <c r="K32" s="46"/>
    </row>
    <row r="33" customFormat="false" ht="15" hidden="false" customHeight="false" outlineLevel="0" collapsed="false">
      <c r="A33" s="27"/>
      <c r="B33" s="46"/>
      <c r="C33" s="46"/>
      <c r="D33" s="40"/>
      <c r="E33" s="40"/>
      <c r="F33" s="43"/>
      <c r="G33" s="47"/>
      <c r="H33" s="44"/>
      <c r="I33" s="48" t="str">
        <f aca="true">IF(OR(A33="",D33=""),"",MAX(0,NETWORKDAYS(D33,IF(E33="",TODAY(),E33),Bank_Holidays!$A$6:$A$60)-N(F33)))</f>
        <v/>
      </c>
      <c r="J33" s="49" t="str">
        <f aca="false">IF(I33="","",IF(I33&gt;Config!$B$16,"Yes","No"))</f>
        <v/>
      </c>
      <c r="K33" s="46"/>
    </row>
    <row r="34" customFormat="false" ht="15" hidden="false" customHeight="false" outlineLevel="0" collapsed="false">
      <c r="A34" s="27"/>
      <c r="B34" s="46"/>
      <c r="C34" s="46"/>
      <c r="D34" s="40"/>
      <c r="E34" s="40"/>
      <c r="F34" s="43"/>
      <c r="G34" s="47"/>
      <c r="H34" s="44"/>
      <c r="I34" s="48" t="str">
        <f aca="true">IF(OR(A34="",D34=""),"",MAX(0,NETWORKDAYS(D34,IF(E34="",TODAY(),E34),Bank_Holidays!$A$6:$A$60)-N(F34)))</f>
        <v/>
      </c>
      <c r="J34" s="49" t="str">
        <f aca="false">IF(I34="","",IF(I34&gt;Config!$B$16,"Yes","No"))</f>
        <v/>
      </c>
      <c r="K34" s="46"/>
    </row>
    <row r="35" customFormat="false" ht="15" hidden="false" customHeight="false" outlineLevel="0" collapsed="false">
      <c r="A35" s="27"/>
      <c r="B35" s="46"/>
      <c r="C35" s="46"/>
      <c r="D35" s="40"/>
      <c r="E35" s="40"/>
      <c r="F35" s="43"/>
      <c r="G35" s="47"/>
      <c r="H35" s="44"/>
      <c r="I35" s="48" t="str">
        <f aca="true">IF(OR(A35="",D35=""),"",MAX(0,NETWORKDAYS(D35,IF(E35="",TODAY(),E35),Bank_Holidays!$A$6:$A$60)-N(F35)))</f>
        <v/>
      </c>
      <c r="J35" s="49" t="str">
        <f aca="false">IF(I35="","",IF(I35&gt;Config!$B$16,"Yes","No"))</f>
        <v/>
      </c>
      <c r="K35" s="46"/>
    </row>
    <row r="36" customFormat="false" ht="15" hidden="false" customHeight="false" outlineLevel="0" collapsed="false">
      <c r="A36" s="27"/>
      <c r="B36" s="46"/>
      <c r="C36" s="46"/>
      <c r="D36" s="40"/>
      <c r="E36" s="40"/>
      <c r="F36" s="43"/>
      <c r="G36" s="47"/>
      <c r="H36" s="44"/>
      <c r="I36" s="48" t="str">
        <f aca="true">IF(OR(A36="",D36=""),"",MAX(0,NETWORKDAYS(D36,IF(E36="",TODAY(),E36),Bank_Holidays!$A$6:$A$60)-N(F36)))</f>
        <v/>
      </c>
      <c r="J36" s="49" t="str">
        <f aca="false">IF(I36="","",IF(I36&gt;Config!$B$16,"Yes","No"))</f>
        <v/>
      </c>
      <c r="K36" s="46"/>
    </row>
    <row r="37" customFormat="false" ht="15" hidden="false" customHeight="false" outlineLevel="0" collapsed="false">
      <c r="A37" s="27"/>
      <c r="B37" s="46"/>
      <c r="C37" s="46"/>
      <c r="D37" s="40"/>
      <c r="E37" s="40"/>
      <c r="F37" s="43"/>
      <c r="G37" s="47"/>
      <c r="H37" s="44"/>
      <c r="I37" s="48" t="str">
        <f aca="true">IF(OR(A37="",D37=""),"",MAX(0,NETWORKDAYS(D37,IF(E37="",TODAY(),E37),Bank_Holidays!$A$6:$A$60)-N(F37)))</f>
        <v/>
      </c>
      <c r="J37" s="49" t="str">
        <f aca="false">IF(I37="","",IF(I37&gt;Config!$B$16,"Yes","No"))</f>
        <v/>
      </c>
      <c r="K37" s="46"/>
    </row>
    <row r="38" customFormat="false" ht="15" hidden="false" customHeight="false" outlineLevel="0" collapsed="false">
      <c r="A38" s="27"/>
      <c r="B38" s="46"/>
      <c r="C38" s="46"/>
      <c r="D38" s="40"/>
      <c r="E38" s="40"/>
      <c r="F38" s="43"/>
      <c r="G38" s="47"/>
      <c r="H38" s="44"/>
      <c r="I38" s="48" t="str">
        <f aca="true">IF(OR(A38="",D38=""),"",MAX(0,NETWORKDAYS(D38,IF(E38="",TODAY(),E38),Bank_Holidays!$A$6:$A$60)-N(F38)))</f>
        <v/>
      </c>
      <c r="J38" s="49" t="str">
        <f aca="false">IF(I38="","",IF(I38&gt;Config!$B$16,"Yes","No"))</f>
        <v/>
      </c>
      <c r="K38" s="46"/>
    </row>
    <row r="39" customFormat="false" ht="15" hidden="false" customHeight="false" outlineLevel="0" collapsed="false">
      <c r="A39" s="27"/>
      <c r="B39" s="46"/>
      <c r="C39" s="46"/>
      <c r="D39" s="40"/>
      <c r="E39" s="40"/>
      <c r="F39" s="43"/>
      <c r="G39" s="47"/>
      <c r="H39" s="44"/>
      <c r="I39" s="48" t="str">
        <f aca="true">IF(OR(A39="",D39=""),"",MAX(0,NETWORKDAYS(D39,IF(E39="",TODAY(),E39),Bank_Holidays!$A$6:$A$60)-N(F39)))</f>
        <v/>
      </c>
      <c r="J39" s="49" t="str">
        <f aca="false">IF(I39="","",IF(I39&gt;Config!$B$16,"Yes","No"))</f>
        <v/>
      </c>
      <c r="K39" s="46"/>
    </row>
    <row r="40" customFormat="false" ht="15" hidden="false" customHeight="false" outlineLevel="0" collapsed="false">
      <c r="A40" s="27"/>
      <c r="B40" s="46"/>
      <c r="C40" s="46"/>
      <c r="D40" s="40"/>
      <c r="E40" s="40"/>
      <c r="F40" s="43"/>
      <c r="G40" s="47"/>
      <c r="H40" s="44"/>
      <c r="I40" s="48" t="str">
        <f aca="true">IF(OR(A40="",D40=""),"",MAX(0,NETWORKDAYS(D40,IF(E40="",TODAY(),E40),Bank_Holidays!$A$6:$A$60)-N(F40)))</f>
        <v/>
      </c>
      <c r="J40" s="49" t="str">
        <f aca="false">IF(I40="","",IF(I40&gt;Config!$B$16,"Yes","No"))</f>
        <v/>
      </c>
      <c r="K40" s="46"/>
    </row>
    <row r="41" customFormat="false" ht="15" hidden="false" customHeight="false" outlineLevel="0" collapsed="false">
      <c r="A41" s="27"/>
      <c r="B41" s="46"/>
      <c r="C41" s="46"/>
      <c r="D41" s="40"/>
      <c r="E41" s="40"/>
      <c r="F41" s="43"/>
      <c r="G41" s="47"/>
      <c r="H41" s="44"/>
      <c r="I41" s="48" t="str">
        <f aca="true">IF(OR(A41="",D41=""),"",MAX(0,NETWORKDAYS(D41,IF(E41="",TODAY(),E41),Bank_Holidays!$A$6:$A$60)-N(F41)))</f>
        <v/>
      </c>
      <c r="J41" s="49" t="str">
        <f aca="false">IF(I41="","",IF(I41&gt;Config!$B$16,"Yes","No"))</f>
        <v/>
      </c>
      <c r="K41" s="46"/>
    </row>
    <row r="42" customFormat="false" ht="15" hidden="false" customHeight="false" outlineLevel="0" collapsed="false">
      <c r="A42" s="27"/>
      <c r="B42" s="46"/>
      <c r="C42" s="46"/>
      <c r="D42" s="40"/>
      <c r="E42" s="40"/>
      <c r="F42" s="43"/>
      <c r="G42" s="47"/>
      <c r="H42" s="44"/>
      <c r="I42" s="48" t="str">
        <f aca="true">IF(OR(A42="",D42=""),"",MAX(0,NETWORKDAYS(D42,IF(E42="",TODAY(),E42),Bank_Holidays!$A$6:$A$60)-N(F42)))</f>
        <v/>
      </c>
      <c r="J42" s="49" t="str">
        <f aca="false">IF(I42="","",IF(I42&gt;Config!$B$16,"Yes","No"))</f>
        <v/>
      </c>
      <c r="K42" s="46"/>
    </row>
    <row r="43" customFormat="false" ht="15" hidden="false" customHeight="false" outlineLevel="0" collapsed="false">
      <c r="A43" s="27"/>
      <c r="B43" s="46"/>
      <c r="C43" s="46"/>
      <c r="D43" s="40"/>
      <c r="E43" s="40"/>
      <c r="F43" s="43"/>
      <c r="G43" s="47"/>
      <c r="H43" s="44"/>
      <c r="I43" s="48" t="str">
        <f aca="true">IF(OR(A43="",D43=""),"",MAX(0,NETWORKDAYS(D43,IF(E43="",TODAY(),E43),Bank_Holidays!$A$6:$A$60)-N(F43)))</f>
        <v/>
      </c>
      <c r="J43" s="49" t="str">
        <f aca="false">IF(I43="","",IF(I43&gt;Config!$B$16,"Yes","No"))</f>
        <v/>
      </c>
      <c r="K43" s="46"/>
    </row>
    <row r="44" customFormat="false" ht="15" hidden="false" customHeight="false" outlineLevel="0" collapsed="false">
      <c r="A44" s="27"/>
      <c r="B44" s="46"/>
      <c r="C44" s="46"/>
      <c r="D44" s="40"/>
      <c r="E44" s="40"/>
      <c r="F44" s="43"/>
      <c r="G44" s="47"/>
      <c r="H44" s="44"/>
      <c r="I44" s="48" t="str">
        <f aca="true">IF(OR(A44="",D44=""),"",MAX(0,NETWORKDAYS(D44,IF(E44="",TODAY(),E44),Bank_Holidays!$A$6:$A$60)-N(F44)))</f>
        <v/>
      </c>
      <c r="J44" s="49" t="str">
        <f aca="false">IF(I44="","",IF(I44&gt;Config!$B$16,"Yes","No"))</f>
        <v/>
      </c>
      <c r="K44" s="46"/>
    </row>
    <row r="45" customFormat="false" ht="15" hidden="false" customHeight="false" outlineLevel="0" collapsed="false">
      <c r="A45" s="27"/>
      <c r="B45" s="46"/>
      <c r="C45" s="46"/>
      <c r="D45" s="40"/>
      <c r="E45" s="40"/>
      <c r="F45" s="43"/>
      <c r="G45" s="47"/>
      <c r="H45" s="44"/>
      <c r="I45" s="48" t="str">
        <f aca="true">IF(OR(A45="",D45=""),"",MAX(0,NETWORKDAYS(D45,IF(E45="",TODAY(),E45),Bank_Holidays!$A$6:$A$60)-N(F45)))</f>
        <v/>
      </c>
      <c r="J45" s="49" t="str">
        <f aca="false">IF(I45="","",IF(I45&gt;Config!$B$16,"Yes","No"))</f>
        <v/>
      </c>
      <c r="K45" s="46"/>
    </row>
    <row r="46" customFormat="false" ht="15" hidden="false" customHeight="false" outlineLevel="0" collapsed="false">
      <c r="A46" s="27"/>
      <c r="B46" s="46"/>
      <c r="C46" s="46"/>
      <c r="D46" s="40"/>
      <c r="E46" s="40"/>
      <c r="F46" s="43"/>
      <c r="G46" s="47"/>
      <c r="H46" s="44"/>
      <c r="I46" s="48" t="str">
        <f aca="true">IF(OR(A46="",D46=""),"",MAX(0,NETWORKDAYS(D46,IF(E46="",TODAY(),E46),Bank_Holidays!$A$6:$A$60)-N(F46)))</f>
        <v/>
      </c>
      <c r="J46" s="49" t="str">
        <f aca="false">IF(I46="","",IF(I46&gt;Config!$B$16,"Yes","No"))</f>
        <v/>
      </c>
      <c r="K46" s="46"/>
    </row>
    <row r="47" customFormat="false" ht="15" hidden="false" customHeight="false" outlineLevel="0" collapsed="false">
      <c r="A47" s="27"/>
      <c r="B47" s="46"/>
      <c r="C47" s="46"/>
      <c r="D47" s="40"/>
      <c r="E47" s="40"/>
      <c r="F47" s="43"/>
      <c r="G47" s="47"/>
      <c r="H47" s="44"/>
      <c r="I47" s="48" t="str">
        <f aca="true">IF(OR(A47="",D47=""),"",MAX(0,NETWORKDAYS(D47,IF(E47="",TODAY(),E47),Bank_Holidays!$A$6:$A$60)-N(F47)))</f>
        <v/>
      </c>
      <c r="J47" s="49" t="str">
        <f aca="false">IF(I47="","",IF(I47&gt;Config!$B$16,"Yes","No"))</f>
        <v/>
      </c>
      <c r="K47" s="46"/>
    </row>
    <row r="48" customFormat="false" ht="15" hidden="false" customHeight="false" outlineLevel="0" collapsed="false">
      <c r="A48" s="27"/>
      <c r="B48" s="46"/>
      <c r="C48" s="46"/>
      <c r="D48" s="40"/>
      <c r="E48" s="40"/>
      <c r="F48" s="43"/>
      <c r="G48" s="47"/>
      <c r="H48" s="44"/>
      <c r="I48" s="48" t="str">
        <f aca="true">IF(OR(A48="",D48=""),"",MAX(0,NETWORKDAYS(D48,IF(E48="",TODAY(),E48),Bank_Holidays!$A$6:$A$60)-N(F48)))</f>
        <v/>
      </c>
      <c r="J48" s="49" t="str">
        <f aca="false">IF(I48="","",IF(I48&gt;Config!$B$16,"Yes","No"))</f>
        <v/>
      </c>
      <c r="K48" s="46"/>
    </row>
    <row r="49" customFormat="false" ht="15" hidden="false" customHeight="false" outlineLevel="0" collapsed="false">
      <c r="A49" s="27"/>
      <c r="B49" s="46"/>
      <c r="C49" s="46"/>
      <c r="D49" s="40"/>
      <c r="E49" s="40"/>
      <c r="F49" s="43"/>
      <c r="G49" s="47"/>
      <c r="H49" s="44"/>
      <c r="I49" s="48" t="str">
        <f aca="true">IF(OR(A49="",D49=""),"",MAX(0,NETWORKDAYS(D49,IF(E49="",TODAY(),E49),Bank_Holidays!$A$6:$A$60)-N(F49)))</f>
        <v/>
      </c>
      <c r="J49" s="49" t="str">
        <f aca="false">IF(I49="","",IF(I49&gt;Config!$B$16,"Yes","No"))</f>
        <v/>
      </c>
      <c r="K49" s="46"/>
    </row>
    <row r="50" customFormat="false" ht="15" hidden="false" customHeight="false" outlineLevel="0" collapsed="false">
      <c r="A50" s="27"/>
      <c r="B50" s="46"/>
      <c r="C50" s="46"/>
      <c r="D50" s="40"/>
      <c r="E50" s="40"/>
      <c r="F50" s="43"/>
      <c r="G50" s="47"/>
      <c r="H50" s="44"/>
      <c r="I50" s="48" t="str">
        <f aca="true">IF(OR(A50="",D50=""),"",MAX(0,NETWORKDAYS(D50,IF(E50="",TODAY(),E50),Bank_Holidays!$A$6:$A$60)-N(F50)))</f>
        <v/>
      </c>
      <c r="J50" s="49" t="str">
        <f aca="false">IF(I50="","",IF(I50&gt;Config!$B$16,"Yes","No"))</f>
        <v/>
      </c>
      <c r="K50" s="46"/>
    </row>
    <row r="51" customFormat="false" ht="15" hidden="false" customHeight="false" outlineLevel="0" collapsed="false">
      <c r="A51" s="27"/>
      <c r="B51" s="46"/>
      <c r="C51" s="46"/>
      <c r="D51" s="40"/>
      <c r="E51" s="40"/>
      <c r="F51" s="43"/>
      <c r="G51" s="47"/>
      <c r="H51" s="44"/>
      <c r="I51" s="48" t="str">
        <f aca="true">IF(OR(A51="",D51=""),"",MAX(0,NETWORKDAYS(D51,IF(E51="",TODAY(),E51),Bank_Holidays!$A$6:$A$60)-N(F51)))</f>
        <v/>
      </c>
      <c r="J51" s="49" t="str">
        <f aca="false">IF(I51="","",IF(I51&gt;Config!$B$16,"Yes","No"))</f>
        <v/>
      </c>
      <c r="K51" s="46"/>
    </row>
    <row r="52" customFormat="false" ht="15" hidden="false" customHeight="false" outlineLevel="0" collapsed="false">
      <c r="A52" s="27"/>
      <c r="B52" s="46"/>
      <c r="C52" s="46"/>
      <c r="D52" s="40"/>
      <c r="E52" s="40"/>
      <c r="F52" s="43"/>
      <c r="G52" s="47"/>
      <c r="H52" s="44"/>
      <c r="I52" s="48" t="str">
        <f aca="true">IF(OR(A52="",D52=""),"",MAX(0,NETWORKDAYS(D52,IF(E52="",TODAY(),E52),Bank_Holidays!$A$6:$A$60)-N(F52)))</f>
        <v/>
      </c>
      <c r="J52" s="49" t="str">
        <f aca="false">IF(I52="","",IF(I52&gt;Config!$B$16,"Yes","No"))</f>
        <v/>
      </c>
      <c r="K52" s="46"/>
    </row>
    <row r="53" customFormat="false" ht="15" hidden="false" customHeight="false" outlineLevel="0" collapsed="false">
      <c r="A53" s="27"/>
      <c r="B53" s="46"/>
      <c r="C53" s="46"/>
      <c r="D53" s="40"/>
      <c r="E53" s="40"/>
      <c r="F53" s="43"/>
      <c r="G53" s="47"/>
      <c r="H53" s="44"/>
      <c r="I53" s="48" t="str">
        <f aca="true">IF(OR(A53="",D53=""),"",MAX(0,NETWORKDAYS(D53,IF(E53="",TODAY(),E53),Bank_Holidays!$A$6:$A$60)-N(F53)))</f>
        <v/>
      </c>
      <c r="J53" s="49" t="str">
        <f aca="false">IF(I53="","",IF(I53&gt;Config!$B$16,"Yes","No"))</f>
        <v/>
      </c>
      <c r="K53" s="46"/>
    </row>
    <row r="54" customFormat="false" ht="15" hidden="false" customHeight="false" outlineLevel="0" collapsed="false">
      <c r="A54" s="27"/>
      <c r="B54" s="46"/>
      <c r="C54" s="46"/>
      <c r="D54" s="40"/>
      <c r="E54" s="40"/>
      <c r="F54" s="43"/>
      <c r="G54" s="47"/>
      <c r="H54" s="44"/>
      <c r="I54" s="48" t="str">
        <f aca="true">IF(OR(A54="",D54=""),"",MAX(0,NETWORKDAYS(D54,IF(E54="",TODAY(),E54),Bank_Holidays!$A$6:$A$60)-N(F54)))</f>
        <v/>
      </c>
      <c r="J54" s="49" t="str">
        <f aca="false">IF(I54="","",IF(I54&gt;Config!$B$16,"Yes","No"))</f>
        <v/>
      </c>
      <c r="K54" s="46"/>
    </row>
    <row r="55" customFormat="false" ht="15" hidden="false" customHeight="false" outlineLevel="0" collapsed="false">
      <c r="A55" s="27"/>
      <c r="B55" s="46"/>
      <c r="C55" s="46"/>
      <c r="D55" s="40"/>
      <c r="E55" s="40"/>
      <c r="F55" s="43"/>
      <c r="G55" s="47"/>
      <c r="H55" s="44"/>
      <c r="I55" s="48" t="str">
        <f aca="true">IF(OR(A55="",D55=""),"",MAX(0,NETWORKDAYS(D55,IF(E55="",TODAY(),E55),Bank_Holidays!$A$6:$A$60)-N(F55)))</f>
        <v/>
      </c>
      <c r="J55" s="49" t="str">
        <f aca="false">IF(I55="","",IF(I55&gt;Config!$B$16,"Yes","No"))</f>
        <v/>
      </c>
      <c r="K55" s="46"/>
    </row>
    <row r="56" customFormat="false" ht="15" hidden="false" customHeight="false" outlineLevel="0" collapsed="false">
      <c r="A56" s="27"/>
      <c r="B56" s="46"/>
      <c r="C56" s="46"/>
      <c r="D56" s="40"/>
      <c r="E56" s="40"/>
      <c r="F56" s="43"/>
      <c r="G56" s="47"/>
      <c r="H56" s="44"/>
      <c r="I56" s="48" t="str">
        <f aca="true">IF(OR(A56="",D56=""),"",MAX(0,NETWORKDAYS(D56,IF(E56="",TODAY(),E56),Bank_Holidays!$A$6:$A$60)-N(F56)))</f>
        <v/>
      </c>
      <c r="J56" s="49" t="str">
        <f aca="false">IF(I56="","",IF(I56&gt;Config!$B$16,"Yes","No"))</f>
        <v/>
      </c>
      <c r="K56" s="46"/>
    </row>
    <row r="57" customFormat="false" ht="15" hidden="false" customHeight="false" outlineLevel="0" collapsed="false">
      <c r="A57" s="27"/>
      <c r="B57" s="46"/>
      <c r="C57" s="46"/>
      <c r="D57" s="40"/>
      <c r="E57" s="40"/>
      <c r="F57" s="43"/>
      <c r="G57" s="47"/>
      <c r="H57" s="44"/>
      <c r="I57" s="48" t="str">
        <f aca="true">IF(OR(A57="",D57=""),"",MAX(0,NETWORKDAYS(D57,IF(E57="",TODAY(),E57),Bank_Holidays!$A$6:$A$60)-N(F57)))</f>
        <v/>
      </c>
      <c r="J57" s="49" t="str">
        <f aca="false">IF(I57="","",IF(I57&gt;Config!$B$16,"Yes","No"))</f>
        <v/>
      </c>
      <c r="K57" s="46"/>
    </row>
    <row r="58" customFormat="false" ht="15" hidden="false" customHeight="false" outlineLevel="0" collapsed="false">
      <c r="A58" s="27"/>
      <c r="B58" s="46"/>
      <c r="C58" s="46"/>
      <c r="D58" s="40"/>
      <c r="E58" s="40"/>
      <c r="F58" s="43"/>
      <c r="G58" s="47"/>
      <c r="H58" s="44"/>
      <c r="I58" s="48" t="str">
        <f aca="true">IF(OR(A58="",D58=""),"",MAX(0,NETWORKDAYS(D58,IF(E58="",TODAY(),E58),Bank_Holidays!$A$6:$A$60)-N(F58)))</f>
        <v/>
      </c>
      <c r="J58" s="49" t="str">
        <f aca="false">IF(I58="","",IF(I58&gt;Config!$B$16,"Yes","No"))</f>
        <v/>
      </c>
      <c r="K58" s="46"/>
    </row>
    <row r="59" customFormat="false" ht="15" hidden="false" customHeight="false" outlineLevel="0" collapsed="false">
      <c r="A59" s="27"/>
      <c r="B59" s="46"/>
      <c r="C59" s="46"/>
      <c r="D59" s="40"/>
      <c r="E59" s="40"/>
      <c r="F59" s="43"/>
      <c r="G59" s="47"/>
      <c r="H59" s="44"/>
      <c r="I59" s="48" t="str">
        <f aca="true">IF(OR(A59="",D59=""),"",MAX(0,NETWORKDAYS(D59,IF(E59="",TODAY(),E59),Bank_Holidays!$A$6:$A$60)-N(F59)))</f>
        <v/>
      </c>
      <c r="J59" s="49" t="str">
        <f aca="false">IF(I59="","",IF(I59&gt;Config!$B$16,"Yes","No"))</f>
        <v/>
      </c>
      <c r="K59" s="46"/>
    </row>
    <row r="60" customFormat="false" ht="15" hidden="false" customHeight="false" outlineLevel="0" collapsed="false">
      <c r="A60" s="27"/>
      <c r="B60" s="46"/>
      <c r="C60" s="46"/>
      <c r="D60" s="40"/>
      <c r="E60" s="40"/>
      <c r="F60" s="43"/>
      <c r="G60" s="47"/>
      <c r="H60" s="44"/>
      <c r="I60" s="48" t="str">
        <f aca="true">IF(OR(A60="",D60=""),"",MAX(0,NETWORKDAYS(D60,IF(E60="",TODAY(),E60),Bank_Holidays!$A$6:$A$60)-N(F60)))</f>
        <v/>
      </c>
      <c r="J60" s="49" t="str">
        <f aca="false">IF(I60="","",IF(I60&gt;Config!$B$16,"Yes","No"))</f>
        <v/>
      </c>
      <c r="K60" s="46"/>
    </row>
    <row r="61" customFormat="false" ht="15" hidden="false" customHeight="false" outlineLevel="0" collapsed="false">
      <c r="A61" s="27"/>
      <c r="B61" s="46"/>
      <c r="C61" s="46"/>
      <c r="D61" s="40"/>
      <c r="E61" s="40"/>
      <c r="F61" s="43"/>
      <c r="G61" s="47"/>
      <c r="H61" s="44"/>
      <c r="I61" s="48" t="str">
        <f aca="true">IF(OR(A61="",D61=""),"",MAX(0,NETWORKDAYS(D61,IF(E61="",TODAY(),E61),Bank_Holidays!$A$6:$A$60)-N(F61)))</f>
        <v/>
      </c>
      <c r="J61" s="49" t="str">
        <f aca="false">IF(I61="","",IF(I61&gt;Config!$B$16,"Yes","No"))</f>
        <v/>
      </c>
      <c r="K61" s="46"/>
    </row>
    <row r="62" customFormat="false" ht="15" hidden="false" customHeight="false" outlineLevel="0" collapsed="false">
      <c r="A62" s="27"/>
      <c r="B62" s="46"/>
      <c r="C62" s="46"/>
      <c r="D62" s="40"/>
      <c r="E62" s="40"/>
      <c r="F62" s="43"/>
      <c r="G62" s="47"/>
      <c r="H62" s="44"/>
      <c r="I62" s="48" t="str">
        <f aca="true">IF(OR(A62="",D62=""),"",MAX(0,NETWORKDAYS(D62,IF(E62="",TODAY(),E62),Bank_Holidays!$A$6:$A$60)-N(F62)))</f>
        <v/>
      </c>
      <c r="J62" s="49" t="str">
        <f aca="false">IF(I62="","",IF(I62&gt;Config!$B$16,"Yes","No"))</f>
        <v/>
      </c>
      <c r="K62" s="46"/>
    </row>
    <row r="63" customFormat="false" ht="15" hidden="false" customHeight="false" outlineLevel="0" collapsed="false">
      <c r="A63" s="27"/>
      <c r="B63" s="46"/>
      <c r="C63" s="46"/>
      <c r="D63" s="40"/>
      <c r="E63" s="40"/>
      <c r="F63" s="43"/>
      <c r="G63" s="47"/>
      <c r="H63" s="44"/>
      <c r="I63" s="48" t="str">
        <f aca="true">IF(OR(A63="",D63=""),"",MAX(0,NETWORKDAYS(D63,IF(E63="",TODAY(),E63),Bank_Holidays!$A$6:$A$60)-N(F63)))</f>
        <v/>
      </c>
      <c r="J63" s="49" t="str">
        <f aca="false">IF(I63="","",IF(I63&gt;Config!$B$16,"Yes","No"))</f>
        <v/>
      </c>
      <c r="K63" s="46"/>
    </row>
    <row r="64" customFormat="false" ht="15" hidden="false" customHeight="false" outlineLevel="0" collapsed="false">
      <c r="A64" s="27"/>
      <c r="B64" s="46"/>
      <c r="C64" s="46"/>
      <c r="D64" s="40"/>
      <c r="E64" s="40"/>
      <c r="F64" s="43"/>
      <c r="G64" s="47"/>
      <c r="H64" s="44"/>
      <c r="I64" s="48" t="str">
        <f aca="true">IF(OR(A64="",D64=""),"",MAX(0,NETWORKDAYS(D64,IF(E64="",TODAY(),E64),Bank_Holidays!$A$6:$A$60)-N(F64)))</f>
        <v/>
      </c>
      <c r="J64" s="49" t="str">
        <f aca="false">IF(I64="","",IF(I64&gt;Config!$B$16,"Yes","No"))</f>
        <v/>
      </c>
      <c r="K64" s="46"/>
    </row>
    <row r="65" customFormat="false" ht="15" hidden="false" customHeight="false" outlineLevel="0" collapsed="false">
      <c r="A65" s="27"/>
      <c r="B65" s="46"/>
      <c r="C65" s="46"/>
      <c r="D65" s="40"/>
      <c r="E65" s="40"/>
      <c r="F65" s="43"/>
      <c r="G65" s="47"/>
      <c r="H65" s="44"/>
      <c r="I65" s="48" t="str">
        <f aca="true">IF(OR(A65="",D65=""),"",MAX(0,NETWORKDAYS(D65,IF(E65="",TODAY(),E65),Bank_Holidays!$A$6:$A$60)-N(F65)))</f>
        <v/>
      </c>
      <c r="J65" s="49" t="str">
        <f aca="false">IF(I65="","",IF(I65&gt;Config!$B$16,"Yes","No"))</f>
        <v/>
      </c>
      <c r="K65" s="46"/>
    </row>
    <row r="66" customFormat="false" ht="15" hidden="false" customHeight="false" outlineLevel="0" collapsed="false">
      <c r="A66" s="27"/>
      <c r="B66" s="46"/>
      <c r="C66" s="46"/>
      <c r="D66" s="40"/>
      <c r="E66" s="40"/>
      <c r="F66" s="43"/>
      <c r="G66" s="47"/>
      <c r="H66" s="44"/>
      <c r="I66" s="48" t="str">
        <f aca="true">IF(OR(A66="",D66=""),"",MAX(0,NETWORKDAYS(D66,IF(E66="",TODAY(),E66),Bank_Holidays!$A$6:$A$60)-N(F66)))</f>
        <v/>
      </c>
      <c r="J66" s="49" t="str">
        <f aca="false">IF(I66="","",IF(I66&gt;Config!$B$16,"Yes","No"))</f>
        <v/>
      </c>
      <c r="K66" s="46"/>
    </row>
    <row r="67" customFormat="false" ht="15" hidden="false" customHeight="false" outlineLevel="0" collapsed="false">
      <c r="A67" s="27"/>
      <c r="B67" s="46"/>
      <c r="C67" s="46"/>
      <c r="D67" s="40"/>
      <c r="E67" s="40"/>
      <c r="F67" s="43"/>
      <c r="G67" s="47"/>
      <c r="H67" s="44"/>
      <c r="I67" s="48" t="str">
        <f aca="true">IF(OR(A67="",D67=""),"",MAX(0,NETWORKDAYS(D67,IF(E67="",TODAY(),E67),Bank_Holidays!$A$6:$A$60)-N(F67)))</f>
        <v/>
      </c>
      <c r="J67" s="49" t="str">
        <f aca="false">IF(I67="","",IF(I67&gt;Config!$B$16,"Yes","No"))</f>
        <v/>
      </c>
      <c r="K67" s="46"/>
    </row>
    <row r="68" customFormat="false" ht="15" hidden="false" customHeight="false" outlineLevel="0" collapsed="false">
      <c r="A68" s="27"/>
      <c r="B68" s="46"/>
      <c r="C68" s="46"/>
      <c r="D68" s="40"/>
      <c r="E68" s="40"/>
      <c r="F68" s="43"/>
      <c r="G68" s="47"/>
      <c r="H68" s="44"/>
      <c r="I68" s="48" t="str">
        <f aca="true">IF(OR(A68="",D68=""),"",MAX(0,NETWORKDAYS(D68,IF(E68="",TODAY(),E68),Bank_Holidays!$A$6:$A$60)-N(F68)))</f>
        <v/>
      </c>
      <c r="J68" s="49" t="str">
        <f aca="false">IF(I68="","",IF(I68&gt;Config!$B$16,"Yes","No"))</f>
        <v/>
      </c>
      <c r="K68" s="46"/>
    </row>
    <row r="69" customFormat="false" ht="15" hidden="false" customHeight="false" outlineLevel="0" collapsed="false">
      <c r="A69" s="27"/>
      <c r="B69" s="46"/>
      <c r="C69" s="46"/>
      <c r="D69" s="40"/>
      <c r="E69" s="40"/>
      <c r="F69" s="43"/>
      <c r="G69" s="47"/>
      <c r="H69" s="44"/>
      <c r="I69" s="48" t="str">
        <f aca="true">IF(OR(A69="",D69=""),"",MAX(0,NETWORKDAYS(D69,IF(E69="",TODAY(),E69),Bank_Holidays!$A$6:$A$60)-N(F69)))</f>
        <v/>
      </c>
      <c r="J69" s="49" t="str">
        <f aca="false">IF(I69="","",IF(I69&gt;Config!$B$16,"Yes","No"))</f>
        <v/>
      </c>
      <c r="K69" s="46"/>
    </row>
    <row r="70" customFormat="false" ht="15" hidden="false" customHeight="false" outlineLevel="0" collapsed="false">
      <c r="A70" s="27"/>
      <c r="B70" s="46"/>
      <c r="C70" s="46"/>
      <c r="D70" s="40"/>
      <c r="E70" s="40"/>
      <c r="F70" s="43"/>
      <c r="G70" s="47"/>
      <c r="H70" s="44"/>
      <c r="I70" s="48" t="str">
        <f aca="true">IF(OR(A70="",D70=""),"",MAX(0,NETWORKDAYS(D70,IF(E70="",TODAY(),E70),Bank_Holidays!$A$6:$A$60)-N(F70)))</f>
        <v/>
      </c>
      <c r="J70" s="49" t="str">
        <f aca="false">IF(I70="","",IF(I70&gt;Config!$B$16,"Yes","No"))</f>
        <v/>
      </c>
      <c r="K70" s="46"/>
    </row>
    <row r="71" customFormat="false" ht="15" hidden="false" customHeight="false" outlineLevel="0" collapsed="false">
      <c r="A71" s="27"/>
      <c r="B71" s="46"/>
      <c r="C71" s="46"/>
      <c r="D71" s="40"/>
      <c r="E71" s="40"/>
      <c r="F71" s="43"/>
      <c r="G71" s="47"/>
      <c r="H71" s="44"/>
      <c r="I71" s="48" t="str">
        <f aca="true">IF(OR(A71="",D71=""),"",MAX(0,NETWORKDAYS(D71,IF(E71="",TODAY(),E71),Bank_Holidays!$A$6:$A$60)-N(F71)))</f>
        <v/>
      </c>
      <c r="J71" s="49" t="str">
        <f aca="false">IF(I71="","",IF(I71&gt;Config!$B$16,"Yes","No"))</f>
        <v/>
      </c>
      <c r="K71" s="46"/>
    </row>
    <row r="72" customFormat="false" ht="15" hidden="false" customHeight="false" outlineLevel="0" collapsed="false">
      <c r="A72" s="27"/>
      <c r="B72" s="46"/>
      <c r="C72" s="46"/>
      <c r="D72" s="40"/>
      <c r="E72" s="40"/>
      <c r="F72" s="43"/>
      <c r="G72" s="47"/>
      <c r="H72" s="44"/>
      <c r="I72" s="48" t="str">
        <f aca="true">IF(OR(A72="",D72=""),"",MAX(0,NETWORKDAYS(D72,IF(E72="",TODAY(),E72),Bank_Holidays!$A$6:$A$60)-N(F72)))</f>
        <v/>
      </c>
      <c r="J72" s="49" t="str">
        <f aca="false">IF(I72="","",IF(I72&gt;Config!$B$16,"Yes","No"))</f>
        <v/>
      </c>
      <c r="K72" s="46"/>
    </row>
    <row r="73" customFormat="false" ht="15" hidden="false" customHeight="false" outlineLevel="0" collapsed="false">
      <c r="A73" s="27"/>
      <c r="B73" s="46"/>
      <c r="C73" s="46"/>
      <c r="D73" s="40"/>
      <c r="E73" s="40"/>
      <c r="F73" s="43"/>
      <c r="G73" s="47"/>
      <c r="H73" s="44"/>
      <c r="I73" s="48" t="str">
        <f aca="true">IF(OR(A73="",D73=""),"",MAX(0,NETWORKDAYS(D73,IF(E73="",TODAY(),E73),Bank_Holidays!$A$6:$A$60)-N(F73)))</f>
        <v/>
      </c>
      <c r="J73" s="49" t="str">
        <f aca="false">IF(I73="","",IF(I73&gt;Config!$B$16,"Yes","No"))</f>
        <v/>
      </c>
      <c r="K73" s="46"/>
    </row>
    <row r="74" customFormat="false" ht="15" hidden="false" customHeight="false" outlineLevel="0" collapsed="false">
      <c r="A74" s="27"/>
      <c r="B74" s="46"/>
      <c r="C74" s="46"/>
      <c r="D74" s="40"/>
      <c r="E74" s="40"/>
      <c r="F74" s="43"/>
      <c r="G74" s="47"/>
      <c r="H74" s="44"/>
      <c r="I74" s="48" t="str">
        <f aca="true">IF(OR(A74="",D74=""),"",MAX(0,NETWORKDAYS(D74,IF(E74="",TODAY(),E74),Bank_Holidays!$A$6:$A$60)-N(F74)))</f>
        <v/>
      </c>
      <c r="J74" s="49" t="str">
        <f aca="false">IF(I74="","",IF(I74&gt;Config!$B$16,"Yes","No"))</f>
        <v/>
      </c>
      <c r="K74" s="46"/>
    </row>
    <row r="75" customFormat="false" ht="15" hidden="false" customHeight="false" outlineLevel="0" collapsed="false">
      <c r="A75" s="27"/>
      <c r="B75" s="46"/>
      <c r="C75" s="46"/>
      <c r="D75" s="40"/>
      <c r="E75" s="40"/>
      <c r="F75" s="43"/>
      <c r="G75" s="47"/>
      <c r="H75" s="44"/>
      <c r="I75" s="48" t="str">
        <f aca="true">IF(OR(A75="",D75=""),"",MAX(0,NETWORKDAYS(D75,IF(E75="",TODAY(),E75),Bank_Holidays!$A$6:$A$60)-N(F75)))</f>
        <v/>
      </c>
      <c r="J75" s="49" t="str">
        <f aca="false">IF(I75="","",IF(I75&gt;Config!$B$16,"Yes","No"))</f>
        <v/>
      </c>
      <c r="K75" s="46"/>
    </row>
    <row r="76" customFormat="false" ht="15" hidden="false" customHeight="false" outlineLevel="0" collapsed="false">
      <c r="A76" s="27"/>
      <c r="B76" s="46"/>
      <c r="C76" s="46"/>
      <c r="D76" s="40"/>
      <c r="E76" s="40"/>
      <c r="F76" s="43"/>
      <c r="G76" s="47"/>
      <c r="H76" s="44"/>
      <c r="I76" s="48" t="str">
        <f aca="true">IF(OR(A76="",D76=""),"",MAX(0,NETWORKDAYS(D76,IF(E76="",TODAY(),E76),Bank_Holidays!$A$6:$A$60)-N(F76)))</f>
        <v/>
      </c>
      <c r="J76" s="49" t="str">
        <f aca="false">IF(I76="","",IF(I76&gt;Config!$B$16,"Yes","No"))</f>
        <v/>
      </c>
      <c r="K76" s="46"/>
    </row>
    <row r="77" customFormat="false" ht="15" hidden="false" customHeight="false" outlineLevel="0" collapsed="false">
      <c r="A77" s="27"/>
      <c r="B77" s="46"/>
      <c r="C77" s="46"/>
      <c r="D77" s="40"/>
      <c r="E77" s="40"/>
      <c r="F77" s="43"/>
      <c r="G77" s="47"/>
      <c r="H77" s="44"/>
      <c r="I77" s="48" t="str">
        <f aca="true">IF(OR(A77="",D77=""),"",MAX(0,NETWORKDAYS(D77,IF(E77="",TODAY(),E77),Bank_Holidays!$A$6:$A$60)-N(F77)))</f>
        <v/>
      </c>
      <c r="J77" s="49" t="str">
        <f aca="false">IF(I77="","",IF(I77&gt;Config!$B$16,"Yes","No"))</f>
        <v/>
      </c>
      <c r="K77" s="46"/>
    </row>
    <row r="78" customFormat="false" ht="15" hidden="false" customHeight="false" outlineLevel="0" collapsed="false">
      <c r="A78" s="27"/>
      <c r="B78" s="46"/>
      <c r="C78" s="46"/>
      <c r="D78" s="40"/>
      <c r="E78" s="40"/>
      <c r="F78" s="43"/>
      <c r="G78" s="47"/>
      <c r="H78" s="44"/>
      <c r="I78" s="48" t="str">
        <f aca="true">IF(OR(A78="",D78=""),"",MAX(0,NETWORKDAYS(D78,IF(E78="",TODAY(),E78),Bank_Holidays!$A$6:$A$60)-N(F78)))</f>
        <v/>
      </c>
      <c r="J78" s="49" t="str">
        <f aca="false">IF(I78="","",IF(I78&gt;Config!$B$16,"Yes","No"))</f>
        <v/>
      </c>
      <c r="K78" s="46"/>
    </row>
    <row r="79" customFormat="false" ht="15" hidden="false" customHeight="false" outlineLevel="0" collapsed="false">
      <c r="A79" s="27"/>
      <c r="B79" s="46"/>
      <c r="C79" s="46"/>
      <c r="D79" s="40"/>
      <c r="E79" s="40"/>
      <c r="F79" s="43"/>
      <c r="G79" s="47"/>
      <c r="H79" s="44"/>
      <c r="I79" s="48" t="str">
        <f aca="true">IF(OR(A79="",D79=""),"",MAX(0,NETWORKDAYS(D79,IF(E79="",TODAY(),E79),Bank_Holidays!$A$6:$A$60)-N(F79)))</f>
        <v/>
      </c>
      <c r="J79" s="49" t="str">
        <f aca="false">IF(I79="","",IF(I79&gt;Config!$B$16,"Yes","No"))</f>
        <v/>
      </c>
      <c r="K79" s="46"/>
    </row>
    <row r="80" customFormat="false" ht="15" hidden="false" customHeight="false" outlineLevel="0" collapsed="false">
      <c r="A80" s="27"/>
      <c r="B80" s="46"/>
      <c r="C80" s="46"/>
      <c r="D80" s="40"/>
      <c r="E80" s="40"/>
      <c r="F80" s="43"/>
      <c r="G80" s="47"/>
      <c r="H80" s="44"/>
      <c r="I80" s="48" t="str">
        <f aca="true">IF(OR(A80="",D80=""),"",MAX(0,NETWORKDAYS(D80,IF(E80="",TODAY(),E80),Bank_Holidays!$A$6:$A$60)-N(F80)))</f>
        <v/>
      </c>
      <c r="J80" s="49" t="str">
        <f aca="false">IF(I80="","",IF(I80&gt;Config!$B$16,"Yes","No"))</f>
        <v/>
      </c>
      <c r="K80" s="46"/>
    </row>
    <row r="81" customFormat="false" ht="15" hidden="false" customHeight="false" outlineLevel="0" collapsed="false">
      <c r="A81" s="27"/>
      <c r="B81" s="46"/>
      <c r="C81" s="46"/>
      <c r="D81" s="40"/>
      <c r="E81" s="40"/>
      <c r="F81" s="43"/>
      <c r="G81" s="47"/>
      <c r="H81" s="44"/>
      <c r="I81" s="48" t="str">
        <f aca="true">IF(OR(A81="",D81=""),"",MAX(0,NETWORKDAYS(D81,IF(E81="",TODAY(),E81),Bank_Holidays!$A$6:$A$60)-N(F81)))</f>
        <v/>
      </c>
      <c r="J81" s="49" t="str">
        <f aca="false">IF(I81="","",IF(I81&gt;Config!$B$16,"Yes","No"))</f>
        <v/>
      </c>
      <c r="K81" s="46"/>
    </row>
    <row r="82" customFormat="false" ht="15" hidden="false" customHeight="false" outlineLevel="0" collapsed="false">
      <c r="A82" s="27"/>
      <c r="B82" s="46"/>
      <c r="C82" s="46"/>
      <c r="D82" s="40"/>
      <c r="E82" s="40"/>
      <c r="F82" s="43"/>
      <c r="G82" s="47"/>
      <c r="H82" s="44"/>
      <c r="I82" s="48" t="str">
        <f aca="true">IF(OR(A82="",D82=""),"",MAX(0,NETWORKDAYS(D82,IF(E82="",TODAY(),E82),Bank_Holidays!$A$6:$A$60)-N(F82)))</f>
        <v/>
      </c>
      <c r="J82" s="49" t="str">
        <f aca="false">IF(I82="","",IF(I82&gt;Config!$B$16,"Yes","No"))</f>
        <v/>
      </c>
      <c r="K82" s="46"/>
    </row>
    <row r="83" customFormat="false" ht="15" hidden="false" customHeight="false" outlineLevel="0" collapsed="false">
      <c r="A83" s="27"/>
      <c r="B83" s="46"/>
      <c r="C83" s="46"/>
      <c r="D83" s="40"/>
      <c r="E83" s="40"/>
      <c r="F83" s="43"/>
      <c r="G83" s="47"/>
      <c r="H83" s="44"/>
      <c r="I83" s="48" t="str">
        <f aca="true">IF(OR(A83="",D83=""),"",MAX(0,NETWORKDAYS(D83,IF(E83="",TODAY(),E83),Bank_Holidays!$A$6:$A$60)-N(F83)))</f>
        <v/>
      </c>
      <c r="J83" s="49" t="str">
        <f aca="false">IF(I83="","",IF(I83&gt;Config!$B$16,"Yes","No"))</f>
        <v/>
      </c>
      <c r="K83" s="46"/>
    </row>
    <row r="84" customFormat="false" ht="15" hidden="false" customHeight="false" outlineLevel="0" collapsed="false">
      <c r="A84" s="27"/>
      <c r="B84" s="46"/>
      <c r="C84" s="46"/>
      <c r="D84" s="40"/>
      <c r="E84" s="40"/>
      <c r="F84" s="43"/>
      <c r="G84" s="47"/>
      <c r="H84" s="44"/>
      <c r="I84" s="48" t="str">
        <f aca="true">IF(OR(A84="",D84=""),"",MAX(0,NETWORKDAYS(D84,IF(E84="",TODAY(),E84),Bank_Holidays!$A$6:$A$60)-N(F84)))</f>
        <v/>
      </c>
      <c r="J84" s="49" t="str">
        <f aca="false">IF(I84="","",IF(I84&gt;Config!$B$16,"Yes","No"))</f>
        <v/>
      </c>
      <c r="K84" s="46"/>
    </row>
    <row r="85" customFormat="false" ht="15" hidden="false" customHeight="false" outlineLevel="0" collapsed="false">
      <c r="A85" s="27"/>
      <c r="B85" s="46"/>
      <c r="C85" s="46"/>
      <c r="D85" s="40"/>
      <c r="E85" s="40"/>
      <c r="F85" s="43"/>
      <c r="G85" s="47"/>
      <c r="H85" s="44"/>
      <c r="I85" s="48" t="str">
        <f aca="true">IF(OR(A85="",D85=""),"",MAX(0,NETWORKDAYS(D85,IF(E85="",TODAY(),E85),Bank_Holidays!$A$6:$A$60)-N(F85)))</f>
        <v/>
      </c>
      <c r="J85" s="49" t="str">
        <f aca="false">IF(I85="","",IF(I85&gt;Config!$B$16,"Yes","No"))</f>
        <v/>
      </c>
      <c r="K85" s="46"/>
    </row>
    <row r="86" customFormat="false" ht="15" hidden="false" customHeight="false" outlineLevel="0" collapsed="false">
      <c r="A86" s="27"/>
      <c r="B86" s="46"/>
      <c r="C86" s="46"/>
      <c r="D86" s="40"/>
      <c r="E86" s="40"/>
      <c r="F86" s="43"/>
      <c r="G86" s="47"/>
      <c r="H86" s="44"/>
      <c r="I86" s="48" t="str">
        <f aca="true">IF(OR(A86="",D86=""),"",MAX(0,NETWORKDAYS(D86,IF(E86="",TODAY(),E86),Bank_Holidays!$A$6:$A$60)-N(F86)))</f>
        <v/>
      </c>
      <c r="J86" s="49" t="str">
        <f aca="false">IF(I86="","",IF(I86&gt;Config!$B$16,"Yes","No"))</f>
        <v/>
      </c>
      <c r="K86" s="46"/>
    </row>
    <row r="87" customFormat="false" ht="15" hidden="false" customHeight="false" outlineLevel="0" collapsed="false">
      <c r="A87" s="27"/>
      <c r="B87" s="46"/>
      <c r="C87" s="46"/>
      <c r="D87" s="40"/>
      <c r="E87" s="40"/>
      <c r="F87" s="43"/>
      <c r="G87" s="47"/>
      <c r="H87" s="44"/>
      <c r="I87" s="48" t="str">
        <f aca="true">IF(OR(A87="",D87=""),"",MAX(0,NETWORKDAYS(D87,IF(E87="",TODAY(),E87),Bank_Holidays!$A$6:$A$60)-N(F87)))</f>
        <v/>
      </c>
      <c r="J87" s="49" t="str">
        <f aca="false">IF(I87="","",IF(I87&gt;Config!$B$16,"Yes","No"))</f>
        <v/>
      </c>
      <c r="K87" s="46"/>
    </row>
    <row r="88" customFormat="false" ht="15" hidden="false" customHeight="false" outlineLevel="0" collapsed="false">
      <c r="A88" s="27"/>
      <c r="B88" s="46"/>
      <c r="C88" s="46"/>
      <c r="D88" s="40"/>
      <c r="E88" s="40"/>
      <c r="F88" s="43"/>
      <c r="G88" s="47"/>
      <c r="H88" s="44"/>
      <c r="I88" s="48" t="str">
        <f aca="true">IF(OR(A88="",D88=""),"",MAX(0,NETWORKDAYS(D88,IF(E88="",TODAY(),E88),Bank_Holidays!$A$6:$A$60)-N(F88)))</f>
        <v/>
      </c>
      <c r="J88" s="49" t="str">
        <f aca="false">IF(I88="","",IF(I88&gt;Config!$B$16,"Yes","No"))</f>
        <v/>
      </c>
      <c r="K88" s="46"/>
    </row>
    <row r="89" customFormat="false" ht="15" hidden="false" customHeight="false" outlineLevel="0" collapsed="false">
      <c r="A89" s="27"/>
      <c r="B89" s="46"/>
      <c r="C89" s="46"/>
      <c r="D89" s="40"/>
      <c r="E89" s="40"/>
      <c r="F89" s="43"/>
      <c r="G89" s="47"/>
      <c r="H89" s="44"/>
      <c r="I89" s="48" t="str">
        <f aca="true">IF(OR(A89="",D89=""),"",MAX(0,NETWORKDAYS(D89,IF(E89="",TODAY(),E89),Bank_Holidays!$A$6:$A$60)-N(F89)))</f>
        <v/>
      </c>
      <c r="J89" s="49" t="str">
        <f aca="false">IF(I89="","",IF(I89&gt;Config!$B$16,"Yes","No"))</f>
        <v/>
      </c>
      <c r="K89" s="46"/>
    </row>
    <row r="90" customFormat="false" ht="15" hidden="false" customHeight="false" outlineLevel="0" collapsed="false">
      <c r="A90" s="27"/>
      <c r="B90" s="46"/>
      <c r="C90" s="46"/>
      <c r="D90" s="40"/>
      <c r="E90" s="40"/>
      <c r="F90" s="43"/>
      <c r="G90" s="47"/>
      <c r="H90" s="44"/>
      <c r="I90" s="48" t="str">
        <f aca="true">IF(OR(A90="",D90=""),"",MAX(0,NETWORKDAYS(D90,IF(E90="",TODAY(),E90),Bank_Holidays!$A$6:$A$60)-N(F90)))</f>
        <v/>
      </c>
      <c r="J90" s="49" t="str">
        <f aca="false">IF(I90="","",IF(I90&gt;Config!$B$16,"Yes","No"))</f>
        <v/>
      </c>
      <c r="K90" s="46"/>
    </row>
    <row r="91" customFormat="false" ht="15" hidden="false" customHeight="false" outlineLevel="0" collapsed="false">
      <c r="A91" s="27"/>
      <c r="B91" s="46"/>
      <c r="C91" s="46"/>
      <c r="D91" s="40"/>
      <c r="E91" s="40"/>
      <c r="F91" s="43"/>
      <c r="G91" s="47"/>
      <c r="H91" s="44"/>
      <c r="I91" s="48" t="str">
        <f aca="true">IF(OR(A91="",D91=""),"",MAX(0,NETWORKDAYS(D91,IF(E91="",TODAY(),E91),Bank_Holidays!$A$6:$A$60)-N(F91)))</f>
        <v/>
      </c>
      <c r="J91" s="49" t="str">
        <f aca="false">IF(I91="","",IF(I91&gt;Config!$B$16,"Yes","No"))</f>
        <v/>
      </c>
      <c r="K91" s="46"/>
    </row>
    <row r="92" customFormat="false" ht="15" hidden="false" customHeight="false" outlineLevel="0" collapsed="false">
      <c r="A92" s="27"/>
      <c r="B92" s="46"/>
      <c r="C92" s="46"/>
      <c r="D92" s="40"/>
      <c r="E92" s="40"/>
      <c r="F92" s="43"/>
      <c r="G92" s="47"/>
      <c r="H92" s="44"/>
      <c r="I92" s="48" t="str">
        <f aca="true">IF(OR(A92="",D92=""),"",MAX(0,NETWORKDAYS(D92,IF(E92="",TODAY(),E92),Bank_Holidays!$A$6:$A$60)-N(F92)))</f>
        <v/>
      </c>
      <c r="J92" s="49" t="str">
        <f aca="false">IF(I92="","",IF(I92&gt;Config!$B$16,"Yes","No"))</f>
        <v/>
      </c>
      <c r="K92" s="46"/>
    </row>
    <row r="93" customFormat="false" ht="15" hidden="false" customHeight="false" outlineLevel="0" collapsed="false">
      <c r="A93" s="27"/>
      <c r="B93" s="46"/>
      <c r="C93" s="46"/>
      <c r="D93" s="40"/>
      <c r="E93" s="40"/>
      <c r="F93" s="43"/>
      <c r="G93" s="47"/>
      <c r="H93" s="44"/>
      <c r="I93" s="48" t="str">
        <f aca="true">IF(OR(A93="",D93=""),"",MAX(0,NETWORKDAYS(D93,IF(E93="",TODAY(),E93),Bank_Holidays!$A$6:$A$60)-N(F93)))</f>
        <v/>
      </c>
      <c r="J93" s="49" t="str">
        <f aca="false">IF(I93="","",IF(I93&gt;Config!$B$16,"Yes","No"))</f>
        <v/>
      </c>
      <c r="K93" s="46"/>
    </row>
    <row r="94" customFormat="false" ht="15" hidden="false" customHeight="false" outlineLevel="0" collapsed="false">
      <c r="A94" s="27"/>
      <c r="B94" s="46"/>
      <c r="C94" s="46"/>
      <c r="D94" s="40"/>
      <c r="E94" s="40"/>
      <c r="F94" s="43"/>
      <c r="G94" s="47"/>
      <c r="H94" s="44"/>
      <c r="I94" s="48" t="str">
        <f aca="true">IF(OR(A94="",D94=""),"",MAX(0,NETWORKDAYS(D94,IF(E94="",TODAY(),E94),Bank_Holidays!$A$6:$A$60)-N(F94)))</f>
        <v/>
      </c>
      <c r="J94" s="49" t="str">
        <f aca="false">IF(I94="","",IF(I94&gt;Config!$B$16,"Yes","No"))</f>
        <v/>
      </c>
      <c r="K94" s="46"/>
    </row>
    <row r="95" customFormat="false" ht="15" hidden="false" customHeight="false" outlineLevel="0" collapsed="false">
      <c r="A95" s="27"/>
      <c r="B95" s="46"/>
      <c r="C95" s="46"/>
      <c r="D95" s="40"/>
      <c r="E95" s="40"/>
      <c r="F95" s="43"/>
      <c r="G95" s="47"/>
      <c r="H95" s="44"/>
      <c r="I95" s="48" t="str">
        <f aca="true">IF(OR(A95="",D95=""),"",MAX(0,NETWORKDAYS(D95,IF(E95="",TODAY(),E95),Bank_Holidays!$A$6:$A$60)-N(F95)))</f>
        <v/>
      </c>
      <c r="J95" s="49" t="str">
        <f aca="false">IF(I95="","",IF(I95&gt;Config!$B$16,"Yes","No"))</f>
        <v/>
      </c>
      <c r="K95" s="46"/>
    </row>
    <row r="96" customFormat="false" ht="15" hidden="false" customHeight="false" outlineLevel="0" collapsed="false">
      <c r="A96" s="27"/>
      <c r="B96" s="46"/>
      <c r="C96" s="46"/>
      <c r="D96" s="40"/>
      <c r="E96" s="40"/>
      <c r="F96" s="43"/>
      <c r="G96" s="47"/>
      <c r="H96" s="44"/>
      <c r="I96" s="48" t="str">
        <f aca="true">IF(OR(A96="",D96=""),"",MAX(0,NETWORKDAYS(D96,IF(E96="",TODAY(),E96),Bank_Holidays!$A$6:$A$60)-N(F96)))</f>
        <v/>
      </c>
      <c r="J96" s="49" t="str">
        <f aca="false">IF(I96="","",IF(I96&gt;Config!$B$16,"Yes","No"))</f>
        <v/>
      </c>
      <c r="K96" s="46"/>
    </row>
    <row r="97" customFormat="false" ht="15" hidden="false" customHeight="false" outlineLevel="0" collapsed="false">
      <c r="A97" s="27"/>
      <c r="B97" s="46"/>
      <c r="C97" s="46"/>
      <c r="D97" s="40"/>
      <c r="E97" s="40"/>
      <c r="F97" s="43"/>
      <c r="G97" s="47"/>
      <c r="H97" s="44"/>
      <c r="I97" s="48" t="str">
        <f aca="true">IF(OR(A97="",D97=""),"",MAX(0,NETWORKDAYS(D97,IF(E97="",TODAY(),E97),Bank_Holidays!$A$6:$A$60)-N(F97)))</f>
        <v/>
      </c>
      <c r="J97" s="49" t="str">
        <f aca="false">IF(I97="","",IF(I97&gt;Config!$B$16,"Yes","No"))</f>
        <v/>
      </c>
      <c r="K97" s="46"/>
    </row>
    <row r="98" customFormat="false" ht="15" hidden="false" customHeight="false" outlineLevel="0" collapsed="false">
      <c r="A98" s="27"/>
      <c r="B98" s="46"/>
      <c r="C98" s="46"/>
      <c r="D98" s="40"/>
      <c r="E98" s="40"/>
      <c r="F98" s="43"/>
      <c r="G98" s="47"/>
      <c r="H98" s="44"/>
      <c r="I98" s="48" t="str">
        <f aca="true">IF(OR(A98="",D98=""),"",MAX(0,NETWORKDAYS(D98,IF(E98="",TODAY(),E98),Bank_Holidays!$A$6:$A$60)-N(F98)))</f>
        <v/>
      </c>
      <c r="J98" s="49" t="str">
        <f aca="false">IF(I98="","",IF(I98&gt;Config!$B$16,"Yes","No"))</f>
        <v/>
      </c>
      <c r="K98" s="46"/>
    </row>
    <row r="99" customFormat="false" ht="15" hidden="false" customHeight="false" outlineLevel="0" collapsed="false">
      <c r="A99" s="27"/>
      <c r="B99" s="46"/>
      <c r="C99" s="46"/>
      <c r="D99" s="40"/>
      <c r="E99" s="40"/>
      <c r="F99" s="43"/>
      <c r="G99" s="47"/>
      <c r="H99" s="44"/>
      <c r="I99" s="48" t="str">
        <f aca="true">IF(OR(A99="",D99=""),"",MAX(0,NETWORKDAYS(D99,IF(E99="",TODAY(),E99),Bank_Holidays!$A$6:$A$60)-N(F99)))</f>
        <v/>
      </c>
      <c r="J99" s="49" t="str">
        <f aca="false">IF(I99="","",IF(I99&gt;Config!$B$16,"Yes","No"))</f>
        <v/>
      </c>
      <c r="K99" s="46"/>
    </row>
    <row r="100" customFormat="false" ht="15" hidden="false" customHeight="false" outlineLevel="0" collapsed="false">
      <c r="A100" s="27"/>
      <c r="B100" s="46"/>
      <c r="C100" s="46"/>
      <c r="D100" s="40"/>
      <c r="E100" s="40"/>
      <c r="F100" s="43"/>
      <c r="G100" s="47"/>
      <c r="H100" s="44"/>
      <c r="I100" s="48" t="str">
        <f aca="true">IF(OR(A100="",D100=""),"",MAX(0,NETWORKDAYS(D100,IF(E100="",TODAY(),E100),Bank_Holidays!$A$6:$A$60)-N(F100)))</f>
        <v/>
      </c>
      <c r="J100" s="49" t="str">
        <f aca="false">IF(I100="","",IF(I100&gt;Config!$B$16,"Yes","No"))</f>
        <v/>
      </c>
      <c r="K100" s="46"/>
    </row>
    <row r="101" customFormat="false" ht="15" hidden="false" customHeight="false" outlineLevel="0" collapsed="false">
      <c r="A101" s="27"/>
      <c r="B101" s="46"/>
      <c r="C101" s="46"/>
      <c r="D101" s="40"/>
      <c r="E101" s="40"/>
      <c r="F101" s="43"/>
      <c r="G101" s="47"/>
      <c r="H101" s="44"/>
      <c r="I101" s="48" t="str">
        <f aca="true">IF(OR(A101="",D101=""),"",MAX(0,NETWORKDAYS(D101,IF(E101="",TODAY(),E101),Bank_Holidays!$A$6:$A$60)-N(F101)))</f>
        <v/>
      </c>
      <c r="J101" s="49" t="str">
        <f aca="false">IF(I101="","",IF(I101&gt;Config!$B$16,"Yes","No"))</f>
        <v/>
      </c>
      <c r="K101" s="46"/>
    </row>
    <row r="102" customFormat="false" ht="15" hidden="false" customHeight="false" outlineLevel="0" collapsed="false">
      <c r="A102" s="27"/>
      <c r="B102" s="46"/>
      <c r="C102" s="46"/>
      <c r="D102" s="40"/>
      <c r="E102" s="40"/>
      <c r="F102" s="43"/>
      <c r="G102" s="47"/>
      <c r="H102" s="44"/>
      <c r="I102" s="48" t="str">
        <f aca="true">IF(OR(A102="",D102=""),"",MAX(0,NETWORKDAYS(D102,IF(E102="",TODAY(),E102),Bank_Holidays!$A$6:$A$60)-N(F102)))</f>
        <v/>
      </c>
      <c r="J102" s="49" t="str">
        <f aca="false">IF(I102="","",IF(I102&gt;Config!$B$16,"Yes","No"))</f>
        <v/>
      </c>
      <c r="K102" s="46"/>
    </row>
    <row r="103" customFormat="false" ht="15" hidden="false" customHeight="false" outlineLevel="0" collapsed="false">
      <c r="A103" s="27"/>
      <c r="B103" s="46"/>
      <c r="C103" s="46"/>
      <c r="D103" s="40"/>
      <c r="E103" s="40"/>
      <c r="F103" s="43"/>
      <c r="G103" s="47"/>
      <c r="H103" s="44"/>
      <c r="I103" s="48" t="str">
        <f aca="true">IF(OR(A103="",D103=""),"",MAX(0,NETWORKDAYS(D103,IF(E103="",TODAY(),E103),Bank_Holidays!$A$6:$A$60)-N(F103)))</f>
        <v/>
      </c>
      <c r="J103" s="49" t="str">
        <f aca="false">IF(I103="","",IF(I103&gt;Config!$B$16,"Yes","No"))</f>
        <v/>
      </c>
      <c r="K103" s="46"/>
    </row>
    <row r="104" customFormat="false" ht="15" hidden="false" customHeight="false" outlineLevel="0" collapsed="false">
      <c r="A104" s="27"/>
      <c r="B104" s="46"/>
      <c r="C104" s="46"/>
      <c r="D104" s="40"/>
      <c r="E104" s="40"/>
      <c r="F104" s="43"/>
      <c r="G104" s="47"/>
      <c r="H104" s="44"/>
      <c r="I104" s="48" t="str">
        <f aca="true">IF(OR(A104="",D104=""),"",MAX(0,NETWORKDAYS(D104,IF(E104="",TODAY(),E104),Bank_Holidays!$A$6:$A$60)-N(F104)))</f>
        <v/>
      </c>
      <c r="J104" s="49" t="str">
        <f aca="false">IF(I104="","",IF(I104&gt;Config!$B$16,"Yes","No"))</f>
        <v/>
      </c>
      <c r="K104" s="46"/>
    </row>
    <row r="105" customFormat="false" ht="15" hidden="false" customHeight="false" outlineLevel="0" collapsed="false">
      <c r="A105" s="27"/>
      <c r="B105" s="46"/>
      <c r="C105" s="46"/>
      <c r="D105" s="40"/>
      <c r="E105" s="40"/>
      <c r="F105" s="43"/>
      <c r="G105" s="47"/>
      <c r="H105" s="44"/>
      <c r="I105" s="48" t="str">
        <f aca="true">IF(OR(A105="",D105=""),"",MAX(0,NETWORKDAYS(D105,IF(E105="",TODAY(),E105),Bank_Holidays!$A$6:$A$60)-N(F105)))</f>
        <v/>
      </c>
      <c r="J105" s="49" t="str">
        <f aca="false">IF(I105="","",IF(I105&gt;Config!$B$16,"Yes","No"))</f>
        <v/>
      </c>
      <c r="K105" s="46"/>
    </row>
    <row r="106" customFormat="false" ht="15" hidden="false" customHeight="false" outlineLevel="0" collapsed="false">
      <c r="A106" s="27"/>
      <c r="B106" s="46"/>
      <c r="C106" s="46"/>
      <c r="D106" s="40"/>
      <c r="E106" s="40"/>
      <c r="F106" s="43"/>
      <c r="G106" s="47"/>
      <c r="H106" s="44"/>
      <c r="I106" s="48" t="str">
        <f aca="true">IF(OR(A106="",D106=""),"",MAX(0,NETWORKDAYS(D106,IF(E106="",TODAY(),E106),Bank_Holidays!$A$6:$A$60)-N(F106)))</f>
        <v/>
      </c>
      <c r="J106" s="49" t="str">
        <f aca="false">IF(I106="","",IF(I106&gt;Config!$B$16,"Yes","No"))</f>
        <v/>
      </c>
      <c r="K106" s="46"/>
    </row>
    <row r="107" customFormat="false" ht="15" hidden="false" customHeight="false" outlineLevel="0" collapsed="false">
      <c r="A107" s="27"/>
      <c r="B107" s="46"/>
      <c r="C107" s="46"/>
      <c r="D107" s="40"/>
      <c r="E107" s="40"/>
      <c r="F107" s="43"/>
      <c r="G107" s="47"/>
      <c r="H107" s="44"/>
      <c r="I107" s="48" t="str">
        <f aca="true">IF(OR(A107="",D107=""),"",MAX(0,NETWORKDAYS(D107,IF(E107="",TODAY(),E107),Bank_Holidays!$A$6:$A$60)-N(F107)))</f>
        <v/>
      </c>
      <c r="J107" s="49" t="str">
        <f aca="false">IF(I107="","",IF(I107&gt;Config!$B$16,"Yes","No"))</f>
        <v/>
      </c>
      <c r="K107" s="46"/>
    </row>
    <row r="108" customFormat="false" ht="15" hidden="false" customHeight="false" outlineLevel="0" collapsed="false">
      <c r="A108" s="27"/>
      <c r="B108" s="46"/>
      <c r="C108" s="46"/>
      <c r="D108" s="40"/>
      <c r="E108" s="40"/>
      <c r="F108" s="43"/>
      <c r="G108" s="47"/>
      <c r="H108" s="44"/>
      <c r="I108" s="48" t="str">
        <f aca="true">IF(OR(A108="",D108=""),"",MAX(0,NETWORKDAYS(D108,IF(E108="",TODAY(),E108),Bank_Holidays!$A$6:$A$60)-N(F108)))</f>
        <v/>
      </c>
      <c r="J108" s="49" t="str">
        <f aca="false">IF(I108="","",IF(I108&gt;Config!$B$16,"Yes","No"))</f>
        <v/>
      </c>
      <c r="K108" s="46"/>
    </row>
    <row r="109" customFormat="false" ht="15" hidden="false" customHeight="false" outlineLevel="0" collapsed="false">
      <c r="A109" s="27"/>
      <c r="B109" s="46"/>
      <c r="C109" s="46"/>
      <c r="D109" s="40"/>
      <c r="E109" s="40"/>
      <c r="F109" s="43"/>
      <c r="G109" s="47"/>
      <c r="H109" s="44"/>
      <c r="I109" s="48" t="str">
        <f aca="true">IF(OR(A109="",D109=""),"",MAX(0,NETWORKDAYS(D109,IF(E109="",TODAY(),E109),Bank_Holidays!$A$6:$A$60)-N(F109)))</f>
        <v/>
      </c>
      <c r="J109" s="49" t="str">
        <f aca="false">IF(I109="","",IF(I109&gt;Config!$B$16,"Yes","No"))</f>
        <v/>
      </c>
      <c r="K109" s="46"/>
    </row>
    <row r="110" customFormat="false" ht="15" hidden="false" customHeight="false" outlineLevel="0" collapsed="false">
      <c r="A110" s="27"/>
      <c r="B110" s="46"/>
      <c r="C110" s="46"/>
      <c r="D110" s="40"/>
      <c r="E110" s="40"/>
      <c r="F110" s="43"/>
      <c r="G110" s="47"/>
      <c r="H110" s="44"/>
      <c r="I110" s="48" t="str">
        <f aca="true">IF(OR(A110="",D110=""),"",MAX(0,NETWORKDAYS(D110,IF(E110="",TODAY(),E110),Bank_Holidays!$A$6:$A$60)-N(F110)))</f>
        <v/>
      </c>
      <c r="J110" s="49" t="str">
        <f aca="false">IF(I110="","",IF(I110&gt;Config!$B$16,"Yes","No"))</f>
        <v/>
      </c>
      <c r="K110" s="46"/>
    </row>
    <row r="111" customFormat="false" ht="15" hidden="false" customHeight="false" outlineLevel="0" collapsed="false">
      <c r="A111" s="27"/>
      <c r="B111" s="46"/>
      <c r="C111" s="46"/>
      <c r="D111" s="40"/>
      <c r="E111" s="40"/>
      <c r="F111" s="43"/>
      <c r="G111" s="47"/>
      <c r="H111" s="44"/>
      <c r="I111" s="48" t="str">
        <f aca="true">IF(OR(A111="",D111=""),"",MAX(0,NETWORKDAYS(D111,IF(E111="",TODAY(),E111),Bank_Holidays!$A$6:$A$60)-N(F111)))</f>
        <v/>
      </c>
      <c r="J111" s="49" t="str">
        <f aca="false">IF(I111="","",IF(I111&gt;Config!$B$16,"Yes","No"))</f>
        <v/>
      </c>
      <c r="K111" s="46"/>
    </row>
    <row r="112" customFormat="false" ht="15" hidden="false" customHeight="false" outlineLevel="0" collapsed="false">
      <c r="A112" s="27"/>
      <c r="B112" s="46"/>
      <c r="C112" s="46"/>
      <c r="D112" s="40"/>
      <c r="E112" s="40"/>
      <c r="F112" s="43"/>
      <c r="G112" s="47"/>
      <c r="H112" s="44"/>
      <c r="I112" s="48" t="str">
        <f aca="true">IF(OR(A112="",D112=""),"",MAX(0,NETWORKDAYS(D112,IF(E112="",TODAY(),E112),Bank_Holidays!$A$6:$A$60)-N(F112)))</f>
        <v/>
      </c>
      <c r="J112" s="49" t="str">
        <f aca="false">IF(I112="","",IF(I112&gt;Config!$B$16,"Yes","No"))</f>
        <v/>
      </c>
      <c r="K112" s="46"/>
    </row>
    <row r="113" customFormat="false" ht="15" hidden="false" customHeight="false" outlineLevel="0" collapsed="false">
      <c r="A113" s="27"/>
      <c r="B113" s="46"/>
      <c r="C113" s="46"/>
      <c r="D113" s="40"/>
      <c r="E113" s="40"/>
      <c r="F113" s="43"/>
      <c r="G113" s="47"/>
      <c r="H113" s="44"/>
      <c r="I113" s="48" t="str">
        <f aca="true">IF(OR(A113="",D113=""),"",MAX(0,NETWORKDAYS(D113,IF(E113="",TODAY(),E113),Bank_Holidays!$A$6:$A$60)-N(F113)))</f>
        <v/>
      </c>
      <c r="J113" s="49" t="str">
        <f aca="false">IF(I113="","",IF(I113&gt;Config!$B$16,"Yes","No"))</f>
        <v/>
      </c>
      <c r="K113" s="46"/>
    </row>
    <row r="114" customFormat="false" ht="15" hidden="false" customHeight="false" outlineLevel="0" collapsed="false">
      <c r="A114" s="27"/>
      <c r="B114" s="46"/>
      <c r="C114" s="46"/>
      <c r="D114" s="40"/>
      <c r="E114" s="40"/>
      <c r="F114" s="43"/>
      <c r="G114" s="47"/>
      <c r="H114" s="44"/>
      <c r="I114" s="48" t="str">
        <f aca="true">IF(OR(A114="",D114=""),"",MAX(0,NETWORKDAYS(D114,IF(E114="",TODAY(),E114),Bank_Holidays!$A$6:$A$60)-N(F114)))</f>
        <v/>
      </c>
      <c r="J114" s="49" t="str">
        <f aca="false">IF(I114="","",IF(I114&gt;Config!$B$16,"Yes","No"))</f>
        <v/>
      </c>
      <c r="K114" s="46"/>
    </row>
    <row r="115" customFormat="false" ht="15" hidden="false" customHeight="false" outlineLevel="0" collapsed="false">
      <c r="A115" s="27"/>
      <c r="B115" s="46"/>
      <c r="C115" s="46"/>
      <c r="D115" s="40"/>
      <c r="E115" s="40"/>
      <c r="F115" s="43"/>
      <c r="G115" s="47"/>
      <c r="H115" s="44"/>
      <c r="I115" s="48" t="str">
        <f aca="true">IF(OR(A115="",D115=""),"",MAX(0,NETWORKDAYS(D115,IF(E115="",TODAY(),E115),Bank_Holidays!$A$6:$A$60)-N(F115)))</f>
        <v/>
      </c>
      <c r="J115" s="49" t="str">
        <f aca="false">IF(I115="","",IF(I115&gt;Config!$B$16,"Yes","No"))</f>
        <v/>
      </c>
      <c r="K115" s="46"/>
    </row>
    <row r="116" customFormat="false" ht="15" hidden="false" customHeight="false" outlineLevel="0" collapsed="false">
      <c r="A116" s="27"/>
      <c r="B116" s="46"/>
      <c r="C116" s="46"/>
      <c r="D116" s="40"/>
      <c r="E116" s="40"/>
      <c r="F116" s="43"/>
      <c r="G116" s="47"/>
      <c r="H116" s="44"/>
      <c r="I116" s="48" t="str">
        <f aca="true">IF(OR(A116="",D116=""),"",MAX(0,NETWORKDAYS(D116,IF(E116="",TODAY(),E116),Bank_Holidays!$A$6:$A$60)-N(F116)))</f>
        <v/>
      </c>
      <c r="J116" s="49" t="str">
        <f aca="false">IF(I116="","",IF(I116&gt;Config!$B$16,"Yes","No"))</f>
        <v/>
      </c>
      <c r="K116" s="46"/>
    </row>
    <row r="117" customFormat="false" ht="15" hidden="false" customHeight="false" outlineLevel="0" collapsed="false">
      <c r="A117" s="27"/>
      <c r="B117" s="46"/>
      <c r="C117" s="46"/>
      <c r="D117" s="40"/>
      <c r="E117" s="40"/>
      <c r="F117" s="43"/>
      <c r="G117" s="47"/>
      <c r="H117" s="44"/>
      <c r="I117" s="48" t="str">
        <f aca="true">IF(OR(A117="",D117=""),"",MAX(0,NETWORKDAYS(D117,IF(E117="",TODAY(),E117),Bank_Holidays!$A$6:$A$60)-N(F117)))</f>
        <v/>
      </c>
      <c r="J117" s="49" t="str">
        <f aca="false">IF(I117="","",IF(I117&gt;Config!$B$16,"Yes","No"))</f>
        <v/>
      </c>
      <c r="K117" s="46"/>
    </row>
    <row r="118" customFormat="false" ht="15" hidden="false" customHeight="false" outlineLevel="0" collapsed="false">
      <c r="A118" s="27"/>
      <c r="B118" s="46"/>
      <c r="C118" s="46"/>
      <c r="D118" s="40"/>
      <c r="E118" s="40"/>
      <c r="F118" s="43"/>
      <c r="G118" s="47"/>
      <c r="H118" s="44"/>
      <c r="I118" s="48" t="str">
        <f aca="true">IF(OR(A118="",D118=""),"",MAX(0,NETWORKDAYS(D118,IF(E118="",TODAY(),E118),Bank_Holidays!$A$6:$A$60)-N(F118)))</f>
        <v/>
      </c>
      <c r="J118" s="49" t="str">
        <f aca="false">IF(I118="","",IF(I118&gt;Config!$B$16,"Yes","No"))</f>
        <v/>
      </c>
      <c r="K118" s="46"/>
    </row>
    <row r="119" customFormat="false" ht="15" hidden="false" customHeight="false" outlineLevel="0" collapsed="false">
      <c r="A119" s="27"/>
      <c r="B119" s="46"/>
      <c r="C119" s="46"/>
      <c r="D119" s="40"/>
      <c r="E119" s="40"/>
      <c r="F119" s="43"/>
      <c r="G119" s="47"/>
      <c r="H119" s="44"/>
      <c r="I119" s="48" t="str">
        <f aca="true">IF(OR(A119="",D119=""),"",MAX(0,NETWORKDAYS(D119,IF(E119="",TODAY(),E119),Bank_Holidays!$A$6:$A$60)-N(F119)))</f>
        <v/>
      </c>
      <c r="J119" s="49" t="str">
        <f aca="false">IF(I119="","",IF(I119&gt;Config!$B$16,"Yes","No"))</f>
        <v/>
      </c>
      <c r="K119" s="46"/>
    </row>
    <row r="120" customFormat="false" ht="15" hidden="false" customHeight="false" outlineLevel="0" collapsed="false">
      <c r="A120" s="27"/>
      <c r="B120" s="46"/>
      <c r="C120" s="46"/>
      <c r="D120" s="40"/>
      <c r="E120" s="40"/>
      <c r="F120" s="43"/>
      <c r="G120" s="47"/>
      <c r="H120" s="44"/>
      <c r="I120" s="48" t="str">
        <f aca="true">IF(OR(A120="",D120=""),"",MAX(0,NETWORKDAYS(D120,IF(E120="",TODAY(),E120),Bank_Holidays!$A$6:$A$60)-N(F120)))</f>
        <v/>
      </c>
      <c r="J120" s="49" t="str">
        <f aca="false">IF(I120="","",IF(I120&gt;Config!$B$16,"Yes","No"))</f>
        <v/>
      </c>
      <c r="K120" s="46"/>
    </row>
    <row r="121" customFormat="false" ht="15" hidden="false" customHeight="false" outlineLevel="0" collapsed="false">
      <c r="A121" s="27"/>
      <c r="B121" s="46"/>
      <c r="C121" s="46"/>
      <c r="D121" s="40"/>
      <c r="E121" s="40"/>
      <c r="F121" s="43"/>
      <c r="G121" s="47"/>
      <c r="H121" s="44"/>
      <c r="I121" s="48" t="str">
        <f aca="true">IF(OR(A121="",D121=""),"",MAX(0,NETWORKDAYS(D121,IF(E121="",TODAY(),E121),Bank_Holidays!$A$6:$A$60)-N(F121)))</f>
        <v/>
      </c>
      <c r="J121" s="49" t="str">
        <f aca="false">IF(I121="","",IF(I121&gt;Config!$B$16,"Yes","No"))</f>
        <v/>
      </c>
      <c r="K121" s="46"/>
    </row>
    <row r="122" customFormat="false" ht="15" hidden="false" customHeight="false" outlineLevel="0" collapsed="false">
      <c r="A122" s="27"/>
      <c r="B122" s="46"/>
      <c r="C122" s="46"/>
      <c r="D122" s="40"/>
      <c r="E122" s="40"/>
      <c r="F122" s="43"/>
      <c r="G122" s="47"/>
      <c r="H122" s="44"/>
      <c r="I122" s="48" t="str">
        <f aca="true">IF(OR(A122="",D122=""),"",MAX(0,NETWORKDAYS(D122,IF(E122="",TODAY(),E122),Bank_Holidays!$A$6:$A$60)-N(F122)))</f>
        <v/>
      </c>
      <c r="J122" s="49" t="str">
        <f aca="false">IF(I122="","",IF(I122&gt;Config!$B$16,"Yes","No"))</f>
        <v/>
      </c>
      <c r="K122" s="46"/>
    </row>
    <row r="123" customFormat="false" ht="15" hidden="false" customHeight="false" outlineLevel="0" collapsed="false">
      <c r="A123" s="27"/>
      <c r="B123" s="46"/>
      <c r="C123" s="46"/>
      <c r="D123" s="40"/>
      <c r="E123" s="40"/>
      <c r="F123" s="43"/>
      <c r="G123" s="47"/>
      <c r="H123" s="44"/>
      <c r="I123" s="48" t="str">
        <f aca="true">IF(OR(A123="",D123=""),"",MAX(0,NETWORKDAYS(D123,IF(E123="",TODAY(),E123),Bank_Holidays!$A$6:$A$60)-N(F123)))</f>
        <v/>
      </c>
      <c r="J123" s="49" t="str">
        <f aca="false">IF(I123="","",IF(I123&gt;Config!$B$16,"Yes","No"))</f>
        <v/>
      </c>
      <c r="K123" s="46"/>
    </row>
    <row r="124" customFormat="false" ht="15" hidden="false" customHeight="false" outlineLevel="0" collapsed="false">
      <c r="A124" s="27"/>
      <c r="B124" s="46"/>
      <c r="C124" s="46"/>
      <c r="D124" s="40"/>
      <c r="E124" s="40"/>
      <c r="F124" s="43"/>
      <c r="G124" s="47"/>
      <c r="H124" s="44"/>
      <c r="I124" s="48" t="str">
        <f aca="true">IF(OR(A124="",D124=""),"",MAX(0,NETWORKDAYS(D124,IF(E124="",TODAY(),E124),Bank_Holidays!$A$6:$A$60)-N(F124)))</f>
        <v/>
      </c>
      <c r="J124" s="49" t="str">
        <f aca="false">IF(I124="","",IF(I124&gt;Config!$B$16,"Yes","No"))</f>
        <v/>
      </c>
      <c r="K124" s="46"/>
    </row>
    <row r="125" customFormat="false" ht="15" hidden="false" customHeight="false" outlineLevel="0" collapsed="false">
      <c r="A125" s="27"/>
      <c r="B125" s="46"/>
      <c r="C125" s="46"/>
      <c r="D125" s="40"/>
      <c r="E125" s="40"/>
      <c r="F125" s="43"/>
      <c r="G125" s="47"/>
      <c r="H125" s="44"/>
      <c r="I125" s="48" t="str">
        <f aca="true">IF(OR(A125="",D125=""),"",MAX(0,NETWORKDAYS(D125,IF(E125="",TODAY(),E125),Bank_Holidays!$A$6:$A$60)-N(F125)))</f>
        <v/>
      </c>
      <c r="J125" s="49" t="str">
        <f aca="false">IF(I125="","",IF(I125&gt;Config!$B$16,"Yes","No"))</f>
        <v/>
      </c>
      <c r="K125" s="46"/>
    </row>
    <row r="126" customFormat="false" ht="15" hidden="false" customHeight="false" outlineLevel="0" collapsed="false">
      <c r="A126" s="27"/>
      <c r="B126" s="46"/>
      <c r="C126" s="46"/>
      <c r="D126" s="40"/>
      <c r="E126" s="40"/>
      <c r="F126" s="43"/>
      <c r="G126" s="47"/>
      <c r="H126" s="44"/>
      <c r="I126" s="48" t="str">
        <f aca="true">IF(OR(A126="",D126=""),"",MAX(0,NETWORKDAYS(D126,IF(E126="",TODAY(),E126),Bank_Holidays!$A$6:$A$60)-N(F126)))</f>
        <v/>
      </c>
      <c r="J126" s="49" t="str">
        <f aca="false">IF(I126="","",IF(I126&gt;Config!$B$16,"Yes","No"))</f>
        <v/>
      </c>
      <c r="K126" s="46"/>
    </row>
    <row r="127" customFormat="false" ht="15" hidden="false" customHeight="false" outlineLevel="0" collapsed="false">
      <c r="A127" s="27"/>
      <c r="B127" s="46"/>
      <c r="C127" s="46"/>
      <c r="D127" s="40"/>
      <c r="E127" s="40"/>
      <c r="F127" s="43"/>
      <c r="G127" s="47"/>
      <c r="H127" s="44"/>
      <c r="I127" s="48" t="str">
        <f aca="true">IF(OR(A127="",D127=""),"",MAX(0,NETWORKDAYS(D127,IF(E127="",TODAY(),E127),Bank_Holidays!$A$6:$A$60)-N(F127)))</f>
        <v/>
      </c>
      <c r="J127" s="49" t="str">
        <f aca="false">IF(I127="","",IF(I127&gt;Config!$B$16,"Yes","No"))</f>
        <v/>
      </c>
      <c r="K127" s="46"/>
    </row>
    <row r="128" customFormat="false" ht="15" hidden="false" customHeight="false" outlineLevel="0" collapsed="false">
      <c r="A128" s="27"/>
      <c r="B128" s="46"/>
      <c r="C128" s="46"/>
      <c r="D128" s="40"/>
      <c r="E128" s="40"/>
      <c r="F128" s="43"/>
      <c r="G128" s="47"/>
      <c r="H128" s="44"/>
      <c r="I128" s="48" t="str">
        <f aca="true">IF(OR(A128="",D128=""),"",MAX(0,NETWORKDAYS(D128,IF(E128="",TODAY(),E128),Bank_Holidays!$A$6:$A$60)-N(F128)))</f>
        <v/>
      </c>
      <c r="J128" s="49" t="str">
        <f aca="false">IF(I128="","",IF(I128&gt;Config!$B$16,"Yes","No"))</f>
        <v/>
      </c>
      <c r="K128" s="46"/>
    </row>
    <row r="129" customFormat="false" ht="15" hidden="false" customHeight="false" outlineLevel="0" collapsed="false">
      <c r="A129" s="27"/>
      <c r="B129" s="46"/>
      <c r="C129" s="46"/>
      <c r="D129" s="40"/>
      <c r="E129" s="40"/>
      <c r="F129" s="43"/>
      <c r="G129" s="47"/>
      <c r="H129" s="44"/>
      <c r="I129" s="48" t="str">
        <f aca="true">IF(OR(A129="",D129=""),"",MAX(0,NETWORKDAYS(D129,IF(E129="",TODAY(),E129),Bank_Holidays!$A$6:$A$60)-N(F129)))</f>
        <v/>
      </c>
      <c r="J129" s="49" t="str">
        <f aca="false">IF(I129="","",IF(I129&gt;Config!$B$16,"Yes","No"))</f>
        <v/>
      </c>
      <c r="K129" s="46"/>
    </row>
    <row r="130" customFormat="false" ht="15" hidden="false" customHeight="false" outlineLevel="0" collapsed="false">
      <c r="A130" s="27"/>
      <c r="B130" s="46"/>
      <c r="C130" s="46"/>
      <c r="D130" s="40"/>
      <c r="E130" s="40"/>
      <c r="F130" s="43"/>
      <c r="G130" s="47"/>
      <c r="H130" s="44"/>
      <c r="I130" s="48" t="str">
        <f aca="true">IF(OR(A130="",D130=""),"",MAX(0,NETWORKDAYS(D130,IF(E130="",TODAY(),E130),Bank_Holidays!$A$6:$A$60)-N(F130)))</f>
        <v/>
      </c>
      <c r="J130" s="49" t="str">
        <f aca="false">IF(I130="","",IF(I130&gt;Config!$B$16,"Yes","No"))</f>
        <v/>
      </c>
      <c r="K130" s="46"/>
    </row>
    <row r="131" customFormat="false" ht="15" hidden="false" customHeight="false" outlineLevel="0" collapsed="false">
      <c r="A131" s="27"/>
      <c r="B131" s="46"/>
      <c r="C131" s="46"/>
      <c r="D131" s="40"/>
      <c r="E131" s="40"/>
      <c r="F131" s="43"/>
      <c r="G131" s="47"/>
      <c r="H131" s="44"/>
      <c r="I131" s="48" t="str">
        <f aca="true">IF(OR(A131="",D131=""),"",MAX(0,NETWORKDAYS(D131,IF(E131="",TODAY(),E131),Bank_Holidays!$A$6:$A$60)-N(F131)))</f>
        <v/>
      </c>
      <c r="J131" s="49" t="str">
        <f aca="false">IF(I131="","",IF(I131&gt;Config!$B$16,"Yes","No"))</f>
        <v/>
      </c>
      <c r="K131" s="46"/>
    </row>
    <row r="132" customFormat="false" ht="15" hidden="false" customHeight="false" outlineLevel="0" collapsed="false">
      <c r="A132" s="27"/>
      <c r="B132" s="46"/>
      <c r="C132" s="46"/>
      <c r="D132" s="40"/>
      <c r="E132" s="40"/>
      <c r="F132" s="43"/>
      <c r="G132" s="47"/>
      <c r="H132" s="44"/>
      <c r="I132" s="48" t="str">
        <f aca="true">IF(OR(A132="",D132=""),"",MAX(0,NETWORKDAYS(D132,IF(E132="",TODAY(),E132),Bank_Holidays!$A$6:$A$60)-N(F132)))</f>
        <v/>
      </c>
      <c r="J132" s="49" t="str">
        <f aca="false">IF(I132="","",IF(I132&gt;Config!$B$16,"Yes","No"))</f>
        <v/>
      </c>
      <c r="K132" s="46"/>
    </row>
    <row r="133" customFormat="false" ht="15" hidden="false" customHeight="false" outlineLevel="0" collapsed="false">
      <c r="A133" s="27"/>
      <c r="B133" s="46"/>
      <c r="C133" s="46"/>
      <c r="D133" s="40"/>
      <c r="E133" s="40"/>
      <c r="F133" s="43"/>
      <c r="G133" s="47"/>
      <c r="H133" s="44"/>
      <c r="I133" s="48" t="str">
        <f aca="true">IF(OR(A133="",D133=""),"",MAX(0,NETWORKDAYS(D133,IF(E133="",TODAY(),E133),Bank_Holidays!$A$6:$A$60)-N(F133)))</f>
        <v/>
      </c>
      <c r="J133" s="49" t="str">
        <f aca="false">IF(I133="","",IF(I133&gt;Config!$B$16,"Yes","No"))</f>
        <v/>
      </c>
      <c r="K133" s="46"/>
    </row>
    <row r="134" customFormat="false" ht="15" hidden="false" customHeight="false" outlineLevel="0" collapsed="false">
      <c r="A134" s="27"/>
      <c r="B134" s="46"/>
      <c r="C134" s="46"/>
      <c r="D134" s="40"/>
      <c r="E134" s="40"/>
      <c r="F134" s="43"/>
      <c r="G134" s="47"/>
      <c r="H134" s="44"/>
      <c r="I134" s="48" t="str">
        <f aca="true">IF(OR(A134="",D134=""),"",MAX(0,NETWORKDAYS(D134,IF(E134="",TODAY(),E134),Bank_Holidays!$A$6:$A$60)-N(F134)))</f>
        <v/>
      </c>
      <c r="J134" s="49" t="str">
        <f aca="false">IF(I134="","",IF(I134&gt;Config!$B$16,"Yes","No"))</f>
        <v/>
      </c>
      <c r="K134" s="46"/>
    </row>
    <row r="135" customFormat="false" ht="15" hidden="false" customHeight="false" outlineLevel="0" collapsed="false">
      <c r="A135" s="27"/>
      <c r="B135" s="46"/>
      <c r="C135" s="46"/>
      <c r="D135" s="40"/>
      <c r="E135" s="40"/>
      <c r="F135" s="43"/>
      <c r="G135" s="47"/>
      <c r="H135" s="44"/>
      <c r="I135" s="48" t="str">
        <f aca="true">IF(OR(A135="",D135=""),"",MAX(0,NETWORKDAYS(D135,IF(E135="",TODAY(),E135),Bank_Holidays!$A$6:$A$60)-N(F135)))</f>
        <v/>
      </c>
      <c r="J135" s="49" t="str">
        <f aca="false">IF(I135="","",IF(I135&gt;Config!$B$16,"Yes","No"))</f>
        <v/>
      </c>
      <c r="K135" s="46"/>
    </row>
    <row r="136" customFormat="false" ht="15" hidden="false" customHeight="false" outlineLevel="0" collapsed="false">
      <c r="A136" s="27"/>
      <c r="B136" s="46"/>
      <c r="C136" s="46"/>
      <c r="D136" s="40"/>
      <c r="E136" s="40"/>
      <c r="F136" s="43"/>
      <c r="G136" s="47"/>
      <c r="H136" s="44"/>
      <c r="I136" s="48" t="str">
        <f aca="true">IF(OR(A136="",D136=""),"",MAX(0,NETWORKDAYS(D136,IF(E136="",TODAY(),E136),Bank_Holidays!$A$6:$A$60)-N(F136)))</f>
        <v/>
      </c>
      <c r="J136" s="49" t="str">
        <f aca="false">IF(I136="","",IF(I136&gt;Config!$B$16,"Yes","No"))</f>
        <v/>
      </c>
      <c r="K136" s="46"/>
    </row>
    <row r="137" customFormat="false" ht="15" hidden="false" customHeight="false" outlineLevel="0" collapsed="false">
      <c r="A137" s="27"/>
      <c r="B137" s="46"/>
      <c r="C137" s="46"/>
      <c r="D137" s="40"/>
      <c r="E137" s="40"/>
      <c r="F137" s="43"/>
      <c r="G137" s="47"/>
      <c r="H137" s="44"/>
      <c r="I137" s="48" t="str">
        <f aca="true">IF(OR(A137="",D137=""),"",MAX(0,NETWORKDAYS(D137,IF(E137="",TODAY(),E137),Bank_Holidays!$A$6:$A$60)-N(F137)))</f>
        <v/>
      </c>
      <c r="J137" s="49" t="str">
        <f aca="false">IF(I137="","",IF(I137&gt;Config!$B$16,"Yes","No"))</f>
        <v/>
      </c>
      <c r="K137" s="46"/>
    </row>
    <row r="138" customFormat="false" ht="15" hidden="false" customHeight="false" outlineLevel="0" collapsed="false">
      <c r="A138" s="27"/>
      <c r="B138" s="46"/>
      <c r="C138" s="46"/>
      <c r="D138" s="40"/>
      <c r="E138" s="40"/>
      <c r="F138" s="43"/>
      <c r="G138" s="47"/>
      <c r="H138" s="44"/>
      <c r="I138" s="48" t="str">
        <f aca="true">IF(OR(A138="",D138=""),"",MAX(0,NETWORKDAYS(D138,IF(E138="",TODAY(),E138),Bank_Holidays!$A$6:$A$60)-N(F138)))</f>
        <v/>
      </c>
      <c r="J138" s="49" t="str">
        <f aca="false">IF(I138="","",IF(I138&gt;Config!$B$16,"Yes","No"))</f>
        <v/>
      </c>
      <c r="K138" s="46"/>
    </row>
    <row r="139" customFormat="false" ht="15" hidden="false" customHeight="false" outlineLevel="0" collapsed="false">
      <c r="A139" s="27"/>
      <c r="B139" s="46"/>
      <c r="C139" s="46"/>
      <c r="D139" s="40"/>
      <c r="E139" s="40"/>
      <c r="F139" s="43"/>
      <c r="G139" s="47"/>
      <c r="H139" s="44"/>
      <c r="I139" s="48" t="str">
        <f aca="true">IF(OR(A139="",D139=""),"",MAX(0,NETWORKDAYS(D139,IF(E139="",TODAY(),E139),Bank_Holidays!$A$6:$A$60)-N(F139)))</f>
        <v/>
      </c>
      <c r="J139" s="49" t="str">
        <f aca="false">IF(I139="","",IF(I139&gt;Config!$B$16,"Yes","No"))</f>
        <v/>
      </c>
      <c r="K139" s="46"/>
    </row>
    <row r="140" customFormat="false" ht="15" hidden="false" customHeight="false" outlineLevel="0" collapsed="false">
      <c r="A140" s="27"/>
      <c r="B140" s="46"/>
      <c r="C140" s="46"/>
      <c r="D140" s="40"/>
      <c r="E140" s="40"/>
      <c r="F140" s="43"/>
      <c r="G140" s="47"/>
      <c r="H140" s="44"/>
      <c r="I140" s="48" t="str">
        <f aca="true">IF(OR(A140="",D140=""),"",MAX(0,NETWORKDAYS(D140,IF(E140="",TODAY(),E140),Bank_Holidays!$A$6:$A$60)-N(F140)))</f>
        <v/>
      </c>
      <c r="J140" s="49" t="str">
        <f aca="false">IF(I140="","",IF(I140&gt;Config!$B$16,"Yes","No"))</f>
        <v/>
      </c>
      <c r="K140" s="46"/>
    </row>
    <row r="141" customFormat="false" ht="15" hidden="false" customHeight="false" outlineLevel="0" collapsed="false">
      <c r="A141" s="27"/>
      <c r="B141" s="46"/>
      <c r="C141" s="46"/>
      <c r="D141" s="40"/>
      <c r="E141" s="40"/>
      <c r="F141" s="43"/>
      <c r="G141" s="47"/>
      <c r="H141" s="44"/>
      <c r="I141" s="48" t="str">
        <f aca="true">IF(OR(A141="",D141=""),"",MAX(0,NETWORKDAYS(D141,IF(E141="",TODAY(),E141),Bank_Holidays!$A$6:$A$60)-N(F141)))</f>
        <v/>
      </c>
      <c r="J141" s="49" t="str">
        <f aca="false">IF(I141="","",IF(I141&gt;Config!$B$16,"Yes","No"))</f>
        <v/>
      </c>
      <c r="K141" s="46"/>
    </row>
    <row r="142" customFormat="false" ht="15" hidden="false" customHeight="false" outlineLevel="0" collapsed="false">
      <c r="A142" s="27"/>
      <c r="B142" s="46"/>
      <c r="C142" s="46"/>
      <c r="D142" s="40"/>
      <c r="E142" s="40"/>
      <c r="F142" s="43"/>
      <c r="G142" s="47"/>
      <c r="H142" s="44"/>
      <c r="I142" s="48" t="str">
        <f aca="true">IF(OR(A142="",D142=""),"",MAX(0,NETWORKDAYS(D142,IF(E142="",TODAY(),E142),Bank_Holidays!$A$6:$A$60)-N(F142)))</f>
        <v/>
      </c>
      <c r="J142" s="49" t="str">
        <f aca="false">IF(I142="","",IF(I142&gt;Config!$B$16,"Yes","No"))</f>
        <v/>
      </c>
      <c r="K142" s="46"/>
    </row>
    <row r="143" customFormat="false" ht="15" hidden="false" customHeight="false" outlineLevel="0" collapsed="false">
      <c r="A143" s="27"/>
      <c r="B143" s="46"/>
      <c r="C143" s="46"/>
      <c r="D143" s="40"/>
      <c r="E143" s="40"/>
      <c r="F143" s="43"/>
      <c r="G143" s="47"/>
      <c r="H143" s="44"/>
      <c r="I143" s="48" t="str">
        <f aca="true">IF(OR(A143="",D143=""),"",MAX(0,NETWORKDAYS(D143,IF(E143="",TODAY(),E143),Bank_Holidays!$A$6:$A$60)-N(F143)))</f>
        <v/>
      </c>
      <c r="J143" s="49" t="str">
        <f aca="false">IF(I143="","",IF(I143&gt;Config!$B$16,"Yes","No"))</f>
        <v/>
      </c>
      <c r="K143" s="46"/>
    </row>
    <row r="144" customFormat="false" ht="15" hidden="false" customHeight="false" outlineLevel="0" collapsed="false">
      <c r="A144" s="27"/>
      <c r="B144" s="46"/>
      <c r="C144" s="46"/>
      <c r="D144" s="40"/>
      <c r="E144" s="40"/>
      <c r="F144" s="43"/>
      <c r="G144" s="47"/>
      <c r="H144" s="44"/>
      <c r="I144" s="48" t="str">
        <f aca="true">IF(OR(A144="",D144=""),"",MAX(0,NETWORKDAYS(D144,IF(E144="",TODAY(),E144),Bank_Holidays!$A$6:$A$60)-N(F144)))</f>
        <v/>
      </c>
      <c r="J144" s="49" t="str">
        <f aca="false">IF(I144="","",IF(I144&gt;Config!$B$16,"Yes","No"))</f>
        <v/>
      </c>
      <c r="K144" s="46"/>
    </row>
    <row r="145" customFormat="false" ht="15" hidden="false" customHeight="false" outlineLevel="0" collapsed="false">
      <c r="A145" s="27"/>
      <c r="B145" s="46"/>
      <c r="C145" s="46"/>
      <c r="D145" s="40"/>
      <c r="E145" s="40"/>
      <c r="F145" s="43"/>
      <c r="G145" s="47"/>
      <c r="H145" s="44"/>
      <c r="I145" s="48" t="str">
        <f aca="true">IF(OR(A145="",D145=""),"",MAX(0,NETWORKDAYS(D145,IF(E145="",TODAY(),E145),Bank_Holidays!$A$6:$A$60)-N(F145)))</f>
        <v/>
      </c>
      <c r="J145" s="49" t="str">
        <f aca="false">IF(I145="","",IF(I145&gt;Config!$B$16,"Yes","No"))</f>
        <v/>
      </c>
      <c r="K145" s="46"/>
    </row>
    <row r="146" customFormat="false" ht="15" hidden="false" customHeight="false" outlineLevel="0" collapsed="false">
      <c r="A146" s="27"/>
      <c r="B146" s="46"/>
      <c r="C146" s="46"/>
      <c r="D146" s="40"/>
      <c r="E146" s="40"/>
      <c r="F146" s="43"/>
      <c r="G146" s="47"/>
      <c r="H146" s="44"/>
      <c r="I146" s="48" t="str">
        <f aca="true">IF(OR(A146="",D146=""),"",MAX(0,NETWORKDAYS(D146,IF(E146="",TODAY(),E146),Bank_Holidays!$A$6:$A$60)-N(F146)))</f>
        <v/>
      </c>
      <c r="J146" s="49" t="str">
        <f aca="false">IF(I146="","",IF(I146&gt;Config!$B$16,"Yes","No"))</f>
        <v/>
      </c>
      <c r="K146" s="46"/>
    </row>
    <row r="147" customFormat="false" ht="15" hidden="false" customHeight="false" outlineLevel="0" collapsed="false">
      <c r="A147" s="27"/>
      <c r="B147" s="46"/>
      <c r="C147" s="46"/>
      <c r="D147" s="40"/>
      <c r="E147" s="40"/>
      <c r="F147" s="43"/>
      <c r="G147" s="47"/>
      <c r="H147" s="44"/>
      <c r="I147" s="48" t="str">
        <f aca="true">IF(OR(A147="",D147=""),"",MAX(0,NETWORKDAYS(D147,IF(E147="",TODAY(),E147),Bank_Holidays!$A$6:$A$60)-N(F147)))</f>
        <v/>
      </c>
      <c r="J147" s="49" t="str">
        <f aca="false">IF(I147="","",IF(I147&gt;Config!$B$16,"Yes","No"))</f>
        <v/>
      </c>
      <c r="K147" s="46"/>
    </row>
    <row r="148" customFormat="false" ht="15" hidden="false" customHeight="false" outlineLevel="0" collapsed="false">
      <c r="A148" s="27"/>
      <c r="B148" s="46"/>
      <c r="C148" s="46"/>
      <c r="D148" s="40"/>
      <c r="E148" s="40"/>
      <c r="F148" s="43"/>
      <c r="G148" s="47"/>
      <c r="H148" s="44"/>
      <c r="I148" s="48" t="str">
        <f aca="true">IF(OR(A148="",D148=""),"",MAX(0,NETWORKDAYS(D148,IF(E148="",TODAY(),E148),Bank_Holidays!$A$6:$A$60)-N(F148)))</f>
        <v/>
      </c>
      <c r="J148" s="49" t="str">
        <f aca="false">IF(I148="","",IF(I148&gt;Config!$B$16,"Yes","No"))</f>
        <v/>
      </c>
      <c r="K148" s="46"/>
    </row>
    <row r="149" customFormat="false" ht="15" hidden="false" customHeight="false" outlineLevel="0" collapsed="false">
      <c r="A149" s="27"/>
      <c r="B149" s="46"/>
      <c r="C149" s="46"/>
      <c r="D149" s="40"/>
      <c r="E149" s="40"/>
      <c r="F149" s="43"/>
      <c r="G149" s="47"/>
      <c r="H149" s="44"/>
      <c r="I149" s="48" t="str">
        <f aca="true">IF(OR(A149="",D149=""),"",MAX(0,NETWORKDAYS(D149,IF(E149="",TODAY(),E149),Bank_Holidays!$A$6:$A$60)-N(F149)))</f>
        <v/>
      </c>
      <c r="J149" s="49" t="str">
        <f aca="false">IF(I149="","",IF(I149&gt;Config!$B$16,"Yes","No"))</f>
        <v/>
      </c>
      <c r="K149" s="46"/>
    </row>
    <row r="150" customFormat="false" ht="15" hidden="false" customHeight="false" outlineLevel="0" collapsed="false">
      <c r="A150" s="27"/>
      <c r="B150" s="46"/>
      <c r="C150" s="46"/>
      <c r="D150" s="40"/>
      <c r="E150" s="40"/>
      <c r="F150" s="43"/>
      <c r="G150" s="47"/>
      <c r="H150" s="44"/>
      <c r="I150" s="48" t="str">
        <f aca="true">IF(OR(A150="",D150=""),"",MAX(0,NETWORKDAYS(D150,IF(E150="",TODAY(),E150),Bank_Holidays!$A$6:$A$60)-N(F150)))</f>
        <v/>
      </c>
      <c r="J150" s="49" t="str">
        <f aca="false">IF(I150="","",IF(I150&gt;Config!$B$16,"Yes","No"))</f>
        <v/>
      </c>
      <c r="K150" s="46"/>
    </row>
    <row r="151" customFormat="false" ht="15" hidden="false" customHeight="false" outlineLevel="0" collapsed="false">
      <c r="A151" s="27"/>
      <c r="B151" s="46"/>
      <c r="C151" s="46"/>
      <c r="D151" s="40"/>
      <c r="E151" s="40"/>
      <c r="F151" s="43"/>
      <c r="G151" s="47"/>
      <c r="H151" s="44"/>
      <c r="I151" s="48" t="str">
        <f aca="true">IF(OR(A151="",D151=""),"",MAX(0,NETWORKDAYS(D151,IF(E151="",TODAY(),E151),Bank_Holidays!$A$6:$A$60)-N(F151)))</f>
        <v/>
      </c>
      <c r="J151" s="49" t="str">
        <f aca="false">IF(I151="","",IF(I151&gt;Config!$B$16,"Yes","No"))</f>
        <v/>
      </c>
      <c r="K151" s="46"/>
    </row>
    <row r="152" customFormat="false" ht="15" hidden="false" customHeight="false" outlineLevel="0" collapsed="false">
      <c r="A152" s="27"/>
      <c r="B152" s="46"/>
      <c r="C152" s="46"/>
      <c r="D152" s="40"/>
      <c r="E152" s="40"/>
      <c r="F152" s="43"/>
      <c r="G152" s="47"/>
      <c r="H152" s="44"/>
      <c r="I152" s="48" t="str">
        <f aca="true">IF(OR(A152="",D152=""),"",MAX(0,NETWORKDAYS(D152,IF(E152="",TODAY(),E152),Bank_Holidays!$A$6:$A$60)-N(F152)))</f>
        <v/>
      </c>
      <c r="J152" s="49" t="str">
        <f aca="false">IF(I152="","",IF(I152&gt;Config!$B$16,"Yes","No"))</f>
        <v/>
      </c>
      <c r="K152" s="46"/>
    </row>
    <row r="153" customFormat="false" ht="15" hidden="false" customHeight="false" outlineLevel="0" collapsed="false">
      <c r="A153" s="27"/>
      <c r="B153" s="46"/>
      <c r="C153" s="46"/>
      <c r="D153" s="40"/>
      <c r="E153" s="40"/>
      <c r="F153" s="43"/>
      <c r="G153" s="47"/>
      <c r="H153" s="44"/>
      <c r="I153" s="48" t="str">
        <f aca="true">IF(OR(A153="",D153=""),"",MAX(0,NETWORKDAYS(D153,IF(E153="",TODAY(),E153),Bank_Holidays!$A$6:$A$60)-N(F153)))</f>
        <v/>
      </c>
      <c r="J153" s="49" t="str">
        <f aca="false">IF(I153="","",IF(I153&gt;Config!$B$16,"Yes","No"))</f>
        <v/>
      </c>
      <c r="K153" s="46"/>
    </row>
    <row r="154" customFormat="false" ht="15" hidden="false" customHeight="false" outlineLevel="0" collapsed="false">
      <c r="A154" s="27"/>
      <c r="B154" s="46"/>
      <c r="C154" s="46"/>
      <c r="D154" s="40"/>
      <c r="E154" s="40"/>
      <c r="F154" s="43"/>
      <c r="G154" s="47"/>
      <c r="H154" s="44"/>
      <c r="I154" s="48" t="str">
        <f aca="true">IF(OR(A154="",D154=""),"",MAX(0,NETWORKDAYS(D154,IF(E154="",TODAY(),E154),Bank_Holidays!$A$6:$A$60)-N(F154)))</f>
        <v/>
      </c>
      <c r="J154" s="49" t="str">
        <f aca="false">IF(I154="","",IF(I154&gt;Config!$B$16,"Yes","No"))</f>
        <v/>
      </c>
      <c r="K154" s="46"/>
    </row>
    <row r="155" customFormat="false" ht="15" hidden="false" customHeight="false" outlineLevel="0" collapsed="false">
      <c r="A155" s="27"/>
      <c r="B155" s="46"/>
      <c r="C155" s="46"/>
      <c r="D155" s="40"/>
      <c r="E155" s="40"/>
      <c r="F155" s="43"/>
      <c r="G155" s="47"/>
      <c r="H155" s="44"/>
      <c r="I155" s="48" t="str">
        <f aca="true">IF(OR(A155="",D155=""),"",MAX(0,NETWORKDAYS(D155,IF(E155="",TODAY(),E155),Bank_Holidays!$A$6:$A$60)-N(F155)))</f>
        <v/>
      </c>
      <c r="J155" s="49" t="str">
        <f aca="false">IF(I155="","",IF(I155&gt;Config!$B$16,"Yes","No"))</f>
        <v/>
      </c>
      <c r="K155" s="46"/>
    </row>
    <row r="156" customFormat="false" ht="15" hidden="false" customHeight="false" outlineLevel="0" collapsed="false">
      <c r="A156" s="27"/>
      <c r="B156" s="46"/>
      <c r="C156" s="46"/>
      <c r="D156" s="40"/>
      <c r="E156" s="40"/>
      <c r="F156" s="43"/>
      <c r="G156" s="47"/>
      <c r="H156" s="44"/>
      <c r="I156" s="48" t="str">
        <f aca="true">IF(OR(A156="",D156=""),"",MAX(0,NETWORKDAYS(D156,IF(E156="",TODAY(),E156),Bank_Holidays!$A$6:$A$60)-N(F156)))</f>
        <v/>
      </c>
      <c r="J156" s="49" t="str">
        <f aca="false">IF(I156="","",IF(I156&gt;Config!$B$16,"Yes","No"))</f>
        <v/>
      </c>
      <c r="K156" s="46"/>
    </row>
    <row r="157" customFormat="false" ht="15" hidden="false" customHeight="false" outlineLevel="0" collapsed="false">
      <c r="A157" s="27"/>
      <c r="B157" s="46"/>
      <c r="C157" s="46"/>
      <c r="D157" s="40"/>
      <c r="E157" s="40"/>
      <c r="F157" s="43"/>
      <c r="G157" s="47"/>
      <c r="H157" s="44"/>
      <c r="I157" s="48" t="str">
        <f aca="true">IF(OR(A157="",D157=""),"",MAX(0,NETWORKDAYS(D157,IF(E157="",TODAY(),E157),Bank_Holidays!$A$6:$A$60)-N(F157)))</f>
        <v/>
      </c>
      <c r="J157" s="49" t="str">
        <f aca="false">IF(I157="","",IF(I157&gt;Config!$B$16,"Yes","No"))</f>
        <v/>
      </c>
      <c r="K157" s="46"/>
    </row>
    <row r="158" customFormat="false" ht="15" hidden="false" customHeight="false" outlineLevel="0" collapsed="false">
      <c r="A158" s="27"/>
      <c r="B158" s="46"/>
      <c r="C158" s="46"/>
      <c r="D158" s="40"/>
      <c r="E158" s="40"/>
      <c r="F158" s="43"/>
      <c r="G158" s="47"/>
      <c r="H158" s="44"/>
      <c r="I158" s="48" t="str">
        <f aca="true">IF(OR(A158="",D158=""),"",MAX(0,NETWORKDAYS(D158,IF(E158="",TODAY(),E158),Bank_Holidays!$A$6:$A$60)-N(F158)))</f>
        <v/>
      </c>
      <c r="J158" s="49" t="str">
        <f aca="false">IF(I158="","",IF(I158&gt;Config!$B$16,"Yes","No"))</f>
        <v/>
      </c>
      <c r="K158" s="46"/>
    </row>
    <row r="159" customFormat="false" ht="15" hidden="false" customHeight="false" outlineLevel="0" collapsed="false">
      <c r="A159" s="27"/>
      <c r="B159" s="46"/>
      <c r="C159" s="46"/>
      <c r="D159" s="40"/>
      <c r="E159" s="40"/>
      <c r="F159" s="43"/>
      <c r="G159" s="47"/>
      <c r="H159" s="44"/>
      <c r="I159" s="48" t="str">
        <f aca="true">IF(OR(A159="",D159=""),"",MAX(0,NETWORKDAYS(D159,IF(E159="",TODAY(),E159),Bank_Holidays!$A$6:$A$60)-N(F159)))</f>
        <v/>
      </c>
      <c r="J159" s="49" t="str">
        <f aca="false">IF(I159="","",IF(I159&gt;Config!$B$16,"Yes","No"))</f>
        <v/>
      </c>
      <c r="K159" s="46"/>
    </row>
    <row r="160" customFormat="false" ht="15" hidden="false" customHeight="false" outlineLevel="0" collapsed="false">
      <c r="A160" s="27"/>
      <c r="B160" s="46"/>
      <c r="C160" s="46"/>
      <c r="D160" s="40"/>
      <c r="E160" s="40"/>
      <c r="F160" s="43"/>
      <c r="G160" s="47"/>
      <c r="H160" s="44"/>
      <c r="I160" s="48" t="str">
        <f aca="true">IF(OR(A160="",D160=""),"",MAX(0,NETWORKDAYS(D160,IF(E160="",TODAY(),E160),Bank_Holidays!$A$6:$A$60)-N(F160)))</f>
        <v/>
      </c>
      <c r="J160" s="49" t="str">
        <f aca="false">IF(I160="","",IF(I160&gt;Config!$B$16,"Yes","No"))</f>
        <v/>
      </c>
      <c r="K160" s="46"/>
    </row>
    <row r="161" customFormat="false" ht="15" hidden="false" customHeight="false" outlineLevel="0" collapsed="false">
      <c r="A161" s="27"/>
      <c r="B161" s="46"/>
      <c r="C161" s="46"/>
      <c r="D161" s="40"/>
      <c r="E161" s="40"/>
      <c r="F161" s="43"/>
      <c r="G161" s="47"/>
      <c r="H161" s="44"/>
      <c r="I161" s="48" t="str">
        <f aca="true">IF(OR(A161="",D161=""),"",MAX(0,NETWORKDAYS(D161,IF(E161="",TODAY(),E161),Bank_Holidays!$A$6:$A$60)-N(F161)))</f>
        <v/>
      </c>
      <c r="J161" s="49" t="str">
        <f aca="false">IF(I161="","",IF(I161&gt;Config!$B$16,"Yes","No"))</f>
        <v/>
      </c>
      <c r="K161" s="46"/>
    </row>
    <row r="162" customFormat="false" ht="15" hidden="false" customHeight="false" outlineLevel="0" collapsed="false">
      <c r="A162" s="27"/>
      <c r="B162" s="46"/>
      <c r="C162" s="46"/>
      <c r="D162" s="40"/>
      <c r="E162" s="40"/>
      <c r="F162" s="43"/>
      <c r="G162" s="47"/>
      <c r="H162" s="44"/>
      <c r="I162" s="48" t="str">
        <f aca="true">IF(OR(A162="",D162=""),"",MAX(0,NETWORKDAYS(D162,IF(E162="",TODAY(),E162),Bank_Holidays!$A$6:$A$60)-N(F162)))</f>
        <v/>
      </c>
      <c r="J162" s="49" t="str">
        <f aca="false">IF(I162="","",IF(I162&gt;Config!$B$16,"Yes","No"))</f>
        <v/>
      </c>
      <c r="K162" s="46"/>
    </row>
    <row r="163" customFormat="false" ht="15" hidden="false" customHeight="false" outlineLevel="0" collapsed="false">
      <c r="A163" s="27"/>
      <c r="B163" s="46"/>
      <c r="C163" s="46"/>
      <c r="D163" s="40"/>
      <c r="E163" s="40"/>
      <c r="F163" s="43"/>
      <c r="G163" s="47"/>
      <c r="H163" s="44"/>
      <c r="I163" s="48" t="str">
        <f aca="true">IF(OR(A163="",D163=""),"",MAX(0,NETWORKDAYS(D163,IF(E163="",TODAY(),E163),Bank_Holidays!$A$6:$A$60)-N(F163)))</f>
        <v/>
      </c>
      <c r="J163" s="49" t="str">
        <f aca="false">IF(I163="","",IF(I163&gt;Config!$B$16,"Yes","No"))</f>
        <v/>
      </c>
      <c r="K163" s="46"/>
    </row>
    <row r="164" customFormat="false" ht="15" hidden="false" customHeight="false" outlineLevel="0" collapsed="false">
      <c r="A164" s="27"/>
      <c r="B164" s="46"/>
      <c r="C164" s="46"/>
      <c r="D164" s="40"/>
      <c r="E164" s="40"/>
      <c r="F164" s="43"/>
      <c r="G164" s="47"/>
      <c r="H164" s="44"/>
      <c r="I164" s="48" t="str">
        <f aca="true">IF(OR(A164="",D164=""),"",MAX(0,NETWORKDAYS(D164,IF(E164="",TODAY(),E164),Bank_Holidays!$A$6:$A$60)-N(F164)))</f>
        <v/>
      </c>
      <c r="J164" s="49" t="str">
        <f aca="false">IF(I164="","",IF(I164&gt;Config!$B$16,"Yes","No"))</f>
        <v/>
      </c>
      <c r="K164" s="46"/>
    </row>
    <row r="165" customFormat="false" ht="15" hidden="false" customHeight="false" outlineLevel="0" collapsed="false">
      <c r="A165" s="27"/>
      <c r="B165" s="46"/>
      <c r="C165" s="46"/>
      <c r="D165" s="40"/>
      <c r="E165" s="40"/>
      <c r="F165" s="43"/>
      <c r="G165" s="47"/>
      <c r="H165" s="44"/>
      <c r="I165" s="48" t="str">
        <f aca="true">IF(OR(A165="",D165=""),"",MAX(0,NETWORKDAYS(D165,IF(E165="",TODAY(),E165),Bank_Holidays!$A$6:$A$60)-N(F165)))</f>
        <v/>
      </c>
      <c r="J165" s="49" t="str">
        <f aca="false">IF(I165="","",IF(I165&gt;Config!$B$16,"Yes","No"))</f>
        <v/>
      </c>
      <c r="K165" s="46"/>
    </row>
    <row r="166" customFormat="false" ht="15" hidden="false" customHeight="false" outlineLevel="0" collapsed="false">
      <c r="A166" s="27"/>
      <c r="B166" s="46"/>
      <c r="C166" s="46"/>
      <c r="D166" s="40"/>
      <c r="E166" s="40"/>
      <c r="F166" s="43"/>
      <c r="G166" s="47"/>
      <c r="H166" s="44"/>
      <c r="I166" s="48" t="str">
        <f aca="true">IF(OR(A166="",D166=""),"",MAX(0,NETWORKDAYS(D166,IF(E166="",TODAY(),E166),Bank_Holidays!$A$6:$A$60)-N(F166)))</f>
        <v/>
      </c>
      <c r="J166" s="49" t="str">
        <f aca="false">IF(I166="","",IF(I166&gt;Config!$B$16,"Yes","No"))</f>
        <v/>
      </c>
      <c r="K166" s="46"/>
    </row>
    <row r="167" customFormat="false" ht="15" hidden="false" customHeight="false" outlineLevel="0" collapsed="false">
      <c r="A167" s="27"/>
      <c r="B167" s="46"/>
      <c r="C167" s="46"/>
      <c r="D167" s="40"/>
      <c r="E167" s="40"/>
      <c r="F167" s="43"/>
      <c r="G167" s="47"/>
      <c r="H167" s="44"/>
      <c r="I167" s="48" t="str">
        <f aca="true">IF(OR(A167="",D167=""),"",MAX(0,NETWORKDAYS(D167,IF(E167="",TODAY(),E167),Bank_Holidays!$A$6:$A$60)-N(F167)))</f>
        <v/>
      </c>
      <c r="J167" s="49" t="str">
        <f aca="false">IF(I167="","",IF(I167&gt;Config!$B$16,"Yes","No"))</f>
        <v/>
      </c>
      <c r="K167" s="46"/>
    </row>
    <row r="168" customFormat="false" ht="15" hidden="false" customHeight="false" outlineLevel="0" collapsed="false">
      <c r="A168" s="27"/>
      <c r="B168" s="46"/>
      <c r="C168" s="46"/>
      <c r="D168" s="40"/>
      <c r="E168" s="40"/>
      <c r="F168" s="43"/>
      <c r="G168" s="47"/>
      <c r="H168" s="44"/>
      <c r="I168" s="48" t="str">
        <f aca="true">IF(OR(A168="",D168=""),"",MAX(0,NETWORKDAYS(D168,IF(E168="",TODAY(),E168),Bank_Holidays!$A$6:$A$60)-N(F168)))</f>
        <v/>
      </c>
      <c r="J168" s="49" t="str">
        <f aca="false">IF(I168="","",IF(I168&gt;Config!$B$16,"Yes","No"))</f>
        <v/>
      </c>
      <c r="K168" s="46"/>
    </row>
    <row r="169" customFormat="false" ht="15" hidden="false" customHeight="false" outlineLevel="0" collapsed="false">
      <c r="A169" s="27"/>
      <c r="B169" s="46"/>
      <c r="C169" s="46"/>
      <c r="D169" s="40"/>
      <c r="E169" s="40"/>
      <c r="F169" s="43"/>
      <c r="G169" s="47"/>
      <c r="H169" s="44"/>
      <c r="I169" s="48" t="str">
        <f aca="true">IF(OR(A169="",D169=""),"",MAX(0,NETWORKDAYS(D169,IF(E169="",TODAY(),E169),Bank_Holidays!$A$6:$A$60)-N(F169)))</f>
        <v/>
      </c>
      <c r="J169" s="49" t="str">
        <f aca="false">IF(I169="","",IF(I169&gt;Config!$B$16,"Yes","No"))</f>
        <v/>
      </c>
      <c r="K169" s="46"/>
    </row>
    <row r="170" customFormat="false" ht="15" hidden="false" customHeight="false" outlineLevel="0" collapsed="false">
      <c r="A170" s="27"/>
      <c r="B170" s="46"/>
      <c r="C170" s="46"/>
      <c r="D170" s="40"/>
      <c r="E170" s="40"/>
      <c r="F170" s="43"/>
      <c r="G170" s="47"/>
      <c r="H170" s="44"/>
      <c r="I170" s="48" t="str">
        <f aca="true">IF(OR(A170="",D170=""),"",MAX(0,NETWORKDAYS(D170,IF(E170="",TODAY(),E170),Bank_Holidays!$A$6:$A$60)-N(F170)))</f>
        <v/>
      </c>
      <c r="J170" s="49" t="str">
        <f aca="false">IF(I170="","",IF(I170&gt;Config!$B$16,"Yes","No"))</f>
        <v/>
      </c>
      <c r="K170" s="46"/>
    </row>
    <row r="171" customFormat="false" ht="15" hidden="false" customHeight="false" outlineLevel="0" collapsed="false">
      <c r="A171" s="27"/>
      <c r="B171" s="46"/>
      <c r="C171" s="46"/>
      <c r="D171" s="40"/>
      <c r="E171" s="40"/>
      <c r="F171" s="43"/>
      <c r="G171" s="47"/>
      <c r="H171" s="44"/>
      <c r="I171" s="48" t="str">
        <f aca="true">IF(OR(A171="",D171=""),"",MAX(0,NETWORKDAYS(D171,IF(E171="",TODAY(),E171),Bank_Holidays!$A$6:$A$60)-N(F171)))</f>
        <v/>
      </c>
      <c r="J171" s="49" t="str">
        <f aca="false">IF(I171="","",IF(I171&gt;Config!$B$16,"Yes","No"))</f>
        <v/>
      </c>
      <c r="K171" s="46"/>
    </row>
    <row r="172" customFormat="false" ht="15" hidden="false" customHeight="false" outlineLevel="0" collapsed="false">
      <c r="A172" s="27"/>
      <c r="B172" s="46"/>
      <c r="C172" s="46"/>
      <c r="D172" s="40"/>
      <c r="E172" s="40"/>
      <c r="F172" s="43"/>
      <c r="G172" s="47"/>
      <c r="H172" s="44"/>
      <c r="I172" s="48" t="str">
        <f aca="true">IF(OR(A172="",D172=""),"",MAX(0,NETWORKDAYS(D172,IF(E172="",TODAY(),E172),Bank_Holidays!$A$6:$A$60)-N(F172)))</f>
        <v/>
      </c>
      <c r="J172" s="49" t="str">
        <f aca="false">IF(I172="","",IF(I172&gt;Config!$B$16,"Yes","No"))</f>
        <v/>
      </c>
      <c r="K172" s="46"/>
    </row>
    <row r="173" customFormat="false" ht="15" hidden="false" customHeight="false" outlineLevel="0" collapsed="false">
      <c r="A173" s="27"/>
      <c r="B173" s="46"/>
      <c r="C173" s="46"/>
      <c r="D173" s="40"/>
      <c r="E173" s="40"/>
      <c r="F173" s="43"/>
      <c r="G173" s="47"/>
      <c r="H173" s="44"/>
      <c r="I173" s="48" t="str">
        <f aca="true">IF(OR(A173="",D173=""),"",MAX(0,NETWORKDAYS(D173,IF(E173="",TODAY(),E173),Bank_Holidays!$A$6:$A$60)-N(F173)))</f>
        <v/>
      </c>
      <c r="J173" s="49" t="str">
        <f aca="false">IF(I173="","",IF(I173&gt;Config!$B$16,"Yes","No"))</f>
        <v/>
      </c>
      <c r="K173" s="46"/>
    </row>
    <row r="174" customFormat="false" ht="15" hidden="false" customHeight="false" outlineLevel="0" collapsed="false">
      <c r="A174" s="27"/>
      <c r="B174" s="46"/>
      <c r="C174" s="46"/>
      <c r="D174" s="40"/>
      <c r="E174" s="40"/>
      <c r="F174" s="43"/>
      <c r="G174" s="47"/>
      <c r="H174" s="44"/>
      <c r="I174" s="48" t="str">
        <f aca="true">IF(OR(A174="",D174=""),"",MAX(0,NETWORKDAYS(D174,IF(E174="",TODAY(),E174),Bank_Holidays!$A$6:$A$60)-N(F174)))</f>
        <v/>
      </c>
      <c r="J174" s="49" t="str">
        <f aca="false">IF(I174="","",IF(I174&gt;Config!$B$16,"Yes","No"))</f>
        <v/>
      </c>
      <c r="K174" s="46"/>
    </row>
    <row r="175" customFormat="false" ht="15" hidden="false" customHeight="false" outlineLevel="0" collapsed="false">
      <c r="A175" s="27"/>
      <c r="B175" s="46"/>
      <c r="C175" s="46"/>
      <c r="D175" s="40"/>
      <c r="E175" s="40"/>
      <c r="F175" s="43"/>
      <c r="G175" s="47"/>
      <c r="H175" s="44"/>
      <c r="I175" s="48" t="str">
        <f aca="true">IF(OR(A175="",D175=""),"",MAX(0,NETWORKDAYS(D175,IF(E175="",TODAY(),E175),Bank_Holidays!$A$6:$A$60)-N(F175)))</f>
        <v/>
      </c>
      <c r="J175" s="49" t="str">
        <f aca="false">IF(I175="","",IF(I175&gt;Config!$B$16,"Yes","No"))</f>
        <v/>
      </c>
      <c r="K175" s="46"/>
    </row>
    <row r="176" customFormat="false" ht="15" hidden="false" customHeight="false" outlineLevel="0" collapsed="false">
      <c r="A176" s="27"/>
      <c r="B176" s="46"/>
      <c r="C176" s="46"/>
      <c r="D176" s="40"/>
      <c r="E176" s="40"/>
      <c r="F176" s="43"/>
      <c r="G176" s="47"/>
      <c r="H176" s="44"/>
      <c r="I176" s="48" t="str">
        <f aca="true">IF(OR(A176="",D176=""),"",MAX(0,NETWORKDAYS(D176,IF(E176="",TODAY(),E176),Bank_Holidays!$A$6:$A$60)-N(F176)))</f>
        <v/>
      </c>
      <c r="J176" s="49" t="str">
        <f aca="false">IF(I176="","",IF(I176&gt;Config!$B$16,"Yes","No"))</f>
        <v/>
      </c>
      <c r="K176" s="46"/>
    </row>
    <row r="177" customFormat="false" ht="15" hidden="false" customHeight="false" outlineLevel="0" collapsed="false">
      <c r="A177" s="27"/>
      <c r="B177" s="46"/>
      <c r="C177" s="46"/>
      <c r="D177" s="40"/>
      <c r="E177" s="40"/>
      <c r="F177" s="43"/>
      <c r="G177" s="47"/>
      <c r="H177" s="44"/>
      <c r="I177" s="48" t="str">
        <f aca="true">IF(OR(A177="",D177=""),"",MAX(0,NETWORKDAYS(D177,IF(E177="",TODAY(),E177),Bank_Holidays!$A$6:$A$60)-N(F177)))</f>
        <v/>
      </c>
      <c r="J177" s="49" t="str">
        <f aca="false">IF(I177="","",IF(I177&gt;Config!$B$16,"Yes","No"))</f>
        <v/>
      </c>
      <c r="K177" s="46"/>
    </row>
    <row r="178" customFormat="false" ht="15" hidden="false" customHeight="false" outlineLevel="0" collapsed="false">
      <c r="A178" s="27"/>
      <c r="B178" s="46"/>
      <c r="C178" s="46"/>
      <c r="D178" s="40"/>
      <c r="E178" s="40"/>
      <c r="F178" s="43"/>
      <c r="G178" s="47"/>
      <c r="H178" s="44"/>
      <c r="I178" s="48" t="str">
        <f aca="true">IF(OR(A178="",D178=""),"",MAX(0,NETWORKDAYS(D178,IF(E178="",TODAY(),E178),Bank_Holidays!$A$6:$A$60)-N(F178)))</f>
        <v/>
      </c>
      <c r="J178" s="49" t="str">
        <f aca="false">IF(I178="","",IF(I178&gt;Config!$B$16,"Yes","No"))</f>
        <v/>
      </c>
      <c r="K178" s="46"/>
    </row>
    <row r="179" customFormat="false" ht="15" hidden="false" customHeight="false" outlineLevel="0" collapsed="false">
      <c r="A179" s="27"/>
      <c r="B179" s="46"/>
      <c r="C179" s="46"/>
      <c r="D179" s="40"/>
      <c r="E179" s="40"/>
      <c r="F179" s="43"/>
      <c r="G179" s="47"/>
      <c r="H179" s="44"/>
      <c r="I179" s="48" t="str">
        <f aca="true">IF(OR(A179="",D179=""),"",MAX(0,NETWORKDAYS(D179,IF(E179="",TODAY(),E179),Bank_Holidays!$A$6:$A$60)-N(F179)))</f>
        <v/>
      </c>
      <c r="J179" s="49" t="str">
        <f aca="false">IF(I179="","",IF(I179&gt;Config!$B$16,"Yes","No"))</f>
        <v/>
      </c>
      <c r="K179" s="46"/>
    </row>
    <row r="180" customFormat="false" ht="15" hidden="false" customHeight="false" outlineLevel="0" collapsed="false">
      <c r="A180" s="27"/>
      <c r="B180" s="46"/>
      <c r="C180" s="46"/>
      <c r="D180" s="40"/>
      <c r="E180" s="40"/>
      <c r="F180" s="43"/>
      <c r="G180" s="47"/>
      <c r="H180" s="44"/>
      <c r="I180" s="48" t="str">
        <f aca="true">IF(OR(A180="",D180=""),"",MAX(0,NETWORKDAYS(D180,IF(E180="",TODAY(),E180),Bank_Holidays!$A$6:$A$60)-N(F180)))</f>
        <v/>
      </c>
      <c r="J180" s="49" t="str">
        <f aca="false">IF(I180="","",IF(I180&gt;Config!$B$16,"Yes","No"))</f>
        <v/>
      </c>
      <c r="K180" s="46"/>
    </row>
    <row r="181" customFormat="false" ht="15" hidden="false" customHeight="false" outlineLevel="0" collapsed="false">
      <c r="A181" s="27"/>
      <c r="B181" s="46"/>
      <c r="C181" s="46"/>
      <c r="D181" s="40"/>
      <c r="E181" s="40"/>
      <c r="F181" s="43"/>
      <c r="G181" s="47"/>
      <c r="H181" s="44"/>
      <c r="I181" s="48" t="str">
        <f aca="true">IF(OR(A181="",D181=""),"",MAX(0,NETWORKDAYS(D181,IF(E181="",TODAY(),E181),Bank_Holidays!$A$6:$A$60)-N(F181)))</f>
        <v/>
      </c>
      <c r="J181" s="49" t="str">
        <f aca="false">IF(I181="","",IF(I181&gt;Config!$B$16,"Yes","No"))</f>
        <v/>
      </c>
      <c r="K181" s="46"/>
    </row>
    <row r="182" customFormat="false" ht="15" hidden="false" customHeight="false" outlineLevel="0" collapsed="false">
      <c r="A182" s="27"/>
      <c r="B182" s="46"/>
      <c r="C182" s="46"/>
      <c r="D182" s="40"/>
      <c r="E182" s="40"/>
      <c r="F182" s="43"/>
      <c r="G182" s="47"/>
      <c r="H182" s="44"/>
      <c r="I182" s="48" t="str">
        <f aca="true">IF(OR(A182="",D182=""),"",MAX(0,NETWORKDAYS(D182,IF(E182="",TODAY(),E182),Bank_Holidays!$A$6:$A$60)-N(F182)))</f>
        <v/>
      </c>
      <c r="J182" s="49" t="str">
        <f aca="false">IF(I182="","",IF(I182&gt;Config!$B$16,"Yes","No"))</f>
        <v/>
      </c>
      <c r="K182" s="46"/>
    </row>
    <row r="183" customFormat="false" ht="15" hidden="false" customHeight="false" outlineLevel="0" collapsed="false">
      <c r="A183" s="27"/>
      <c r="B183" s="46"/>
      <c r="C183" s="46"/>
      <c r="D183" s="40"/>
      <c r="E183" s="40"/>
      <c r="F183" s="43"/>
      <c r="G183" s="47"/>
      <c r="H183" s="44"/>
      <c r="I183" s="48" t="str">
        <f aca="true">IF(OR(A183="",D183=""),"",MAX(0,NETWORKDAYS(D183,IF(E183="",TODAY(),E183),Bank_Holidays!$A$6:$A$60)-N(F183)))</f>
        <v/>
      </c>
      <c r="J183" s="49" t="str">
        <f aca="false">IF(I183="","",IF(I183&gt;Config!$B$16,"Yes","No"))</f>
        <v/>
      </c>
      <c r="K183" s="46"/>
    </row>
    <row r="184" customFormat="false" ht="15" hidden="false" customHeight="false" outlineLevel="0" collapsed="false">
      <c r="A184" s="27"/>
      <c r="B184" s="46"/>
      <c r="C184" s="46"/>
      <c r="D184" s="40"/>
      <c r="E184" s="40"/>
      <c r="F184" s="43"/>
      <c r="G184" s="47"/>
      <c r="H184" s="44"/>
      <c r="I184" s="48" t="str">
        <f aca="true">IF(OR(A184="",D184=""),"",MAX(0,NETWORKDAYS(D184,IF(E184="",TODAY(),E184),Bank_Holidays!$A$6:$A$60)-N(F184)))</f>
        <v/>
      </c>
      <c r="J184" s="49" t="str">
        <f aca="false">IF(I184="","",IF(I184&gt;Config!$B$16,"Yes","No"))</f>
        <v/>
      </c>
      <c r="K184" s="46"/>
    </row>
    <row r="185" customFormat="false" ht="15" hidden="false" customHeight="false" outlineLevel="0" collapsed="false">
      <c r="A185" s="27"/>
      <c r="B185" s="46"/>
      <c r="C185" s="46"/>
      <c r="D185" s="40"/>
      <c r="E185" s="40"/>
      <c r="F185" s="43"/>
      <c r="G185" s="47"/>
      <c r="H185" s="44"/>
      <c r="I185" s="48" t="str">
        <f aca="true">IF(OR(A185="",D185=""),"",MAX(0,NETWORKDAYS(D185,IF(E185="",TODAY(),E185),Bank_Holidays!$A$6:$A$60)-N(F185)))</f>
        <v/>
      </c>
      <c r="J185" s="49" t="str">
        <f aca="false">IF(I185="","",IF(I185&gt;Config!$B$16,"Yes","No"))</f>
        <v/>
      </c>
      <c r="K185" s="46"/>
    </row>
    <row r="186" customFormat="false" ht="15" hidden="false" customHeight="false" outlineLevel="0" collapsed="false">
      <c r="A186" s="27"/>
      <c r="B186" s="46"/>
      <c r="C186" s="46"/>
      <c r="D186" s="40"/>
      <c r="E186" s="40"/>
      <c r="F186" s="43"/>
      <c r="G186" s="47"/>
      <c r="H186" s="44"/>
      <c r="I186" s="48" t="str">
        <f aca="true">IF(OR(A186="",D186=""),"",MAX(0,NETWORKDAYS(D186,IF(E186="",TODAY(),E186),Bank_Holidays!$A$6:$A$60)-N(F186)))</f>
        <v/>
      </c>
      <c r="J186" s="49" t="str">
        <f aca="false">IF(I186="","",IF(I186&gt;Config!$B$16,"Yes","No"))</f>
        <v/>
      </c>
      <c r="K186" s="46"/>
    </row>
    <row r="187" customFormat="false" ht="15" hidden="false" customHeight="false" outlineLevel="0" collapsed="false">
      <c r="A187" s="27"/>
      <c r="B187" s="46"/>
      <c r="C187" s="46"/>
      <c r="D187" s="40"/>
      <c r="E187" s="40"/>
      <c r="F187" s="43"/>
      <c r="G187" s="47"/>
      <c r="H187" s="44"/>
      <c r="I187" s="48" t="str">
        <f aca="true">IF(OR(A187="",D187=""),"",MAX(0,NETWORKDAYS(D187,IF(E187="",TODAY(),E187),Bank_Holidays!$A$6:$A$60)-N(F187)))</f>
        <v/>
      </c>
      <c r="J187" s="49" t="str">
        <f aca="false">IF(I187="","",IF(I187&gt;Config!$B$16,"Yes","No"))</f>
        <v/>
      </c>
      <c r="K187" s="46"/>
    </row>
    <row r="188" customFormat="false" ht="15" hidden="false" customHeight="false" outlineLevel="0" collapsed="false">
      <c r="A188" s="27"/>
      <c r="B188" s="46"/>
      <c r="C188" s="46"/>
      <c r="D188" s="40"/>
      <c r="E188" s="40"/>
      <c r="F188" s="43"/>
      <c r="G188" s="47"/>
      <c r="H188" s="44"/>
      <c r="I188" s="48" t="str">
        <f aca="true">IF(OR(A188="",D188=""),"",MAX(0,NETWORKDAYS(D188,IF(E188="",TODAY(),E188),Bank_Holidays!$A$6:$A$60)-N(F188)))</f>
        <v/>
      </c>
      <c r="J188" s="49" t="str">
        <f aca="false">IF(I188="","",IF(I188&gt;Config!$B$16,"Yes","No"))</f>
        <v/>
      </c>
      <c r="K188" s="46"/>
    </row>
    <row r="189" customFormat="false" ht="15" hidden="false" customHeight="false" outlineLevel="0" collapsed="false">
      <c r="A189" s="27"/>
      <c r="B189" s="46"/>
      <c r="C189" s="46"/>
      <c r="D189" s="40"/>
      <c r="E189" s="40"/>
      <c r="F189" s="43"/>
      <c r="G189" s="47"/>
      <c r="H189" s="44"/>
      <c r="I189" s="48" t="str">
        <f aca="true">IF(OR(A189="",D189=""),"",MAX(0,NETWORKDAYS(D189,IF(E189="",TODAY(),E189),Bank_Holidays!$A$6:$A$60)-N(F189)))</f>
        <v/>
      </c>
      <c r="J189" s="49" t="str">
        <f aca="false">IF(I189="","",IF(I189&gt;Config!$B$16,"Yes","No"))</f>
        <v/>
      </c>
      <c r="K189" s="46"/>
    </row>
    <row r="190" customFormat="false" ht="15" hidden="false" customHeight="false" outlineLevel="0" collapsed="false">
      <c r="A190" s="27"/>
      <c r="B190" s="46"/>
      <c r="C190" s="46"/>
      <c r="D190" s="40"/>
      <c r="E190" s="40"/>
      <c r="F190" s="43"/>
      <c r="G190" s="47"/>
      <c r="H190" s="44"/>
      <c r="I190" s="48" t="str">
        <f aca="true">IF(OR(A190="",D190=""),"",MAX(0,NETWORKDAYS(D190,IF(E190="",TODAY(),E190),Bank_Holidays!$A$6:$A$60)-N(F190)))</f>
        <v/>
      </c>
      <c r="J190" s="49" t="str">
        <f aca="false">IF(I190="","",IF(I190&gt;Config!$B$16,"Yes","No"))</f>
        <v/>
      </c>
      <c r="K190" s="46"/>
    </row>
    <row r="191" customFormat="false" ht="15" hidden="false" customHeight="false" outlineLevel="0" collapsed="false">
      <c r="A191" s="27"/>
      <c r="B191" s="46"/>
      <c r="C191" s="46"/>
      <c r="D191" s="40"/>
      <c r="E191" s="40"/>
      <c r="F191" s="43"/>
      <c r="G191" s="47"/>
      <c r="H191" s="44"/>
      <c r="I191" s="48" t="str">
        <f aca="true">IF(OR(A191="",D191=""),"",MAX(0,NETWORKDAYS(D191,IF(E191="",TODAY(),E191),Bank_Holidays!$A$6:$A$60)-N(F191)))</f>
        <v/>
      </c>
      <c r="J191" s="49" t="str">
        <f aca="false">IF(I191="","",IF(I191&gt;Config!$B$16,"Yes","No"))</f>
        <v/>
      </c>
      <c r="K191" s="46"/>
    </row>
    <row r="192" customFormat="false" ht="15" hidden="false" customHeight="false" outlineLevel="0" collapsed="false">
      <c r="A192" s="27"/>
      <c r="B192" s="46"/>
      <c r="C192" s="46"/>
      <c r="D192" s="40"/>
      <c r="E192" s="40"/>
      <c r="F192" s="43"/>
      <c r="G192" s="47"/>
      <c r="H192" s="44"/>
      <c r="I192" s="48" t="str">
        <f aca="true">IF(OR(A192="",D192=""),"",MAX(0,NETWORKDAYS(D192,IF(E192="",TODAY(),E192),Bank_Holidays!$A$6:$A$60)-N(F192)))</f>
        <v/>
      </c>
      <c r="J192" s="49" t="str">
        <f aca="false">IF(I192="","",IF(I192&gt;Config!$B$16,"Yes","No"))</f>
        <v/>
      </c>
      <c r="K192" s="46"/>
    </row>
    <row r="193" customFormat="false" ht="15" hidden="false" customHeight="false" outlineLevel="0" collapsed="false">
      <c r="A193" s="27"/>
      <c r="B193" s="46"/>
      <c r="C193" s="46"/>
      <c r="D193" s="40"/>
      <c r="E193" s="40"/>
      <c r="F193" s="43"/>
      <c r="G193" s="47"/>
      <c r="H193" s="44"/>
      <c r="I193" s="48" t="str">
        <f aca="true">IF(OR(A193="",D193=""),"",MAX(0,NETWORKDAYS(D193,IF(E193="",TODAY(),E193),Bank_Holidays!$A$6:$A$60)-N(F193)))</f>
        <v/>
      </c>
      <c r="J193" s="49" t="str">
        <f aca="false">IF(I193="","",IF(I193&gt;Config!$B$16,"Yes","No"))</f>
        <v/>
      </c>
      <c r="K193" s="46"/>
    </row>
    <row r="194" customFormat="false" ht="15" hidden="false" customHeight="false" outlineLevel="0" collapsed="false">
      <c r="A194" s="27"/>
      <c r="B194" s="46"/>
      <c r="C194" s="46"/>
      <c r="D194" s="40"/>
      <c r="E194" s="40"/>
      <c r="F194" s="43"/>
      <c r="G194" s="47"/>
      <c r="H194" s="44"/>
      <c r="I194" s="48" t="str">
        <f aca="true">IF(OR(A194="",D194=""),"",MAX(0,NETWORKDAYS(D194,IF(E194="",TODAY(),E194),Bank_Holidays!$A$6:$A$60)-N(F194)))</f>
        <v/>
      </c>
      <c r="J194" s="49" t="str">
        <f aca="false">IF(I194="","",IF(I194&gt;Config!$B$16,"Yes","No"))</f>
        <v/>
      </c>
      <c r="K194" s="46"/>
    </row>
    <row r="195" customFormat="false" ht="15" hidden="false" customHeight="false" outlineLevel="0" collapsed="false">
      <c r="A195" s="27"/>
      <c r="B195" s="46"/>
      <c r="C195" s="46"/>
      <c r="D195" s="40"/>
      <c r="E195" s="40"/>
      <c r="F195" s="43"/>
      <c r="G195" s="47"/>
      <c r="H195" s="44"/>
      <c r="I195" s="48" t="str">
        <f aca="true">IF(OR(A195="",D195=""),"",MAX(0,NETWORKDAYS(D195,IF(E195="",TODAY(),E195),Bank_Holidays!$A$6:$A$60)-N(F195)))</f>
        <v/>
      </c>
      <c r="J195" s="49" t="str">
        <f aca="false">IF(I195="","",IF(I195&gt;Config!$B$16,"Yes","No"))</f>
        <v/>
      </c>
      <c r="K195" s="46"/>
    </row>
    <row r="196" customFormat="false" ht="15" hidden="false" customHeight="false" outlineLevel="0" collapsed="false">
      <c r="A196" s="27"/>
      <c r="B196" s="46"/>
      <c r="C196" s="46"/>
      <c r="D196" s="40"/>
      <c r="E196" s="40"/>
      <c r="F196" s="43"/>
      <c r="G196" s="47"/>
      <c r="H196" s="44"/>
      <c r="I196" s="48" t="str">
        <f aca="true">IF(OR(A196="",D196=""),"",MAX(0,NETWORKDAYS(D196,IF(E196="",TODAY(),E196),Bank_Holidays!$A$6:$A$60)-N(F196)))</f>
        <v/>
      </c>
      <c r="J196" s="49" t="str">
        <f aca="false">IF(I196="","",IF(I196&gt;Config!$B$16,"Yes","No"))</f>
        <v/>
      </c>
      <c r="K196" s="46"/>
    </row>
    <row r="197" customFormat="false" ht="15" hidden="false" customHeight="false" outlineLevel="0" collapsed="false">
      <c r="A197" s="27"/>
      <c r="B197" s="46"/>
      <c r="C197" s="46"/>
      <c r="D197" s="40"/>
      <c r="E197" s="40"/>
      <c r="F197" s="43"/>
      <c r="G197" s="47"/>
      <c r="H197" s="44"/>
      <c r="I197" s="48" t="str">
        <f aca="true">IF(OR(A197="",D197=""),"",MAX(0,NETWORKDAYS(D197,IF(E197="",TODAY(),E197),Bank_Holidays!$A$6:$A$60)-N(F197)))</f>
        <v/>
      </c>
      <c r="J197" s="49" t="str">
        <f aca="false">IF(I197="","",IF(I197&gt;Config!$B$16,"Yes","No"))</f>
        <v/>
      </c>
      <c r="K197" s="46"/>
    </row>
    <row r="198" customFormat="false" ht="15" hidden="false" customHeight="false" outlineLevel="0" collapsed="false">
      <c r="A198" s="27"/>
      <c r="B198" s="46"/>
      <c r="C198" s="46"/>
      <c r="D198" s="40"/>
      <c r="E198" s="40"/>
      <c r="F198" s="43"/>
      <c r="G198" s="47"/>
      <c r="H198" s="44"/>
      <c r="I198" s="48" t="str">
        <f aca="true">IF(OR(A198="",D198=""),"",MAX(0,NETWORKDAYS(D198,IF(E198="",TODAY(),E198),Bank_Holidays!$A$6:$A$60)-N(F198)))</f>
        <v/>
      </c>
      <c r="J198" s="49" t="str">
        <f aca="false">IF(I198="","",IF(I198&gt;Config!$B$16,"Yes","No"))</f>
        <v/>
      </c>
      <c r="K198" s="46"/>
    </row>
    <row r="199" customFormat="false" ht="15" hidden="false" customHeight="false" outlineLevel="0" collapsed="false">
      <c r="A199" s="27"/>
      <c r="B199" s="46"/>
      <c r="C199" s="46"/>
      <c r="D199" s="40"/>
      <c r="E199" s="40"/>
      <c r="F199" s="43"/>
      <c r="G199" s="47"/>
      <c r="H199" s="44"/>
      <c r="I199" s="48" t="str">
        <f aca="true">IF(OR(A199="",D199=""),"",MAX(0,NETWORKDAYS(D199,IF(E199="",TODAY(),E199),Bank_Holidays!$A$6:$A$60)-N(F199)))</f>
        <v/>
      </c>
      <c r="J199" s="49" t="str">
        <f aca="false">IF(I199="","",IF(I199&gt;Config!$B$16,"Yes","No"))</f>
        <v/>
      </c>
      <c r="K199" s="46"/>
    </row>
    <row r="200" customFormat="false" ht="15" hidden="false" customHeight="false" outlineLevel="0" collapsed="false">
      <c r="A200" s="27"/>
      <c r="B200" s="46"/>
      <c r="C200" s="46"/>
      <c r="D200" s="40"/>
      <c r="E200" s="40"/>
      <c r="F200" s="43"/>
      <c r="G200" s="47"/>
      <c r="H200" s="44"/>
      <c r="I200" s="48" t="str">
        <f aca="true">IF(OR(A200="",D200=""),"",MAX(0,NETWORKDAYS(D200,IF(E200="",TODAY(),E200),Bank_Holidays!$A$6:$A$60)-N(F200)))</f>
        <v/>
      </c>
      <c r="J200" s="49" t="str">
        <f aca="false">IF(I200="","",IF(I200&gt;Config!$B$16,"Yes","No"))</f>
        <v/>
      </c>
      <c r="K200" s="46"/>
    </row>
    <row r="201" customFormat="false" ht="15" hidden="false" customHeight="false" outlineLevel="0" collapsed="false">
      <c r="A201" s="27"/>
      <c r="B201" s="46"/>
      <c r="C201" s="46"/>
      <c r="D201" s="40"/>
      <c r="E201" s="40"/>
      <c r="F201" s="43"/>
      <c r="G201" s="47"/>
      <c r="H201" s="44"/>
      <c r="I201" s="48" t="str">
        <f aca="true">IF(OR(A201="",D201=""),"",MAX(0,NETWORKDAYS(D201,IF(E201="",TODAY(),E201),Bank_Holidays!$A$6:$A$60)-N(F201)))</f>
        <v/>
      </c>
      <c r="J201" s="49" t="str">
        <f aca="false">IF(I201="","",IF(I201&gt;Config!$B$16,"Yes","No"))</f>
        <v/>
      </c>
      <c r="K201" s="46"/>
    </row>
    <row r="202" customFormat="false" ht="15" hidden="false" customHeight="false" outlineLevel="0" collapsed="false">
      <c r="A202" s="27"/>
      <c r="B202" s="46"/>
      <c r="C202" s="46"/>
      <c r="D202" s="40"/>
      <c r="E202" s="40"/>
      <c r="F202" s="43"/>
      <c r="G202" s="47"/>
      <c r="H202" s="44"/>
      <c r="I202" s="48" t="str">
        <f aca="true">IF(OR(A202="",D202=""),"",MAX(0,NETWORKDAYS(D202,IF(E202="",TODAY(),E202),Bank_Holidays!$A$6:$A$60)-N(F202)))</f>
        <v/>
      </c>
      <c r="J202" s="49" t="str">
        <f aca="false">IF(I202="","",IF(I202&gt;Config!$B$16,"Yes","No"))</f>
        <v/>
      </c>
      <c r="K202" s="46"/>
    </row>
    <row r="203" customFormat="false" ht="15" hidden="false" customHeight="false" outlineLevel="0" collapsed="false">
      <c r="A203" s="27"/>
      <c r="B203" s="46"/>
      <c r="C203" s="46"/>
      <c r="D203" s="40"/>
      <c r="E203" s="40"/>
      <c r="F203" s="43"/>
      <c r="G203" s="47"/>
      <c r="H203" s="44"/>
      <c r="I203" s="48" t="str">
        <f aca="true">IF(OR(A203="",D203=""),"",MAX(0,NETWORKDAYS(D203,IF(E203="",TODAY(),E203),Bank_Holidays!$A$6:$A$60)-N(F203)))</f>
        <v/>
      </c>
      <c r="J203" s="49" t="str">
        <f aca="false">IF(I203="","",IF(I203&gt;Config!$B$16,"Yes","No"))</f>
        <v/>
      </c>
      <c r="K203" s="46"/>
    </row>
    <row r="204" customFormat="false" ht="15" hidden="false" customHeight="false" outlineLevel="0" collapsed="false">
      <c r="A204" s="27"/>
      <c r="B204" s="46"/>
      <c r="C204" s="46"/>
      <c r="D204" s="40"/>
      <c r="E204" s="40"/>
      <c r="F204" s="43"/>
      <c r="G204" s="47"/>
      <c r="H204" s="44"/>
      <c r="I204" s="48" t="str">
        <f aca="true">IF(OR(A204="",D204=""),"",MAX(0,NETWORKDAYS(D204,IF(E204="",TODAY(),E204),Bank_Holidays!$A$6:$A$60)-N(F204)))</f>
        <v/>
      </c>
      <c r="J204" s="49" t="str">
        <f aca="false">IF(I204="","",IF(I204&gt;Config!$B$16,"Yes","No"))</f>
        <v/>
      </c>
      <c r="K204" s="46"/>
    </row>
    <row r="205" customFormat="false" ht="15" hidden="false" customHeight="false" outlineLevel="0" collapsed="false">
      <c r="A205" s="27"/>
      <c r="B205" s="46"/>
      <c r="C205" s="46"/>
      <c r="D205" s="40"/>
      <c r="E205" s="40"/>
      <c r="F205" s="43"/>
      <c r="G205" s="47"/>
      <c r="H205" s="44"/>
      <c r="I205" s="48" t="str">
        <f aca="true">IF(OR(A205="",D205=""),"",MAX(0,NETWORKDAYS(D205,IF(E205="",TODAY(),E205),Bank_Holidays!$A$6:$A$60)-N(F205)))</f>
        <v/>
      </c>
      <c r="J205" s="49" t="str">
        <f aca="false">IF(I205="","",IF(I205&gt;Config!$B$16,"Yes","No"))</f>
        <v/>
      </c>
      <c r="K205" s="46"/>
    </row>
    <row r="206" customFormat="false" ht="15" hidden="false" customHeight="false" outlineLevel="0" collapsed="false">
      <c r="A206" s="27"/>
      <c r="B206" s="46"/>
      <c r="C206" s="46"/>
      <c r="D206" s="40"/>
      <c r="E206" s="40"/>
      <c r="F206" s="43"/>
      <c r="G206" s="47"/>
      <c r="H206" s="44"/>
      <c r="I206" s="48" t="str">
        <f aca="true">IF(OR(A206="",D206=""),"",MAX(0,NETWORKDAYS(D206,IF(E206="",TODAY(),E206),Bank_Holidays!$A$6:$A$60)-N(F206)))</f>
        <v/>
      </c>
      <c r="J206" s="49" t="str">
        <f aca="false">IF(I206="","",IF(I206&gt;Config!$B$16,"Yes","No"))</f>
        <v/>
      </c>
      <c r="K206" s="46"/>
    </row>
    <row r="207" customFormat="false" ht="15" hidden="false" customHeight="false" outlineLevel="0" collapsed="false">
      <c r="A207" s="27"/>
      <c r="B207" s="46"/>
      <c r="C207" s="46"/>
      <c r="D207" s="40"/>
      <c r="E207" s="40"/>
      <c r="F207" s="43"/>
      <c r="G207" s="47"/>
      <c r="H207" s="44"/>
      <c r="I207" s="48" t="str">
        <f aca="true">IF(OR(A207="",D207=""),"",MAX(0,NETWORKDAYS(D207,IF(E207="",TODAY(),E207),Bank_Holidays!$A$6:$A$60)-N(F207)))</f>
        <v/>
      </c>
      <c r="J207" s="49" t="str">
        <f aca="false">IF(I207="","",IF(I207&gt;Config!$B$16,"Yes","No"))</f>
        <v/>
      </c>
      <c r="K207" s="46"/>
    </row>
    <row r="208" customFormat="false" ht="15" hidden="false" customHeight="false" outlineLevel="0" collapsed="false">
      <c r="A208" s="27"/>
      <c r="B208" s="46"/>
      <c r="C208" s="46"/>
      <c r="D208" s="40"/>
      <c r="E208" s="40"/>
      <c r="F208" s="43"/>
      <c r="G208" s="47"/>
      <c r="H208" s="44"/>
      <c r="I208" s="48" t="str">
        <f aca="true">IF(OR(A208="",D208=""),"",MAX(0,NETWORKDAYS(D208,IF(E208="",TODAY(),E208),Bank_Holidays!$A$6:$A$60)-N(F208)))</f>
        <v/>
      </c>
      <c r="J208" s="49" t="str">
        <f aca="false">IF(I208="","",IF(I208&gt;Config!$B$16,"Yes","No"))</f>
        <v/>
      </c>
      <c r="K208" s="46"/>
    </row>
    <row r="209" customFormat="false" ht="15" hidden="false" customHeight="false" outlineLevel="0" collapsed="false">
      <c r="A209" s="27"/>
      <c r="B209" s="46"/>
      <c r="C209" s="46"/>
      <c r="D209" s="40"/>
      <c r="E209" s="40"/>
      <c r="F209" s="43"/>
      <c r="G209" s="47"/>
      <c r="H209" s="44"/>
      <c r="I209" s="48" t="str">
        <f aca="true">IF(OR(A209="",D209=""),"",MAX(0,NETWORKDAYS(D209,IF(E209="",TODAY(),E209),Bank_Holidays!$A$6:$A$60)-N(F209)))</f>
        <v/>
      </c>
      <c r="J209" s="49" t="str">
        <f aca="false">IF(I209="","",IF(I209&gt;Config!$B$16,"Yes","No"))</f>
        <v/>
      </c>
      <c r="K209" s="46"/>
    </row>
    <row r="210" customFormat="false" ht="15" hidden="false" customHeight="false" outlineLevel="0" collapsed="false">
      <c r="A210" s="27"/>
      <c r="B210" s="46"/>
      <c r="C210" s="46"/>
      <c r="D210" s="40"/>
      <c r="E210" s="40"/>
      <c r="F210" s="43"/>
      <c r="G210" s="47"/>
      <c r="H210" s="44"/>
      <c r="I210" s="48" t="str">
        <f aca="true">IF(OR(A210="",D210=""),"",MAX(0,NETWORKDAYS(D210,IF(E210="",TODAY(),E210),Bank_Holidays!$A$6:$A$60)-N(F210)))</f>
        <v/>
      </c>
      <c r="J210" s="49" t="str">
        <f aca="false">IF(I210="","",IF(I210&gt;Config!$B$16,"Yes","No"))</f>
        <v/>
      </c>
      <c r="K210" s="46"/>
    </row>
    <row r="211" customFormat="false" ht="15" hidden="false" customHeight="false" outlineLevel="0" collapsed="false">
      <c r="A211" s="27"/>
      <c r="B211" s="46"/>
      <c r="C211" s="46"/>
      <c r="D211" s="40"/>
      <c r="E211" s="40"/>
      <c r="F211" s="43"/>
      <c r="G211" s="47"/>
      <c r="H211" s="44"/>
      <c r="I211" s="48" t="str">
        <f aca="true">IF(OR(A211="",D211=""),"",MAX(0,NETWORKDAYS(D211,IF(E211="",TODAY(),E211),Bank_Holidays!$A$6:$A$60)-N(F211)))</f>
        <v/>
      </c>
      <c r="J211" s="49" t="str">
        <f aca="false">IF(I211="","",IF(I211&gt;Config!$B$16,"Yes","No"))</f>
        <v/>
      </c>
      <c r="K211" s="46"/>
    </row>
    <row r="212" customFormat="false" ht="15" hidden="false" customHeight="false" outlineLevel="0" collapsed="false">
      <c r="A212" s="27"/>
      <c r="B212" s="46"/>
      <c r="C212" s="46"/>
      <c r="D212" s="40"/>
      <c r="E212" s="40"/>
      <c r="F212" s="43"/>
      <c r="G212" s="47"/>
      <c r="H212" s="44"/>
      <c r="I212" s="48" t="str">
        <f aca="true">IF(OR(A212="",D212=""),"",MAX(0,NETWORKDAYS(D212,IF(E212="",TODAY(),E212),Bank_Holidays!$A$6:$A$60)-N(F212)))</f>
        <v/>
      </c>
      <c r="J212" s="49" t="str">
        <f aca="false">IF(I212="","",IF(I212&gt;Config!$B$16,"Yes","No"))</f>
        <v/>
      </c>
      <c r="K212" s="46"/>
    </row>
    <row r="213" customFormat="false" ht="15" hidden="false" customHeight="false" outlineLevel="0" collapsed="false">
      <c r="A213" s="27"/>
      <c r="B213" s="46"/>
      <c r="C213" s="46"/>
      <c r="D213" s="40"/>
      <c r="E213" s="40"/>
      <c r="F213" s="43"/>
      <c r="G213" s="47"/>
      <c r="H213" s="44"/>
      <c r="I213" s="48" t="str">
        <f aca="true">IF(OR(A213="",D213=""),"",MAX(0,NETWORKDAYS(D213,IF(E213="",TODAY(),E213),Bank_Holidays!$A$6:$A$60)-N(F213)))</f>
        <v/>
      </c>
      <c r="J213" s="49" t="str">
        <f aca="false">IF(I213="","",IF(I213&gt;Config!$B$16,"Yes","No"))</f>
        <v/>
      </c>
      <c r="K213" s="46"/>
    </row>
    <row r="214" customFormat="false" ht="15" hidden="false" customHeight="false" outlineLevel="0" collapsed="false">
      <c r="A214" s="27"/>
      <c r="B214" s="46"/>
      <c r="C214" s="46"/>
      <c r="D214" s="40"/>
      <c r="E214" s="40"/>
      <c r="F214" s="43"/>
      <c r="G214" s="47"/>
      <c r="H214" s="44"/>
      <c r="I214" s="48" t="str">
        <f aca="true">IF(OR(A214="",D214=""),"",MAX(0,NETWORKDAYS(D214,IF(E214="",TODAY(),E214),Bank_Holidays!$A$6:$A$60)-N(F214)))</f>
        <v/>
      </c>
      <c r="J214" s="49" t="str">
        <f aca="false">IF(I214="","",IF(I214&gt;Config!$B$16,"Yes","No"))</f>
        <v/>
      </c>
      <c r="K214" s="46"/>
    </row>
    <row r="215" customFormat="false" ht="15" hidden="false" customHeight="false" outlineLevel="0" collapsed="false">
      <c r="A215" s="27"/>
      <c r="B215" s="46"/>
      <c r="C215" s="46"/>
      <c r="D215" s="40"/>
      <c r="E215" s="40"/>
      <c r="F215" s="43"/>
      <c r="G215" s="47"/>
      <c r="H215" s="44"/>
      <c r="I215" s="48" t="str">
        <f aca="true">IF(OR(A215="",D215=""),"",MAX(0,NETWORKDAYS(D215,IF(E215="",TODAY(),E215),Bank_Holidays!$A$6:$A$60)-N(F215)))</f>
        <v/>
      </c>
      <c r="J215" s="49" t="str">
        <f aca="false">IF(I215="","",IF(I215&gt;Config!$B$16,"Yes","No"))</f>
        <v/>
      </c>
      <c r="K215" s="46"/>
    </row>
    <row r="216" customFormat="false" ht="15" hidden="false" customHeight="false" outlineLevel="0" collapsed="false">
      <c r="A216" s="27"/>
      <c r="B216" s="46"/>
      <c r="C216" s="46"/>
      <c r="D216" s="40"/>
      <c r="E216" s="40"/>
      <c r="F216" s="43"/>
      <c r="G216" s="47"/>
      <c r="H216" s="44"/>
      <c r="I216" s="48" t="str">
        <f aca="true">IF(OR(A216="",D216=""),"",MAX(0,NETWORKDAYS(D216,IF(E216="",TODAY(),E216),Bank_Holidays!$A$6:$A$60)-N(F216)))</f>
        <v/>
      </c>
      <c r="J216" s="49" t="str">
        <f aca="false">IF(I216="","",IF(I216&gt;Config!$B$16,"Yes","No"))</f>
        <v/>
      </c>
      <c r="K216" s="46"/>
    </row>
    <row r="217" customFormat="false" ht="15" hidden="false" customHeight="false" outlineLevel="0" collapsed="false">
      <c r="A217" s="27"/>
      <c r="B217" s="46"/>
      <c r="C217" s="46"/>
      <c r="D217" s="40"/>
      <c r="E217" s="40"/>
      <c r="F217" s="43"/>
      <c r="G217" s="47"/>
      <c r="H217" s="44"/>
      <c r="I217" s="48" t="str">
        <f aca="true">IF(OR(A217="",D217=""),"",MAX(0,NETWORKDAYS(D217,IF(E217="",TODAY(),E217),Bank_Holidays!$A$6:$A$60)-N(F217)))</f>
        <v/>
      </c>
      <c r="J217" s="49" t="str">
        <f aca="false">IF(I217="","",IF(I217&gt;Config!$B$16,"Yes","No"))</f>
        <v/>
      </c>
      <c r="K217" s="46"/>
    </row>
    <row r="218" customFormat="false" ht="15" hidden="false" customHeight="false" outlineLevel="0" collapsed="false">
      <c r="A218" s="27"/>
      <c r="B218" s="46"/>
      <c r="C218" s="46"/>
      <c r="D218" s="40"/>
      <c r="E218" s="40"/>
      <c r="F218" s="43"/>
      <c r="G218" s="47"/>
      <c r="H218" s="44"/>
      <c r="I218" s="48" t="str">
        <f aca="true">IF(OR(A218="",D218=""),"",MAX(0,NETWORKDAYS(D218,IF(E218="",TODAY(),E218),Bank_Holidays!$A$6:$A$60)-N(F218)))</f>
        <v/>
      </c>
      <c r="J218" s="49" t="str">
        <f aca="false">IF(I218="","",IF(I218&gt;Config!$B$16,"Yes","No"))</f>
        <v/>
      </c>
      <c r="K218" s="46"/>
    </row>
    <row r="219" customFormat="false" ht="15" hidden="false" customHeight="false" outlineLevel="0" collapsed="false">
      <c r="A219" s="27"/>
      <c r="B219" s="46"/>
      <c r="C219" s="46"/>
      <c r="D219" s="40"/>
      <c r="E219" s="40"/>
      <c r="F219" s="43"/>
      <c r="G219" s="47"/>
      <c r="H219" s="44"/>
      <c r="I219" s="48" t="str">
        <f aca="true">IF(OR(A219="",D219=""),"",MAX(0,NETWORKDAYS(D219,IF(E219="",TODAY(),E219),Bank_Holidays!$A$6:$A$60)-N(F219)))</f>
        <v/>
      </c>
      <c r="J219" s="49" t="str">
        <f aca="false">IF(I219="","",IF(I219&gt;Config!$B$16,"Yes","No"))</f>
        <v/>
      </c>
      <c r="K219" s="46"/>
    </row>
    <row r="220" customFormat="false" ht="15" hidden="false" customHeight="false" outlineLevel="0" collapsed="false">
      <c r="A220" s="27"/>
      <c r="B220" s="46"/>
      <c r="C220" s="46"/>
      <c r="D220" s="40"/>
      <c r="E220" s="40"/>
      <c r="F220" s="43"/>
      <c r="G220" s="47"/>
      <c r="H220" s="44"/>
      <c r="I220" s="48" t="str">
        <f aca="true">IF(OR(A220="",D220=""),"",MAX(0,NETWORKDAYS(D220,IF(E220="",TODAY(),E220),Bank_Holidays!$A$6:$A$60)-N(F220)))</f>
        <v/>
      </c>
      <c r="J220" s="49" t="str">
        <f aca="false">IF(I220="","",IF(I220&gt;Config!$B$16,"Yes","No"))</f>
        <v/>
      </c>
      <c r="K220" s="46"/>
    </row>
    <row r="221" customFormat="false" ht="15" hidden="false" customHeight="false" outlineLevel="0" collapsed="false">
      <c r="A221" s="27"/>
      <c r="B221" s="46"/>
      <c r="C221" s="46"/>
      <c r="D221" s="40"/>
      <c r="E221" s="40"/>
      <c r="F221" s="43"/>
      <c r="G221" s="47"/>
      <c r="H221" s="44"/>
      <c r="I221" s="48" t="str">
        <f aca="true">IF(OR(A221="",D221=""),"",MAX(0,NETWORKDAYS(D221,IF(E221="",TODAY(),E221),Bank_Holidays!$A$6:$A$60)-N(F221)))</f>
        <v/>
      </c>
      <c r="J221" s="49" t="str">
        <f aca="false">IF(I221="","",IF(I221&gt;Config!$B$16,"Yes","No"))</f>
        <v/>
      </c>
      <c r="K221" s="46"/>
    </row>
    <row r="222" customFormat="false" ht="15" hidden="false" customHeight="false" outlineLevel="0" collapsed="false">
      <c r="A222" s="27"/>
      <c r="B222" s="46"/>
      <c r="C222" s="46"/>
      <c r="D222" s="40"/>
      <c r="E222" s="40"/>
      <c r="F222" s="43"/>
      <c r="G222" s="47"/>
      <c r="H222" s="44"/>
      <c r="I222" s="48" t="str">
        <f aca="true">IF(OR(A222="",D222=""),"",MAX(0,NETWORKDAYS(D222,IF(E222="",TODAY(),E222),Bank_Holidays!$A$6:$A$60)-N(F222)))</f>
        <v/>
      </c>
      <c r="J222" s="49" t="str">
        <f aca="false">IF(I222="","",IF(I222&gt;Config!$B$16,"Yes","No"))</f>
        <v/>
      </c>
      <c r="K222" s="46"/>
    </row>
    <row r="223" customFormat="false" ht="15" hidden="false" customHeight="false" outlineLevel="0" collapsed="false">
      <c r="A223" s="27"/>
      <c r="B223" s="46"/>
      <c r="C223" s="46"/>
      <c r="D223" s="40"/>
      <c r="E223" s="40"/>
      <c r="F223" s="43"/>
      <c r="G223" s="47"/>
      <c r="H223" s="44"/>
      <c r="I223" s="48" t="str">
        <f aca="true">IF(OR(A223="",D223=""),"",MAX(0,NETWORKDAYS(D223,IF(E223="",TODAY(),E223),Bank_Holidays!$A$6:$A$60)-N(F223)))</f>
        <v/>
      </c>
      <c r="J223" s="49" t="str">
        <f aca="false">IF(I223="","",IF(I223&gt;Config!$B$16,"Yes","No"))</f>
        <v/>
      </c>
      <c r="K223" s="46"/>
    </row>
    <row r="224" customFormat="false" ht="15" hidden="false" customHeight="false" outlineLevel="0" collapsed="false">
      <c r="A224" s="27"/>
      <c r="B224" s="46"/>
      <c r="C224" s="46"/>
      <c r="D224" s="40"/>
      <c r="E224" s="40"/>
      <c r="F224" s="43"/>
      <c r="G224" s="47"/>
      <c r="H224" s="44"/>
      <c r="I224" s="48" t="str">
        <f aca="true">IF(OR(A224="",D224=""),"",MAX(0,NETWORKDAYS(D224,IF(E224="",TODAY(),E224),Bank_Holidays!$A$6:$A$60)-N(F224)))</f>
        <v/>
      </c>
      <c r="J224" s="49" t="str">
        <f aca="false">IF(I224="","",IF(I224&gt;Config!$B$16,"Yes","No"))</f>
        <v/>
      </c>
      <c r="K224" s="46"/>
    </row>
    <row r="225" customFormat="false" ht="15" hidden="false" customHeight="false" outlineLevel="0" collapsed="false">
      <c r="A225" s="27"/>
      <c r="B225" s="46"/>
      <c r="C225" s="46"/>
      <c r="D225" s="40"/>
      <c r="E225" s="40"/>
      <c r="F225" s="43"/>
      <c r="G225" s="47"/>
      <c r="H225" s="44"/>
      <c r="I225" s="48" t="str">
        <f aca="true">IF(OR(A225="",D225=""),"",MAX(0,NETWORKDAYS(D225,IF(E225="",TODAY(),E225),Bank_Holidays!$A$6:$A$60)-N(F225)))</f>
        <v/>
      </c>
      <c r="J225" s="49" t="str">
        <f aca="false">IF(I225="","",IF(I225&gt;Config!$B$16,"Yes","No"))</f>
        <v/>
      </c>
      <c r="K225" s="46"/>
    </row>
    <row r="226" customFormat="false" ht="15" hidden="false" customHeight="false" outlineLevel="0" collapsed="false">
      <c r="A226" s="27"/>
      <c r="B226" s="46"/>
      <c r="C226" s="46"/>
      <c r="D226" s="40"/>
      <c r="E226" s="40"/>
      <c r="F226" s="43"/>
      <c r="G226" s="47"/>
      <c r="H226" s="44"/>
      <c r="I226" s="48" t="str">
        <f aca="true">IF(OR(A226="",D226=""),"",MAX(0,NETWORKDAYS(D226,IF(E226="",TODAY(),E226),Bank_Holidays!$A$6:$A$60)-N(F226)))</f>
        <v/>
      </c>
      <c r="J226" s="49" t="str">
        <f aca="false">IF(I226="","",IF(I226&gt;Config!$B$16,"Yes","No"))</f>
        <v/>
      </c>
      <c r="K226" s="46"/>
    </row>
    <row r="227" customFormat="false" ht="15" hidden="false" customHeight="false" outlineLevel="0" collapsed="false">
      <c r="A227" s="27"/>
      <c r="B227" s="46"/>
      <c r="C227" s="46"/>
      <c r="D227" s="40"/>
      <c r="E227" s="40"/>
      <c r="F227" s="43"/>
      <c r="G227" s="47"/>
      <c r="H227" s="44"/>
      <c r="I227" s="48" t="str">
        <f aca="true">IF(OR(A227="",D227=""),"",MAX(0,NETWORKDAYS(D227,IF(E227="",TODAY(),E227),Bank_Holidays!$A$6:$A$60)-N(F227)))</f>
        <v/>
      </c>
      <c r="J227" s="49" t="str">
        <f aca="false">IF(I227="","",IF(I227&gt;Config!$B$16,"Yes","No"))</f>
        <v/>
      </c>
      <c r="K227" s="46"/>
    </row>
    <row r="228" customFormat="false" ht="15" hidden="false" customHeight="false" outlineLevel="0" collapsed="false">
      <c r="A228" s="27"/>
      <c r="B228" s="46"/>
      <c r="C228" s="46"/>
      <c r="D228" s="40"/>
      <c r="E228" s="40"/>
      <c r="F228" s="43"/>
      <c r="G228" s="47"/>
      <c r="H228" s="44"/>
      <c r="I228" s="48" t="str">
        <f aca="true">IF(OR(A228="",D228=""),"",MAX(0,NETWORKDAYS(D228,IF(E228="",TODAY(),E228),Bank_Holidays!$A$6:$A$60)-N(F228)))</f>
        <v/>
      </c>
      <c r="J228" s="49" t="str">
        <f aca="false">IF(I228="","",IF(I228&gt;Config!$B$16,"Yes","No"))</f>
        <v/>
      </c>
      <c r="K228" s="46"/>
    </row>
    <row r="229" customFormat="false" ht="15" hidden="false" customHeight="false" outlineLevel="0" collapsed="false">
      <c r="A229" s="27"/>
      <c r="B229" s="46"/>
      <c r="C229" s="46"/>
      <c r="D229" s="40"/>
      <c r="E229" s="40"/>
      <c r="F229" s="43"/>
      <c r="G229" s="47"/>
      <c r="H229" s="44"/>
      <c r="I229" s="48" t="str">
        <f aca="true">IF(OR(A229="",D229=""),"",MAX(0,NETWORKDAYS(D229,IF(E229="",TODAY(),E229),Bank_Holidays!$A$6:$A$60)-N(F229)))</f>
        <v/>
      </c>
      <c r="J229" s="49" t="str">
        <f aca="false">IF(I229="","",IF(I229&gt;Config!$B$16,"Yes","No"))</f>
        <v/>
      </c>
      <c r="K229" s="46"/>
    </row>
    <row r="230" customFormat="false" ht="15" hidden="false" customHeight="false" outlineLevel="0" collapsed="false">
      <c r="A230" s="27"/>
      <c r="B230" s="46"/>
      <c r="C230" s="46"/>
      <c r="D230" s="40"/>
      <c r="E230" s="40"/>
      <c r="F230" s="43"/>
      <c r="G230" s="47"/>
      <c r="H230" s="44"/>
      <c r="I230" s="48" t="str">
        <f aca="true">IF(OR(A230="",D230=""),"",MAX(0,NETWORKDAYS(D230,IF(E230="",TODAY(),E230),Bank_Holidays!$A$6:$A$60)-N(F230)))</f>
        <v/>
      </c>
      <c r="J230" s="49" t="str">
        <f aca="false">IF(I230="","",IF(I230&gt;Config!$B$16,"Yes","No"))</f>
        <v/>
      </c>
      <c r="K230" s="46"/>
    </row>
    <row r="231" customFormat="false" ht="15" hidden="false" customHeight="false" outlineLevel="0" collapsed="false">
      <c r="A231" s="27"/>
      <c r="B231" s="46"/>
      <c r="C231" s="46"/>
      <c r="D231" s="40"/>
      <c r="E231" s="40"/>
      <c r="F231" s="43"/>
      <c r="G231" s="47"/>
      <c r="H231" s="44"/>
      <c r="I231" s="48" t="str">
        <f aca="true">IF(OR(A231="",D231=""),"",MAX(0,NETWORKDAYS(D231,IF(E231="",TODAY(),E231),Bank_Holidays!$A$6:$A$60)-N(F231)))</f>
        <v/>
      </c>
      <c r="J231" s="49" t="str">
        <f aca="false">IF(I231="","",IF(I231&gt;Config!$B$16,"Yes","No"))</f>
        <v/>
      </c>
      <c r="K231" s="46"/>
    </row>
    <row r="232" customFormat="false" ht="15" hidden="false" customHeight="false" outlineLevel="0" collapsed="false">
      <c r="A232" s="27"/>
      <c r="B232" s="46"/>
      <c r="C232" s="46"/>
      <c r="D232" s="40"/>
      <c r="E232" s="40"/>
      <c r="F232" s="43"/>
      <c r="G232" s="47"/>
      <c r="H232" s="44"/>
      <c r="I232" s="48" t="str">
        <f aca="true">IF(OR(A232="",D232=""),"",MAX(0,NETWORKDAYS(D232,IF(E232="",TODAY(),E232),Bank_Holidays!$A$6:$A$60)-N(F232)))</f>
        <v/>
      </c>
      <c r="J232" s="49" t="str">
        <f aca="false">IF(I232="","",IF(I232&gt;Config!$B$16,"Yes","No"))</f>
        <v/>
      </c>
      <c r="K232" s="46"/>
    </row>
    <row r="233" customFormat="false" ht="15" hidden="false" customHeight="false" outlineLevel="0" collapsed="false">
      <c r="A233" s="27"/>
      <c r="B233" s="46"/>
      <c r="C233" s="46"/>
      <c r="D233" s="40"/>
      <c r="E233" s="40"/>
      <c r="F233" s="43"/>
      <c r="G233" s="47"/>
      <c r="H233" s="44"/>
      <c r="I233" s="48" t="str">
        <f aca="true">IF(OR(A233="",D233=""),"",MAX(0,NETWORKDAYS(D233,IF(E233="",TODAY(),E233),Bank_Holidays!$A$6:$A$60)-N(F233)))</f>
        <v/>
      </c>
      <c r="J233" s="49" t="str">
        <f aca="false">IF(I233="","",IF(I233&gt;Config!$B$16,"Yes","No"))</f>
        <v/>
      </c>
      <c r="K233" s="46"/>
    </row>
    <row r="234" customFormat="false" ht="15" hidden="false" customHeight="false" outlineLevel="0" collapsed="false">
      <c r="A234" s="27"/>
      <c r="B234" s="46"/>
      <c r="C234" s="46"/>
      <c r="D234" s="40"/>
      <c r="E234" s="40"/>
      <c r="F234" s="43"/>
      <c r="G234" s="47"/>
      <c r="H234" s="44"/>
      <c r="I234" s="48" t="str">
        <f aca="true">IF(OR(A234="",D234=""),"",MAX(0,NETWORKDAYS(D234,IF(E234="",TODAY(),E234),Bank_Holidays!$A$6:$A$60)-N(F234)))</f>
        <v/>
      </c>
      <c r="J234" s="49" t="str">
        <f aca="false">IF(I234="","",IF(I234&gt;Config!$B$16,"Yes","No"))</f>
        <v/>
      </c>
      <c r="K234" s="46"/>
    </row>
    <row r="235" customFormat="false" ht="15" hidden="false" customHeight="false" outlineLevel="0" collapsed="false">
      <c r="A235" s="27"/>
      <c r="B235" s="46"/>
      <c r="C235" s="46"/>
      <c r="D235" s="40"/>
      <c r="E235" s="40"/>
      <c r="F235" s="43"/>
      <c r="G235" s="47"/>
      <c r="H235" s="44"/>
      <c r="I235" s="48" t="str">
        <f aca="true">IF(OR(A235="",D235=""),"",MAX(0,NETWORKDAYS(D235,IF(E235="",TODAY(),E235),Bank_Holidays!$A$6:$A$60)-N(F235)))</f>
        <v/>
      </c>
      <c r="J235" s="49" t="str">
        <f aca="false">IF(I235="","",IF(I235&gt;Config!$B$16,"Yes","No"))</f>
        <v/>
      </c>
      <c r="K235" s="46"/>
    </row>
    <row r="236" customFormat="false" ht="15" hidden="false" customHeight="false" outlineLevel="0" collapsed="false">
      <c r="A236" s="27"/>
      <c r="B236" s="46"/>
      <c r="C236" s="46"/>
      <c r="D236" s="40"/>
      <c r="E236" s="40"/>
      <c r="F236" s="43"/>
      <c r="G236" s="47"/>
      <c r="H236" s="44"/>
      <c r="I236" s="48" t="str">
        <f aca="true">IF(OR(A236="",D236=""),"",MAX(0,NETWORKDAYS(D236,IF(E236="",TODAY(),E236),Bank_Holidays!$A$6:$A$60)-N(F236)))</f>
        <v/>
      </c>
      <c r="J236" s="49" t="str">
        <f aca="false">IF(I236="","",IF(I236&gt;Config!$B$16,"Yes","No"))</f>
        <v/>
      </c>
      <c r="K236" s="46"/>
    </row>
    <row r="237" customFormat="false" ht="15" hidden="false" customHeight="false" outlineLevel="0" collapsed="false">
      <c r="A237" s="27"/>
      <c r="B237" s="46"/>
      <c r="C237" s="46"/>
      <c r="D237" s="40"/>
      <c r="E237" s="40"/>
      <c r="F237" s="43"/>
      <c r="G237" s="47"/>
      <c r="H237" s="44"/>
      <c r="I237" s="48" t="str">
        <f aca="true">IF(OR(A237="",D237=""),"",MAX(0,NETWORKDAYS(D237,IF(E237="",TODAY(),E237),Bank_Holidays!$A$6:$A$60)-N(F237)))</f>
        <v/>
      </c>
      <c r="J237" s="49" t="str">
        <f aca="false">IF(I237="","",IF(I237&gt;Config!$B$16,"Yes","No"))</f>
        <v/>
      </c>
      <c r="K237" s="46"/>
    </row>
    <row r="238" customFormat="false" ht="15" hidden="false" customHeight="false" outlineLevel="0" collapsed="false">
      <c r="A238" s="27"/>
      <c r="B238" s="46"/>
      <c r="C238" s="46"/>
      <c r="D238" s="40"/>
      <c r="E238" s="40"/>
      <c r="F238" s="43"/>
      <c r="G238" s="47"/>
      <c r="H238" s="44"/>
      <c r="I238" s="48" t="str">
        <f aca="true">IF(OR(A238="",D238=""),"",MAX(0,NETWORKDAYS(D238,IF(E238="",TODAY(),E238),Bank_Holidays!$A$6:$A$60)-N(F238)))</f>
        <v/>
      </c>
      <c r="J238" s="49" t="str">
        <f aca="false">IF(I238="","",IF(I238&gt;Config!$B$16,"Yes","No"))</f>
        <v/>
      </c>
      <c r="K238" s="46"/>
    </row>
    <row r="239" customFormat="false" ht="15" hidden="false" customHeight="false" outlineLevel="0" collapsed="false">
      <c r="A239" s="27"/>
      <c r="B239" s="46"/>
      <c r="C239" s="46"/>
      <c r="D239" s="40"/>
      <c r="E239" s="40"/>
      <c r="F239" s="43"/>
      <c r="G239" s="47"/>
      <c r="H239" s="44"/>
      <c r="I239" s="48" t="str">
        <f aca="true">IF(OR(A239="",D239=""),"",MAX(0,NETWORKDAYS(D239,IF(E239="",TODAY(),E239),Bank_Holidays!$A$6:$A$60)-N(F239)))</f>
        <v/>
      </c>
      <c r="J239" s="49" t="str">
        <f aca="false">IF(I239="","",IF(I239&gt;Config!$B$16,"Yes","No"))</f>
        <v/>
      </c>
      <c r="K239" s="46"/>
    </row>
    <row r="240" customFormat="false" ht="15" hidden="false" customHeight="false" outlineLevel="0" collapsed="false">
      <c r="A240" s="27"/>
      <c r="B240" s="46"/>
      <c r="C240" s="46"/>
      <c r="D240" s="40"/>
      <c r="E240" s="40"/>
      <c r="F240" s="43"/>
      <c r="G240" s="47"/>
      <c r="H240" s="44"/>
      <c r="I240" s="48" t="str">
        <f aca="true">IF(OR(A240="",D240=""),"",MAX(0,NETWORKDAYS(D240,IF(E240="",TODAY(),E240),Bank_Holidays!$A$6:$A$60)-N(F240)))</f>
        <v/>
      </c>
      <c r="J240" s="49" t="str">
        <f aca="false">IF(I240="","",IF(I240&gt;Config!$B$16,"Yes","No"))</f>
        <v/>
      </c>
      <c r="K240" s="46"/>
    </row>
    <row r="241" customFormat="false" ht="15" hidden="false" customHeight="false" outlineLevel="0" collapsed="false">
      <c r="A241" s="27"/>
      <c r="B241" s="46"/>
      <c r="C241" s="46"/>
      <c r="D241" s="40"/>
      <c r="E241" s="40"/>
      <c r="F241" s="43"/>
      <c r="G241" s="47"/>
      <c r="H241" s="44"/>
      <c r="I241" s="48" t="str">
        <f aca="true">IF(OR(A241="",D241=""),"",MAX(0,NETWORKDAYS(D241,IF(E241="",TODAY(),E241),Bank_Holidays!$A$6:$A$60)-N(F241)))</f>
        <v/>
      </c>
      <c r="J241" s="49" t="str">
        <f aca="false">IF(I241="","",IF(I241&gt;Config!$B$16,"Yes","No"))</f>
        <v/>
      </c>
      <c r="K241" s="46"/>
    </row>
    <row r="242" customFormat="false" ht="15" hidden="false" customHeight="false" outlineLevel="0" collapsed="false">
      <c r="A242" s="27"/>
      <c r="B242" s="46"/>
      <c r="C242" s="46"/>
      <c r="D242" s="40"/>
      <c r="E242" s="40"/>
      <c r="F242" s="43"/>
      <c r="G242" s="47"/>
      <c r="H242" s="44"/>
      <c r="I242" s="48" t="str">
        <f aca="true">IF(OR(A242="",D242=""),"",MAX(0,NETWORKDAYS(D242,IF(E242="",TODAY(),E242),Bank_Holidays!$A$6:$A$60)-N(F242)))</f>
        <v/>
      </c>
      <c r="J242" s="49" t="str">
        <f aca="false">IF(I242="","",IF(I242&gt;Config!$B$16,"Yes","No"))</f>
        <v/>
      </c>
      <c r="K242" s="46"/>
    </row>
    <row r="243" customFormat="false" ht="15" hidden="false" customHeight="false" outlineLevel="0" collapsed="false">
      <c r="A243" s="27"/>
      <c r="B243" s="46"/>
      <c r="C243" s="46"/>
      <c r="D243" s="40"/>
      <c r="E243" s="40"/>
      <c r="F243" s="43"/>
      <c r="G243" s="47"/>
      <c r="H243" s="44"/>
      <c r="I243" s="48" t="str">
        <f aca="true">IF(OR(A243="",D243=""),"",MAX(0,NETWORKDAYS(D243,IF(E243="",TODAY(),E243),Bank_Holidays!$A$6:$A$60)-N(F243)))</f>
        <v/>
      </c>
      <c r="J243" s="49" t="str">
        <f aca="false">IF(I243="","",IF(I243&gt;Config!$B$16,"Yes","No"))</f>
        <v/>
      </c>
      <c r="K243" s="46"/>
    </row>
    <row r="244" customFormat="false" ht="15" hidden="false" customHeight="false" outlineLevel="0" collapsed="false">
      <c r="A244" s="27"/>
      <c r="B244" s="46"/>
      <c r="C244" s="46"/>
      <c r="D244" s="40"/>
      <c r="E244" s="40"/>
      <c r="F244" s="43"/>
      <c r="G244" s="47"/>
      <c r="H244" s="44"/>
      <c r="I244" s="48" t="str">
        <f aca="true">IF(OR(A244="",D244=""),"",MAX(0,NETWORKDAYS(D244,IF(E244="",TODAY(),E244),Bank_Holidays!$A$6:$A$60)-N(F244)))</f>
        <v/>
      </c>
      <c r="J244" s="49" t="str">
        <f aca="false">IF(I244="","",IF(I244&gt;Config!$B$16,"Yes","No"))</f>
        <v/>
      </c>
      <c r="K244" s="46"/>
    </row>
    <row r="245" customFormat="false" ht="15" hidden="false" customHeight="false" outlineLevel="0" collapsed="false">
      <c r="A245" s="27"/>
      <c r="B245" s="46"/>
      <c r="C245" s="46"/>
      <c r="D245" s="40"/>
      <c r="E245" s="40"/>
      <c r="F245" s="43"/>
      <c r="G245" s="47"/>
      <c r="H245" s="44"/>
      <c r="I245" s="48" t="str">
        <f aca="true">IF(OR(A245="",D245=""),"",MAX(0,NETWORKDAYS(D245,IF(E245="",TODAY(),E245),Bank_Holidays!$A$6:$A$60)-N(F245)))</f>
        <v/>
      </c>
      <c r="J245" s="49" t="str">
        <f aca="false">IF(I245="","",IF(I245&gt;Config!$B$16,"Yes","No"))</f>
        <v/>
      </c>
      <c r="K245" s="46"/>
    </row>
    <row r="246" customFormat="false" ht="15" hidden="false" customHeight="false" outlineLevel="0" collapsed="false">
      <c r="A246" s="27"/>
      <c r="B246" s="46"/>
      <c r="C246" s="46"/>
      <c r="D246" s="40"/>
      <c r="E246" s="40"/>
      <c r="F246" s="43"/>
      <c r="G246" s="47"/>
      <c r="H246" s="44"/>
      <c r="I246" s="48" t="str">
        <f aca="true">IF(OR(A246="",D246=""),"",MAX(0,NETWORKDAYS(D246,IF(E246="",TODAY(),E246),Bank_Holidays!$A$6:$A$60)-N(F246)))</f>
        <v/>
      </c>
      <c r="J246" s="49" t="str">
        <f aca="false">IF(I246="","",IF(I246&gt;Config!$B$16,"Yes","No"))</f>
        <v/>
      </c>
      <c r="K246" s="46"/>
    </row>
    <row r="247" customFormat="false" ht="15" hidden="false" customHeight="false" outlineLevel="0" collapsed="false">
      <c r="A247" s="27"/>
      <c r="B247" s="46"/>
      <c r="C247" s="46"/>
      <c r="D247" s="40"/>
      <c r="E247" s="40"/>
      <c r="F247" s="43"/>
      <c r="G247" s="47"/>
      <c r="H247" s="44"/>
      <c r="I247" s="48" t="str">
        <f aca="true">IF(OR(A247="",D247=""),"",MAX(0,NETWORKDAYS(D247,IF(E247="",TODAY(),E247),Bank_Holidays!$A$6:$A$60)-N(F247)))</f>
        <v/>
      </c>
      <c r="J247" s="49" t="str">
        <f aca="false">IF(I247="","",IF(I247&gt;Config!$B$16,"Yes","No"))</f>
        <v/>
      </c>
      <c r="K247" s="46"/>
    </row>
    <row r="248" customFormat="false" ht="15" hidden="false" customHeight="false" outlineLevel="0" collapsed="false">
      <c r="A248" s="27"/>
      <c r="B248" s="46"/>
      <c r="C248" s="46"/>
      <c r="D248" s="40"/>
      <c r="E248" s="40"/>
      <c r="F248" s="43"/>
      <c r="G248" s="47"/>
      <c r="H248" s="44"/>
      <c r="I248" s="48" t="str">
        <f aca="true">IF(OR(A248="",D248=""),"",MAX(0,NETWORKDAYS(D248,IF(E248="",TODAY(),E248),Bank_Holidays!$A$6:$A$60)-N(F248)))</f>
        <v/>
      </c>
      <c r="J248" s="49" t="str">
        <f aca="false">IF(I248="","",IF(I248&gt;Config!$B$16,"Yes","No"))</f>
        <v/>
      </c>
      <c r="K248" s="46"/>
    </row>
    <row r="249" customFormat="false" ht="15" hidden="false" customHeight="false" outlineLevel="0" collapsed="false">
      <c r="A249" s="27"/>
      <c r="B249" s="46"/>
      <c r="C249" s="46"/>
      <c r="D249" s="40"/>
      <c r="E249" s="40"/>
      <c r="F249" s="43"/>
      <c r="G249" s="47"/>
      <c r="H249" s="44"/>
      <c r="I249" s="48" t="str">
        <f aca="true">IF(OR(A249="",D249=""),"",MAX(0,NETWORKDAYS(D249,IF(E249="",TODAY(),E249),Bank_Holidays!$A$6:$A$60)-N(F249)))</f>
        <v/>
      </c>
      <c r="J249" s="49" t="str">
        <f aca="false">IF(I249="","",IF(I249&gt;Config!$B$16,"Yes","No"))</f>
        <v/>
      </c>
      <c r="K249" s="46"/>
    </row>
    <row r="250" customFormat="false" ht="15" hidden="false" customHeight="false" outlineLevel="0" collapsed="false">
      <c r="A250" s="27"/>
      <c r="B250" s="46"/>
      <c r="C250" s="46"/>
      <c r="D250" s="40"/>
      <c r="E250" s="40"/>
      <c r="F250" s="43"/>
      <c r="G250" s="47"/>
      <c r="H250" s="44"/>
      <c r="I250" s="48" t="str">
        <f aca="true">IF(OR(A250="",D250=""),"",MAX(0,NETWORKDAYS(D250,IF(E250="",TODAY(),E250),Bank_Holidays!$A$6:$A$60)-N(F250)))</f>
        <v/>
      </c>
      <c r="J250" s="49" t="str">
        <f aca="false">IF(I250="","",IF(I250&gt;Config!$B$16,"Yes","No"))</f>
        <v/>
      </c>
      <c r="K250" s="46"/>
    </row>
    <row r="251" customFormat="false" ht="15" hidden="false" customHeight="false" outlineLevel="0" collapsed="false">
      <c r="A251" s="27"/>
      <c r="B251" s="46"/>
      <c r="C251" s="46"/>
      <c r="D251" s="40"/>
      <c r="E251" s="40"/>
      <c r="F251" s="43"/>
      <c r="G251" s="47"/>
      <c r="H251" s="44"/>
      <c r="I251" s="48" t="str">
        <f aca="true">IF(OR(A251="",D251=""),"",MAX(0,NETWORKDAYS(D251,IF(E251="",TODAY(),E251),Bank_Holidays!$A$6:$A$60)-N(F251)))</f>
        <v/>
      </c>
      <c r="J251" s="49" t="str">
        <f aca="false">IF(I251="","",IF(I251&gt;Config!$B$16,"Yes","No"))</f>
        <v/>
      </c>
      <c r="K251" s="46"/>
    </row>
    <row r="252" customFormat="false" ht="15" hidden="false" customHeight="false" outlineLevel="0" collapsed="false">
      <c r="A252" s="27"/>
      <c r="B252" s="46"/>
      <c r="C252" s="46"/>
      <c r="D252" s="40"/>
      <c r="E252" s="40"/>
      <c r="F252" s="43"/>
      <c r="G252" s="47"/>
      <c r="H252" s="44"/>
      <c r="I252" s="48" t="str">
        <f aca="true">IF(OR(A252="",D252=""),"",MAX(0,NETWORKDAYS(D252,IF(E252="",TODAY(),E252),Bank_Holidays!$A$6:$A$60)-N(F252)))</f>
        <v/>
      </c>
      <c r="J252" s="49" t="str">
        <f aca="false">IF(I252="","",IF(I252&gt;Config!$B$16,"Yes","No"))</f>
        <v/>
      </c>
      <c r="K252" s="46"/>
    </row>
    <row r="253" customFormat="false" ht="15" hidden="false" customHeight="false" outlineLevel="0" collapsed="false">
      <c r="A253" s="27"/>
      <c r="B253" s="46"/>
      <c r="C253" s="46"/>
      <c r="D253" s="40"/>
      <c r="E253" s="40"/>
      <c r="F253" s="43"/>
      <c r="G253" s="47"/>
      <c r="H253" s="44"/>
      <c r="I253" s="48" t="str">
        <f aca="true">IF(OR(A253="",D253=""),"",MAX(0,NETWORKDAYS(D253,IF(E253="",TODAY(),E253),Bank_Holidays!$A$6:$A$60)-N(F253)))</f>
        <v/>
      </c>
      <c r="J253" s="49" t="str">
        <f aca="false">IF(I253="","",IF(I253&gt;Config!$B$16,"Yes","No"))</f>
        <v/>
      </c>
      <c r="K253" s="46"/>
    </row>
    <row r="254" customFormat="false" ht="15" hidden="false" customHeight="false" outlineLevel="0" collapsed="false">
      <c r="A254" s="27"/>
      <c r="B254" s="46"/>
      <c r="C254" s="46"/>
      <c r="D254" s="40"/>
      <c r="E254" s="40"/>
      <c r="F254" s="43"/>
      <c r="G254" s="47"/>
      <c r="H254" s="44"/>
      <c r="I254" s="48" t="str">
        <f aca="true">IF(OR(A254="",D254=""),"",MAX(0,NETWORKDAYS(D254,IF(E254="",TODAY(),E254),Bank_Holidays!$A$6:$A$60)-N(F254)))</f>
        <v/>
      </c>
      <c r="J254" s="49" t="str">
        <f aca="false">IF(I254="","",IF(I254&gt;Config!$B$16,"Yes","No"))</f>
        <v/>
      </c>
      <c r="K254" s="46"/>
    </row>
    <row r="255" customFormat="false" ht="15" hidden="false" customHeight="false" outlineLevel="0" collapsed="false">
      <c r="A255" s="27"/>
      <c r="B255" s="46"/>
      <c r="C255" s="46"/>
      <c r="D255" s="40"/>
      <c r="E255" s="40"/>
      <c r="F255" s="43"/>
      <c r="G255" s="47"/>
      <c r="H255" s="44"/>
      <c r="I255" s="48" t="str">
        <f aca="true">IF(OR(A255="",D255=""),"",MAX(0,NETWORKDAYS(D255,IF(E255="",TODAY(),E255),Bank_Holidays!$A$6:$A$60)-N(F255)))</f>
        <v/>
      </c>
      <c r="J255" s="49" t="str">
        <f aca="false">IF(I255="","",IF(I255&gt;Config!$B$16,"Yes","No"))</f>
        <v/>
      </c>
      <c r="K255" s="46"/>
    </row>
    <row r="256" customFormat="false" ht="15" hidden="false" customHeight="false" outlineLevel="0" collapsed="false">
      <c r="A256" s="27"/>
      <c r="B256" s="46"/>
      <c r="C256" s="46"/>
      <c r="D256" s="40"/>
      <c r="E256" s="40"/>
      <c r="F256" s="43"/>
      <c r="G256" s="47"/>
      <c r="H256" s="44"/>
      <c r="I256" s="48" t="str">
        <f aca="true">IF(OR(A256="",D256=""),"",MAX(0,NETWORKDAYS(D256,IF(E256="",TODAY(),E256),Bank_Holidays!$A$6:$A$60)-N(F256)))</f>
        <v/>
      </c>
      <c r="J256" s="49" t="str">
        <f aca="false">IF(I256="","",IF(I256&gt;Config!$B$16,"Yes","No"))</f>
        <v/>
      </c>
      <c r="K256" s="46"/>
    </row>
    <row r="257" customFormat="false" ht="15" hidden="false" customHeight="false" outlineLevel="0" collapsed="false">
      <c r="A257" s="27"/>
      <c r="B257" s="46"/>
      <c r="C257" s="46"/>
      <c r="D257" s="40"/>
      <c r="E257" s="40"/>
      <c r="F257" s="43"/>
      <c r="G257" s="47"/>
      <c r="H257" s="44"/>
      <c r="I257" s="48" t="str">
        <f aca="true">IF(OR(A257="",D257=""),"",MAX(0,NETWORKDAYS(D257,IF(E257="",TODAY(),E257),Bank_Holidays!$A$6:$A$60)-N(F257)))</f>
        <v/>
      </c>
      <c r="J257" s="49" t="str">
        <f aca="false">IF(I257="","",IF(I257&gt;Config!$B$16,"Yes","No"))</f>
        <v/>
      </c>
      <c r="K257" s="46"/>
    </row>
    <row r="258" customFormat="false" ht="15" hidden="false" customHeight="false" outlineLevel="0" collapsed="false">
      <c r="A258" s="27"/>
      <c r="B258" s="46"/>
      <c r="C258" s="46"/>
      <c r="D258" s="40"/>
      <c r="E258" s="40"/>
      <c r="F258" s="43"/>
      <c r="G258" s="47"/>
      <c r="H258" s="44"/>
      <c r="I258" s="48" t="str">
        <f aca="true">IF(OR(A258="",D258=""),"",MAX(0,NETWORKDAYS(D258,IF(E258="",TODAY(),E258),Bank_Holidays!$A$6:$A$60)-N(F258)))</f>
        <v/>
      </c>
      <c r="J258" s="49" t="str">
        <f aca="false">IF(I258="","",IF(I258&gt;Config!$B$16,"Yes","No"))</f>
        <v/>
      </c>
      <c r="K258" s="46"/>
    </row>
    <row r="259" customFormat="false" ht="15" hidden="false" customHeight="false" outlineLevel="0" collapsed="false">
      <c r="A259" s="27"/>
      <c r="B259" s="46"/>
      <c r="C259" s="46"/>
      <c r="D259" s="40"/>
      <c r="E259" s="40"/>
      <c r="F259" s="43"/>
      <c r="G259" s="47"/>
      <c r="H259" s="44"/>
      <c r="I259" s="48" t="str">
        <f aca="true">IF(OR(A259="",D259=""),"",MAX(0,NETWORKDAYS(D259,IF(E259="",TODAY(),E259),Bank_Holidays!$A$6:$A$60)-N(F259)))</f>
        <v/>
      </c>
      <c r="J259" s="49" t="str">
        <f aca="false">IF(I259="","",IF(I259&gt;Config!$B$16,"Yes","No"))</f>
        <v/>
      </c>
      <c r="K259" s="46"/>
    </row>
    <row r="260" customFormat="false" ht="15" hidden="false" customHeight="false" outlineLevel="0" collapsed="false">
      <c r="A260" s="27"/>
      <c r="B260" s="46"/>
      <c r="C260" s="46"/>
      <c r="D260" s="40"/>
      <c r="E260" s="40"/>
      <c r="F260" s="43"/>
      <c r="G260" s="47"/>
      <c r="H260" s="44"/>
      <c r="I260" s="48" t="str">
        <f aca="true">IF(OR(A260="",D260=""),"",MAX(0,NETWORKDAYS(D260,IF(E260="",TODAY(),E260),Bank_Holidays!$A$6:$A$60)-N(F260)))</f>
        <v/>
      </c>
      <c r="J260" s="49" t="str">
        <f aca="false">IF(I260="","",IF(I260&gt;Config!$B$16,"Yes","No"))</f>
        <v/>
      </c>
      <c r="K260" s="46"/>
    </row>
    <row r="261" customFormat="false" ht="15" hidden="false" customHeight="false" outlineLevel="0" collapsed="false">
      <c r="A261" s="27"/>
      <c r="B261" s="46"/>
      <c r="C261" s="46"/>
      <c r="D261" s="40"/>
      <c r="E261" s="40"/>
      <c r="F261" s="43"/>
      <c r="G261" s="47"/>
      <c r="H261" s="44"/>
      <c r="I261" s="48" t="str">
        <f aca="true">IF(OR(A261="",D261=""),"",MAX(0,NETWORKDAYS(D261,IF(E261="",TODAY(),E261),Bank_Holidays!$A$6:$A$60)-N(F261)))</f>
        <v/>
      </c>
      <c r="J261" s="49" t="str">
        <f aca="false">IF(I261="","",IF(I261&gt;Config!$B$16,"Yes","No"))</f>
        <v/>
      </c>
      <c r="K261" s="46"/>
    </row>
    <row r="262" customFormat="false" ht="15" hidden="false" customHeight="false" outlineLevel="0" collapsed="false">
      <c r="A262" s="27"/>
      <c r="B262" s="46"/>
      <c r="C262" s="46"/>
      <c r="D262" s="40"/>
      <c r="E262" s="40"/>
      <c r="F262" s="43"/>
      <c r="G262" s="47"/>
      <c r="H262" s="44"/>
      <c r="I262" s="48" t="str">
        <f aca="true">IF(OR(A262="",D262=""),"",MAX(0,NETWORKDAYS(D262,IF(E262="",TODAY(),E262),Bank_Holidays!$A$6:$A$60)-N(F262)))</f>
        <v/>
      </c>
      <c r="J262" s="49" t="str">
        <f aca="false">IF(I262="","",IF(I262&gt;Config!$B$16,"Yes","No"))</f>
        <v/>
      </c>
      <c r="K262" s="46"/>
    </row>
    <row r="263" customFormat="false" ht="15" hidden="false" customHeight="false" outlineLevel="0" collapsed="false">
      <c r="A263" s="27"/>
      <c r="B263" s="46"/>
      <c r="C263" s="46"/>
      <c r="D263" s="40"/>
      <c r="E263" s="40"/>
      <c r="F263" s="43"/>
      <c r="G263" s="47"/>
      <c r="H263" s="44"/>
      <c r="I263" s="48" t="str">
        <f aca="true">IF(OR(A263="",D263=""),"",MAX(0,NETWORKDAYS(D263,IF(E263="",TODAY(),E263),Bank_Holidays!$A$6:$A$60)-N(F263)))</f>
        <v/>
      </c>
      <c r="J263" s="49" t="str">
        <f aca="false">IF(I263="","",IF(I263&gt;Config!$B$16,"Yes","No"))</f>
        <v/>
      </c>
      <c r="K263" s="46"/>
    </row>
    <row r="264" customFormat="false" ht="15" hidden="false" customHeight="false" outlineLevel="0" collapsed="false">
      <c r="A264" s="27"/>
      <c r="B264" s="46"/>
      <c r="C264" s="46"/>
      <c r="D264" s="40"/>
      <c r="E264" s="40"/>
      <c r="F264" s="43"/>
      <c r="G264" s="47"/>
      <c r="H264" s="44"/>
      <c r="I264" s="48" t="str">
        <f aca="true">IF(OR(A264="",D264=""),"",MAX(0,NETWORKDAYS(D264,IF(E264="",TODAY(),E264),Bank_Holidays!$A$6:$A$60)-N(F264)))</f>
        <v/>
      </c>
      <c r="J264" s="49" t="str">
        <f aca="false">IF(I264="","",IF(I264&gt;Config!$B$16,"Yes","No"))</f>
        <v/>
      </c>
      <c r="K264" s="46"/>
    </row>
    <row r="265" customFormat="false" ht="15" hidden="false" customHeight="false" outlineLevel="0" collapsed="false">
      <c r="A265" s="27"/>
      <c r="B265" s="46"/>
      <c r="C265" s="46"/>
      <c r="D265" s="40"/>
      <c r="E265" s="40"/>
      <c r="F265" s="43"/>
      <c r="G265" s="47"/>
      <c r="H265" s="44"/>
      <c r="I265" s="48" t="str">
        <f aca="true">IF(OR(A265="",D265=""),"",MAX(0,NETWORKDAYS(D265,IF(E265="",TODAY(),E265),Bank_Holidays!$A$6:$A$60)-N(F265)))</f>
        <v/>
      </c>
      <c r="J265" s="49" t="str">
        <f aca="false">IF(I265="","",IF(I265&gt;Config!$B$16,"Yes","No"))</f>
        <v/>
      </c>
      <c r="K265" s="46"/>
    </row>
    <row r="266" customFormat="false" ht="15" hidden="false" customHeight="false" outlineLevel="0" collapsed="false">
      <c r="A266" s="27"/>
      <c r="B266" s="46"/>
      <c r="C266" s="46"/>
      <c r="D266" s="40"/>
      <c r="E266" s="40"/>
      <c r="F266" s="43"/>
      <c r="G266" s="47"/>
      <c r="H266" s="44"/>
      <c r="I266" s="48" t="str">
        <f aca="true">IF(OR(A266="",D266=""),"",MAX(0,NETWORKDAYS(D266,IF(E266="",TODAY(),E266),Bank_Holidays!$A$6:$A$60)-N(F266)))</f>
        <v/>
      </c>
      <c r="J266" s="49" t="str">
        <f aca="false">IF(I266="","",IF(I266&gt;Config!$B$16,"Yes","No"))</f>
        <v/>
      </c>
      <c r="K266" s="46"/>
    </row>
    <row r="267" customFormat="false" ht="15" hidden="false" customHeight="false" outlineLevel="0" collapsed="false">
      <c r="A267" s="27"/>
      <c r="B267" s="46"/>
      <c r="C267" s="46"/>
      <c r="D267" s="40"/>
      <c r="E267" s="40"/>
      <c r="F267" s="43"/>
      <c r="G267" s="47"/>
      <c r="H267" s="44"/>
      <c r="I267" s="48" t="str">
        <f aca="true">IF(OR(A267="",D267=""),"",MAX(0,NETWORKDAYS(D267,IF(E267="",TODAY(),E267),Bank_Holidays!$A$6:$A$60)-N(F267)))</f>
        <v/>
      </c>
      <c r="J267" s="49" t="str">
        <f aca="false">IF(I267="","",IF(I267&gt;Config!$B$16,"Yes","No"))</f>
        <v/>
      </c>
      <c r="K267" s="46"/>
    </row>
    <row r="268" customFormat="false" ht="15" hidden="false" customHeight="false" outlineLevel="0" collapsed="false">
      <c r="A268" s="27"/>
      <c r="B268" s="46"/>
      <c r="C268" s="46"/>
      <c r="D268" s="40"/>
      <c r="E268" s="40"/>
      <c r="F268" s="43"/>
      <c r="G268" s="47"/>
      <c r="H268" s="44"/>
      <c r="I268" s="48" t="str">
        <f aca="true">IF(OR(A268="",D268=""),"",MAX(0,NETWORKDAYS(D268,IF(E268="",TODAY(),E268),Bank_Holidays!$A$6:$A$60)-N(F268)))</f>
        <v/>
      </c>
      <c r="J268" s="49" t="str">
        <f aca="false">IF(I268="","",IF(I268&gt;Config!$B$16,"Yes","No"))</f>
        <v/>
      </c>
      <c r="K268" s="46"/>
    </row>
    <row r="269" customFormat="false" ht="15" hidden="false" customHeight="false" outlineLevel="0" collapsed="false">
      <c r="A269" s="27"/>
      <c r="B269" s="46"/>
      <c r="C269" s="46"/>
      <c r="D269" s="40"/>
      <c r="E269" s="40"/>
      <c r="F269" s="43"/>
      <c r="G269" s="47"/>
      <c r="H269" s="44"/>
      <c r="I269" s="48" t="str">
        <f aca="true">IF(OR(A269="",D269=""),"",MAX(0,NETWORKDAYS(D269,IF(E269="",TODAY(),E269),Bank_Holidays!$A$6:$A$60)-N(F269)))</f>
        <v/>
      </c>
      <c r="J269" s="49" t="str">
        <f aca="false">IF(I269="","",IF(I269&gt;Config!$B$16,"Yes","No"))</f>
        <v/>
      </c>
      <c r="K269" s="46"/>
    </row>
    <row r="270" customFormat="false" ht="15" hidden="false" customHeight="false" outlineLevel="0" collapsed="false">
      <c r="A270" s="27"/>
      <c r="B270" s="46"/>
      <c r="C270" s="46"/>
      <c r="D270" s="40"/>
      <c r="E270" s="40"/>
      <c r="F270" s="43"/>
      <c r="G270" s="47"/>
      <c r="H270" s="44"/>
      <c r="I270" s="48" t="str">
        <f aca="true">IF(OR(A270="",D270=""),"",MAX(0,NETWORKDAYS(D270,IF(E270="",TODAY(),E270),Bank_Holidays!$A$6:$A$60)-N(F270)))</f>
        <v/>
      </c>
      <c r="J270" s="49" t="str">
        <f aca="false">IF(I270="","",IF(I270&gt;Config!$B$16,"Yes","No"))</f>
        <v/>
      </c>
      <c r="K270" s="46"/>
    </row>
    <row r="271" customFormat="false" ht="15" hidden="false" customHeight="false" outlineLevel="0" collapsed="false">
      <c r="A271" s="27"/>
      <c r="B271" s="46"/>
      <c r="C271" s="46"/>
      <c r="D271" s="40"/>
      <c r="E271" s="40"/>
      <c r="F271" s="43"/>
      <c r="G271" s="47"/>
      <c r="H271" s="44"/>
      <c r="I271" s="48" t="str">
        <f aca="true">IF(OR(A271="",D271=""),"",MAX(0,NETWORKDAYS(D271,IF(E271="",TODAY(),E271),Bank_Holidays!$A$6:$A$60)-N(F271)))</f>
        <v/>
      </c>
      <c r="J271" s="49" t="str">
        <f aca="false">IF(I271="","",IF(I271&gt;Config!$B$16,"Yes","No"))</f>
        <v/>
      </c>
      <c r="K271" s="46"/>
    </row>
    <row r="272" customFormat="false" ht="15" hidden="false" customHeight="false" outlineLevel="0" collapsed="false">
      <c r="A272" s="27"/>
      <c r="B272" s="46"/>
      <c r="C272" s="46"/>
      <c r="D272" s="40"/>
      <c r="E272" s="40"/>
      <c r="F272" s="43"/>
      <c r="G272" s="47"/>
      <c r="H272" s="44"/>
      <c r="I272" s="48" t="str">
        <f aca="true">IF(OR(A272="",D272=""),"",MAX(0,NETWORKDAYS(D272,IF(E272="",TODAY(),E272),Bank_Holidays!$A$6:$A$60)-N(F272)))</f>
        <v/>
      </c>
      <c r="J272" s="49" t="str">
        <f aca="false">IF(I272="","",IF(I272&gt;Config!$B$16,"Yes","No"))</f>
        <v/>
      </c>
      <c r="K272" s="46"/>
    </row>
    <row r="273" customFormat="false" ht="15" hidden="false" customHeight="false" outlineLevel="0" collapsed="false">
      <c r="A273" s="27"/>
      <c r="B273" s="46"/>
      <c r="C273" s="46"/>
      <c r="D273" s="40"/>
      <c r="E273" s="40"/>
      <c r="F273" s="43"/>
      <c r="G273" s="47"/>
      <c r="H273" s="44"/>
      <c r="I273" s="48" t="str">
        <f aca="true">IF(OR(A273="",D273=""),"",MAX(0,NETWORKDAYS(D273,IF(E273="",TODAY(),E273),Bank_Holidays!$A$6:$A$60)-N(F273)))</f>
        <v/>
      </c>
      <c r="J273" s="49" t="str">
        <f aca="false">IF(I273="","",IF(I273&gt;Config!$B$16,"Yes","No"))</f>
        <v/>
      </c>
      <c r="K273" s="46"/>
    </row>
    <row r="274" customFormat="false" ht="15" hidden="false" customHeight="false" outlineLevel="0" collapsed="false">
      <c r="A274" s="27"/>
      <c r="B274" s="46"/>
      <c r="C274" s="46"/>
      <c r="D274" s="40"/>
      <c r="E274" s="40"/>
      <c r="F274" s="43"/>
      <c r="G274" s="47"/>
      <c r="H274" s="44"/>
      <c r="I274" s="48" t="str">
        <f aca="true">IF(OR(A274="",D274=""),"",MAX(0,NETWORKDAYS(D274,IF(E274="",TODAY(),E274),Bank_Holidays!$A$6:$A$60)-N(F274)))</f>
        <v/>
      </c>
      <c r="J274" s="49" t="str">
        <f aca="false">IF(I274="","",IF(I274&gt;Config!$B$16,"Yes","No"))</f>
        <v/>
      </c>
      <c r="K274" s="46"/>
    </row>
    <row r="275" customFormat="false" ht="15" hidden="false" customHeight="false" outlineLevel="0" collapsed="false">
      <c r="A275" s="27"/>
      <c r="B275" s="46"/>
      <c r="C275" s="46"/>
      <c r="D275" s="40"/>
      <c r="E275" s="40"/>
      <c r="F275" s="43"/>
      <c r="G275" s="47"/>
      <c r="H275" s="44"/>
      <c r="I275" s="48" t="str">
        <f aca="true">IF(OR(A275="",D275=""),"",MAX(0,NETWORKDAYS(D275,IF(E275="",TODAY(),E275),Bank_Holidays!$A$6:$A$60)-N(F275)))</f>
        <v/>
      </c>
      <c r="J275" s="49" t="str">
        <f aca="false">IF(I275="","",IF(I275&gt;Config!$B$16,"Yes","No"))</f>
        <v/>
      </c>
      <c r="K275" s="46"/>
    </row>
    <row r="276" customFormat="false" ht="15" hidden="false" customHeight="false" outlineLevel="0" collapsed="false">
      <c r="A276" s="27"/>
      <c r="B276" s="46"/>
      <c r="C276" s="46"/>
      <c r="D276" s="40"/>
      <c r="E276" s="40"/>
      <c r="F276" s="43"/>
      <c r="G276" s="47"/>
      <c r="H276" s="44"/>
      <c r="I276" s="48" t="str">
        <f aca="true">IF(OR(A276="",D276=""),"",MAX(0,NETWORKDAYS(D276,IF(E276="",TODAY(),E276),Bank_Holidays!$A$6:$A$60)-N(F276)))</f>
        <v/>
      </c>
      <c r="J276" s="49" t="str">
        <f aca="false">IF(I276="","",IF(I276&gt;Config!$B$16,"Yes","No"))</f>
        <v/>
      </c>
      <c r="K276" s="46"/>
    </row>
    <row r="277" customFormat="false" ht="15" hidden="false" customHeight="false" outlineLevel="0" collapsed="false">
      <c r="A277" s="27"/>
      <c r="B277" s="46"/>
      <c r="C277" s="46"/>
      <c r="D277" s="40"/>
      <c r="E277" s="40"/>
      <c r="F277" s="43"/>
      <c r="G277" s="47"/>
      <c r="H277" s="44"/>
      <c r="I277" s="48" t="str">
        <f aca="true">IF(OR(A277="",D277=""),"",MAX(0,NETWORKDAYS(D277,IF(E277="",TODAY(),E277),Bank_Holidays!$A$6:$A$60)-N(F277)))</f>
        <v/>
      </c>
      <c r="J277" s="49" t="str">
        <f aca="false">IF(I277="","",IF(I277&gt;Config!$B$16,"Yes","No"))</f>
        <v/>
      </c>
      <c r="K277" s="46"/>
    </row>
    <row r="278" customFormat="false" ht="15" hidden="false" customHeight="false" outlineLevel="0" collapsed="false">
      <c r="A278" s="27"/>
      <c r="B278" s="46"/>
      <c r="C278" s="46"/>
      <c r="D278" s="40"/>
      <c r="E278" s="40"/>
      <c r="F278" s="43"/>
      <c r="G278" s="47"/>
      <c r="H278" s="44"/>
      <c r="I278" s="48" t="str">
        <f aca="true">IF(OR(A278="",D278=""),"",MAX(0,NETWORKDAYS(D278,IF(E278="",TODAY(),E278),Bank_Holidays!$A$6:$A$60)-N(F278)))</f>
        <v/>
      </c>
      <c r="J278" s="49" t="str">
        <f aca="false">IF(I278="","",IF(I278&gt;Config!$B$16,"Yes","No"))</f>
        <v/>
      </c>
      <c r="K278" s="46"/>
    </row>
    <row r="279" customFormat="false" ht="15" hidden="false" customHeight="false" outlineLevel="0" collapsed="false">
      <c r="A279" s="27"/>
      <c r="B279" s="46"/>
      <c r="C279" s="46"/>
      <c r="D279" s="40"/>
      <c r="E279" s="40"/>
      <c r="F279" s="43"/>
      <c r="G279" s="47"/>
      <c r="H279" s="44"/>
      <c r="I279" s="48" t="str">
        <f aca="true">IF(OR(A279="",D279=""),"",MAX(0,NETWORKDAYS(D279,IF(E279="",TODAY(),E279),Bank_Holidays!$A$6:$A$60)-N(F279)))</f>
        <v/>
      </c>
      <c r="J279" s="49" t="str">
        <f aca="false">IF(I279="","",IF(I279&gt;Config!$B$16,"Yes","No"))</f>
        <v/>
      </c>
      <c r="K279" s="46"/>
    </row>
    <row r="280" customFormat="false" ht="15" hidden="false" customHeight="false" outlineLevel="0" collapsed="false">
      <c r="A280" s="27"/>
      <c r="B280" s="46"/>
      <c r="C280" s="46"/>
      <c r="D280" s="40"/>
      <c r="E280" s="40"/>
      <c r="F280" s="43"/>
      <c r="G280" s="47"/>
      <c r="H280" s="44"/>
      <c r="I280" s="48" t="str">
        <f aca="true">IF(OR(A280="",D280=""),"",MAX(0,NETWORKDAYS(D280,IF(E280="",TODAY(),E280),Bank_Holidays!$A$6:$A$60)-N(F280)))</f>
        <v/>
      </c>
      <c r="J280" s="49" t="str">
        <f aca="false">IF(I280="","",IF(I280&gt;Config!$B$16,"Yes","No"))</f>
        <v/>
      </c>
      <c r="K280" s="46"/>
    </row>
    <row r="281" customFormat="false" ht="15" hidden="false" customHeight="false" outlineLevel="0" collapsed="false">
      <c r="A281" s="27"/>
      <c r="B281" s="46"/>
      <c r="C281" s="46"/>
      <c r="D281" s="40"/>
      <c r="E281" s="40"/>
      <c r="F281" s="43"/>
      <c r="G281" s="47"/>
      <c r="H281" s="44"/>
      <c r="I281" s="48" t="str">
        <f aca="true">IF(OR(A281="",D281=""),"",MAX(0,NETWORKDAYS(D281,IF(E281="",TODAY(),E281),Bank_Holidays!$A$6:$A$60)-N(F281)))</f>
        <v/>
      </c>
      <c r="J281" s="49" t="str">
        <f aca="false">IF(I281="","",IF(I281&gt;Config!$B$16,"Yes","No"))</f>
        <v/>
      </c>
      <c r="K281" s="46"/>
    </row>
    <row r="282" customFormat="false" ht="15" hidden="false" customHeight="false" outlineLevel="0" collapsed="false">
      <c r="A282" s="27"/>
      <c r="B282" s="46"/>
      <c r="C282" s="46"/>
      <c r="D282" s="40"/>
      <c r="E282" s="40"/>
      <c r="F282" s="43"/>
      <c r="G282" s="47"/>
      <c r="H282" s="44"/>
      <c r="I282" s="48" t="str">
        <f aca="true">IF(OR(A282="",D282=""),"",MAX(0,NETWORKDAYS(D282,IF(E282="",TODAY(),E282),Bank_Holidays!$A$6:$A$60)-N(F282)))</f>
        <v/>
      </c>
      <c r="J282" s="49" t="str">
        <f aca="false">IF(I282="","",IF(I282&gt;Config!$B$16,"Yes","No"))</f>
        <v/>
      </c>
      <c r="K282" s="46"/>
    </row>
    <row r="283" customFormat="false" ht="15" hidden="false" customHeight="false" outlineLevel="0" collapsed="false">
      <c r="A283" s="27"/>
      <c r="B283" s="46"/>
      <c r="C283" s="46"/>
      <c r="D283" s="40"/>
      <c r="E283" s="40"/>
      <c r="F283" s="43"/>
      <c r="G283" s="47"/>
      <c r="H283" s="44"/>
      <c r="I283" s="48" t="str">
        <f aca="true">IF(OR(A283="",D283=""),"",MAX(0,NETWORKDAYS(D283,IF(E283="",TODAY(),E283),Bank_Holidays!$A$6:$A$60)-N(F283)))</f>
        <v/>
      </c>
      <c r="J283" s="49" t="str">
        <f aca="false">IF(I283="","",IF(I283&gt;Config!$B$16,"Yes","No"))</f>
        <v/>
      </c>
      <c r="K283" s="46"/>
    </row>
    <row r="284" customFormat="false" ht="15" hidden="false" customHeight="false" outlineLevel="0" collapsed="false">
      <c r="A284" s="27"/>
      <c r="B284" s="46"/>
      <c r="C284" s="46"/>
      <c r="D284" s="40"/>
      <c r="E284" s="40"/>
      <c r="F284" s="43"/>
      <c r="G284" s="47"/>
      <c r="H284" s="44"/>
      <c r="I284" s="48" t="str">
        <f aca="true">IF(OR(A284="",D284=""),"",MAX(0,NETWORKDAYS(D284,IF(E284="",TODAY(),E284),Bank_Holidays!$A$6:$A$60)-N(F284)))</f>
        <v/>
      </c>
      <c r="J284" s="49" t="str">
        <f aca="false">IF(I284="","",IF(I284&gt;Config!$B$16,"Yes","No"))</f>
        <v/>
      </c>
      <c r="K284" s="46"/>
    </row>
    <row r="285" customFormat="false" ht="15" hidden="false" customHeight="false" outlineLevel="0" collapsed="false">
      <c r="A285" s="27"/>
      <c r="B285" s="46"/>
      <c r="C285" s="46"/>
      <c r="D285" s="40"/>
      <c r="E285" s="40"/>
      <c r="F285" s="43"/>
      <c r="G285" s="47"/>
      <c r="H285" s="44"/>
      <c r="I285" s="48" t="str">
        <f aca="true">IF(OR(A285="",D285=""),"",MAX(0,NETWORKDAYS(D285,IF(E285="",TODAY(),E285),Bank_Holidays!$A$6:$A$60)-N(F285)))</f>
        <v/>
      </c>
      <c r="J285" s="49" t="str">
        <f aca="false">IF(I285="","",IF(I285&gt;Config!$B$16,"Yes","No"))</f>
        <v/>
      </c>
      <c r="K285" s="46"/>
    </row>
    <row r="286" customFormat="false" ht="15" hidden="false" customHeight="false" outlineLevel="0" collapsed="false">
      <c r="A286" s="27"/>
      <c r="B286" s="46"/>
      <c r="C286" s="46"/>
      <c r="D286" s="40"/>
      <c r="E286" s="40"/>
      <c r="F286" s="43"/>
      <c r="G286" s="47"/>
      <c r="H286" s="44"/>
      <c r="I286" s="48" t="str">
        <f aca="true">IF(OR(A286="",D286=""),"",MAX(0,NETWORKDAYS(D286,IF(E286="",TODAY(),E286),Bank_Holidays!$A$6:$A$60)-N(F286)))</f>
        <v/>
      </c>
      <c r="J286" s="49" t="str">
        <f aca="false">IF(I286="","",IF(I286&gt;Config!$B$16,"Yes","No"))</f>
        <v/>
      </c>
      <c r="K286" s="46"/>
    </row>
    <row r="287" customFormat="false" ht="15" hidden="false" customHeight="false" outlineLevel="0" collapsed="false">
      <c r="A287" s="27"/>
      <c r="B287" s="46"/>
      <c r="C287" s="46"/>
      <c r="D287" s="40"/>
      <c r="E287" s="40"/>
      <c r="F287" s="43"/>
      <c r="G287" s="47"/>
      <c r="H287" s="44"/>
      <c r="I287" s="48" t="str">
        <f aca="true">IF(OR(A287="",D287=""),"",MAX(0,NETWORKDAYS(D287,IF(E287="",TODAY(),E287),Bank_Holidays!$A$6:$A$60)-N(F287)))</f>
        <v/>
      </c>
      <c r="J287" s="49" t="str">
        <f aca="false">IF(I287="","",IF(I287&gt;Config!$B$16,"Yes","No"))</f>
        <v/>
      </c>
      <c r="K287" s="46"/>
    </row>
    <row r="288" customFormat="false" ht="15" hidden="false" customHeight="false" outlineLevel="0" collapsed="false">
      <c r="A288" s="27"/>
      <c r="B288" s="46"/>
      <c r="C288" s="46"/>
      <c r="D288" s="40"/>
      <c r="E288" s="40"/>
      <c r="F288" s="43"/>
      <c r="G288" s="47"/>
      <c r="H288" s="44"/>
      <c r="I288" s="48" t="str">
        <f aca="true">IF(OR(A288="",D288=""),"",MAX(0,NETWORKDAYS(D288,IF(E288="",TODAY(),E288),Bank_Holidays!$A$6:$A$60)-N(F288)))</f>
        <v/>
      </c>
      <c r="J288" s="49" t="str">
        <f aca="false">IF(I288="","",IF(I288&gt;Config!$B$16,"Yes","No"))</f>
        <v/>
      </c>
      <c r="K288" s="46"/>
    </row>
    <row r="289" customFormat="false" ht="15" hidden="false" customHeight="false" outlineLevel="0" collapsed="false">
      <c r="A289" s="27"/>
      <c r="B289" s="46"/>
      <c r="C289" s="46"/>
      <c r="D289" s="40"/>
      <c r="E289" s="40"/>
      <c r="F289" s="43"/>
      <c r="G289" s="47"/>
      <c r="H289" s="44"/>
      <c r="I289" s="48" t="str">
        <f aca="true">IF(OR(A289="",D289=""),"",MAX(0,NETWORKDAYS(D289,IF(E289="",TODAY(),E289),Bank_Holidays!$A$6:$A$60)-N(F289)))</f>
        <v/>
      </c>
      <c r="J289" s="49" t="str">
        <f aca="false">IF(I289="","",IF(I289&gt;Config!$B$16,"Yes","No"))</f>
        <v/>
      </c>
      <c r="K289" s="46"/>
    </row>
    <row r="290" customFormat="false" ht="15" hidden="false" customHeight="false" outlineLevel="0" collapsed="false">
      <c r="A290" s="27"/>
      <c r="B290" s="46"/>
      <c r="C290" s="46"/>
      <c r="D290" s="40"/>
      <c r="E290" s="40"/>
      <c r="F290" s="43"/>
      <c r="G290" s="47"/>
      <c r="H290" s="44"/>
      <c r="I290" s="48" t="str">
        <f aca="true">IF(OR(A290="",D290=""),"",MAX(0,NETWORKDAYS(D290,IF(E290="",TODAY(),E290),Bank_Holidays!$A$6:$A$60)-N(F290)))</f>
        <v/>
      </c>
      <c r="J290" s="49" t="str">
        <f aca="false">IF(I290="","",IF(I290&gt;Config!$B$16,"Yes","No"))</f>
        <v/>
      </c>
      <c r="K290" s="46"/>
    </row>
    <row r="291" customFormat="false" ht="15" hidden="false" customHeight="false" outlineLevel="0" collapsed="false">
      <c r="A291" s="27"/>
      <c r="B291" s="46"/>
      <c r="C291" s="46"/>
      <c r="D291" s="40"/>
      <c r="E291" s="40"/>
      <c r="F291" s="43"/>
      <c r="G291" s="47"/>
      <c r="H291" s="44"/>
      <c r="I291" s="48" t="str">
        <f aca="true">IF(OR(A291="",D291=""),"",MAX(0,NETWORKDAYS(D291,IF(E291="",TODAY(),E291),Bank_Holidays!$A$6:$A$60)-N(F291)))</f>
        <v/>
      </c>
      <c r="J291" s="49" t="str">
        <f aca="false">IF(I291="","",IF(I291&gt;Config!$B$16,"Yes","No"))</f>
        <v/>
      </c>
      <c r="K291" s="46"/>
    </row>
    <row r="292" customFormat="false" ht="15" hidden="false" customHeight="false" outlineLevel="0" collapsed="false">
      <c r="A292" s="27"/>
      <c r="B292" s="46"/>
      <c r="C292" s="46"/>
      <c r="D292" s="40"/>
      <c r="E292" s="40"/>
      <c r="F292" s="43"/>
      <c r="G292" s="47"/>
      <c r="H292" s="44"/>
      <c r="I292" s="48" t="str">
        <f aca="true">IF(OR(A292="",D292=""),"",MAX(0,NETWORKDAYS(D292,IF(E292="",TODAY(),E292),Bank_Holidays!$A$6:$A$60)-N(F292)))</f>
        <v/>
      </c>
      <c r="J292" s="49" t="str">
        <f aca="false">IF(I292="","",IF(I292&gt;Config!$B$16,"Yes","No"))</f>
        <v/>
      </c>
      <c r="K292" s="46"/>
    </row>
    <row r="293" customFormat="false" ht="15" hidden="false" customHeight="false" outlineLevel="0" collapsed="false">
      <c r="A293" s="27"/>
      <c r="B293" s="46"/>
      <c r="C293" s="46"/>
      <c r="D293" s="40"/>
      <c r="E293" s="40"/>
      <c r="F293" s="43"/>
      <c r="G293" s="47"/>
      <c r="H293" s="44"/>
      <c r="I293" s="48" t="str">
        <f aca="true">IF(OR(A293="",D293=""),"",MAX(0,NETWORKDAYS(D293,IF(E293="",TODAY(),E293),Bank_Holidays!$A$6:$A$60)-N(F293)))</f>
        <v/>
      </c>
      <c r="J293" s="49" t="str">
        <f aca="false">IF(I293="","",IF(I293&gt;Config!$B$16,"Yes","No"))</f>
        <v/>
      </c>
      <c r="K293" s="46"/>
    </row>
    <row r="294" customFormat="false" ht="15" hidden="false" customHeight="false" outlineLevel="0" collapsed="false">
      <c r="A294" s="27"/>
      <c r="B294" s="46"/>
      <c r="C294" s="46"/>
      <c r="D294" s="40"/>
      <c r="E294" s="40"/>
      <c r="F294" s="43"/>
      <c r="G294" s="47"/>
      <c r="H294" s="44"/>
      <c r="I294" s="48" t="str">
        <f aca="true">IF(OR(A294="",D294=""),"",MAX(0,NETWORKDAYS(D294,IF(E294="",TODAY(),E294),Bank_Holidays!$A$6:$A$60)-N(F294)))</f>
        <v/>
      </c>
      <c r="J294" s="49" t="str">
        <f aca="false">IF(I294="","",IF(I294&gt;Config!$B$16,"Yes","No"))</f>
        <v/>
      </c>
      <c r="K294" s="46"/>
    </row>
    <row r="295" customFormat="false" ht="15" hidden="false" customHeight="false" outlineLevel="0" collapsed="false">
      <c r="A295" s="27"/>
      <c r="B295" s="46"/>
      <c r="C295" s="46"/>
      <c r="D295" s="40"/>
      <c r="E295" s="40"/>
      <c r="F295" s="43"/>
      <c r="G295" s="47"/>
      <c r="H295" s="44"/>
      <c r="I295" s="48" t="str">
        <f aca="true">IF(OR(A295="",D295=""),"",MAX(0,NETWORKDAYS(D295,IF(E295="",TODAY(),E295),Bank_Holidays!$A$6:$A$60)-N(F295)))</f>
        <v/>
      </c>
      <c r="J295" s="49" t="str">
        <f aca="false">IF(I295="","",IF(I295&gt;Config!$B$16,"Yes","No"))</f>
        <v/>
      </c>
      <c r="K295" s="46"/>
    </row>
    <row r="296" customFormat="false" ht="15" hidden="false" customHeight="false" outlineLevel="0" collapsed="false">
      <c r="A296" s="27"/>
      <c r="B296" s="46"/>
      <c r="C296" s="46"/>
      <c r="D296" s="40"/>
      <c r="E296" s="40"/>
      <c r="F296" s="43"/>
      <c r="G296" s="47"/>
      <c r="H296" s="44"/>
      <c r="I296" s="48" t="str">
        <f aca="true">IF(OR(A296="",D296=""),"",MAX(0,NETWORKDAYS(D296,IF(E296="",TODAY(),E296),Bank_Holidays!$A$6:$A$60)-N(F296)))</f>
        <v/>
      </c>
      <c r="J296" s="49" t="str">
        <f aca="false">IF(I296="","",IF(I296&gt;Config!$B$16,"Yes","No"))</f>
        <v/>
      </c>
      <c r="K296" s="46"/>
    </row>
    <row r="297" customFormat="false" ht="15" hidden="false" customHeight="false" outlineLevel="0" collapsed="false">
      <c r="A297" s="27"/>
      <c r="B297" s="46"/>
      <c r="C297" s="46"/>
      <c r="D297" s="40"/>
      <c r="E297" s="40"/>
      <c r="F297" s="43"/>
      <c r="G297" s="47"/>
      <c r="H297" s="44"/>
      <c r="I297" s="48" t="str">
        <f aca="true">IF(OR(A297="",D297=""),"",MAX(0,NETWORKDAYS(D297,IF(E297="",TODAY(),E297),Bank_Holidays!$A$6:$A$60)-N(F297)))</f>
        <v/>
      </c>
      <c r="J297" s="49" t="str">
        <f aca="false">IF(I297="","",IF(I297&gt;Config!$B$16,"Yes","No"))</f>
        <v/>
      </c>
      <c r="K297" s="46"/>
    </row>
    <row r="298" customFormat="false" ht="15" hidden="false" customHeight="false" outlineLevel="0" collapsed="false">
      <c r="A298" s="27"/>
      <c r="B298" s="46"/>
      <c r="C298" s="46"/>
      <c r="D298" s="40"/>
      <c r="E298" s="40"/>
      <c r="F298" s="43"/>
      <c r="G298" s="47"/>
      <c r="H298" s="44"/>
      <c r="I298" s="48" t="str">
        <f aca="true">IF(OR(A298="",D298=""),"",MAX(0,NETWORKDAYS(D298,IF(E298="",TODAY(),E298),Bank_Holidays!$A$6:$A$60)-N(F298)))</f>
        <v/>
      </c>
      <c r="J298" s="49" t="str">
        <f aca="false">IF(I298="","",IF(I298&gt;Config!$B$16,"Yes","No"))</f>
        <v/>
      </c>
      <c r="K298" s="46"/>
    </row>
    <row r="299" customFormat="false" ht="15" hidden="false" customHeight="false" outlineLevel="0" collapsed="false">
      <c r="A299" s="27"/>
      <c r="B299" s="46"/>
      <c r="C299" s="46"/>
      <c r="D299" s="40"/>
      <c r="E299" s="40"/>
      <c r="F299" s="43"/>
      <c r="G299" s="47"/>
      <c r="H299" s="44"/>
      <c r="I299" s="48" t="str">
        <f aca="true">IF(OR(A299="",D299=""),"",MAX(0,NETWORKDAYS(D299,IF(E299="",TODAY(),E299),Bank_Holidays!$A$6:$A$60)-N(F299)))</f>
        <v/>
      </c>
      <c r="J299" s="49" t="str">
        <f aca="false">IF(I299="","",IF(I299&gt;Config!$B$16,"Yes","No"))</f>
        <v/>
      </c>
      <c r="K299" s="46"/>
    </row>
    <row r="300" customFormat="false" ht="15" hidden="false" customHeight="false" outlineLevel="0" collapsed="false">
      <c r="A300" s="27"/>
      <c r="B300" s="46"/>
      <c r="C300" s="46"/>
      <c r="D300" s="40"/>
      <c r="E300" s="40"/>
      <c r="F300" s="43"/>
      <c r="G300" s="47"/>
      <c r="H300" s="44"/>
      <c r="I300" s="48" t="str">
        <f aca="true">IF(OR(A300="",D300=""),"",MAX(0,NETWORKDAYS(D300,IF(E300="",TODAY(),E300),Bank_Holidays!$A$6:$A$60)-N(F300)))</f>
        <v/>
      </c>
      <c r="J300" s="49" t="str">
        <f aca="false">IF(I300="","",IF(I300&gt;Config!$B$16,"Yes","No"))</f>
        <v/>
      </c>
      <c r="K300" s="46"/>
    </row>
    <row r="301" customFormat="false" ht="15" hidden="false" customHeight="false" outlineLevel="0" collapsed="false">
      <c r="A301" s="27"/>
      <c r="B301" s="46"/>
      <c r="C301" s="46"/>
      <c r="D301" s="40"/>
      <c r="E301" s="40"/>
      <c r="F301" s="43"/>
      <c r="G301" s="47"/>
      <c r="H301" s="44"/>
      <c r="I301" s="48" t="str">
        <f aca="true">IF(OR(A301="",D301=""),"",MAX(0,NETWORKDAYS(D301,IF(E301="",TODAY(),E301),Bank_Holidays!$A$6:$A$60)-N(F301)))</f>
        <v/>
      </c>
      <c r="J301" s="49" t="str">
        <f aca="false">IF(I301="","",IF(I301&gt;Config!$B$16,"Yes","No"))</f>
        <v/>
      </c>
      <c r="K301" s="46"/>
    </row>
    <row r="302" customFormat="false" ht="15" hidden="false" customHeight="false" outlineLevel="0" collapsed="false">
      <c r="A302" s="27"/>
      <c r="B302" s="46"/>
      <c r="C302" s="46"/>
      <c r="D302" s="40"/>
      <c r="E302" s="40"/>
      <c r="F302" s="43"/>
      <c r="G302" s="47"/>
      <c r="H302" s="44"/>
      <c r="I302" s="48" t="str">
        <f aca="true">IF(OR(A302="",D302=""),"",MAX(0,NETWORKDAYS(D302,IF(E302="",TODAY(),E302),Bank_Holidays!$A$6:$A$60)-N(F302)))</f>
        <v/>
      </c>
      <c r="J302" s="49" t="str">
        <f aca="false">IF(I302="","",IF(I302&gt;Config!$B$16,"Yes","No"))</f>
        <v/>
      </c>
      <c r="K302" s="46"/>
    </row>
    <row r="303" customFormat="false" ht="15" hidden="false" customHeight="false" outlineLevel="0" collapsed="false">
      <c r="A303" s="27"/>
      <c r="B303" s="46"/>
      <c r="C303" s="46"/>
      <c r="D303" s="40"/>
      <c r="E303" s="40"/>
      <c r="F303" s="43"/>
      <c r="G303" s="47"/>
      <c r="H303" s="44"/>
      <c r="I303" s="48" t="str">
        <f aca="true">IF(OR(A303="",D303=""),"",MAX(0,NETWORKDAYS(D303,IF(E303="",TODAY(),E303),Bank_Holidays!$A$6:$A$60)-N(F303)))</f>
        <v/>
      </c>
      <c r="J303" s="49" t="str">
        <f aca="false">IF(I303="","",IF(I303&gt;Config!$B$16,"Yes","No"))</f>
        <v/>
      </c>
      <c r="K303" s="46"/>
    </row>
    <row r="304" customFormat="false" ht="15" hidden="false" customHeight="false" outlineLevel="0" collapsed="false">
      <c r="A304" s="27"/>
      <c r="B304" s="46"/>
      <c r="C304" s="46"/>
      <c r="D304" s="40"/>
      <c r="E304" s="40"/>
      <c r="F304" s="43"/>
      <c r="G304" s="47"/>
      <c r="H304" s="44"/>
      <c r="I304" s="48" t="str">
        <f aca="true">IF(OR(A304="",D304=""),"",MAX(0,NETWORKDAYS(D304,IF(E304="",TODAY(),E304),Bank_Holidays!$A$6:$A$60)-N(F304)))</f>
        <v/>
      </c>
      <c r="J304" s="49" t="str">
        <f aca="false">IF(I304="","",IF(I304&gt;Config!$B$16,"Yes","No"))</f>
        <v/>
      </c>
      <c r="K304" s="46"/>
    </row>
    <row r="305" customFormat="false" ht="15" hidden="false" customHeight="false" outlineLevel="0" collapsed="false">
      <c r="A305" s="27"/>
      <c r="B305" s="46"/>
      <c r="C305" s="46"/>
      <c r="D305" s="40"/>
      <c r="E305" s="40"/>
      <c r="F305" s="43"/>
      <c r="G305" s="47"/>
      <c r="H305" s="44"/>
      <c r="I305" s="48" t="str">
        <f aca="true">IF(OR(A305="",D305=""),"",MAX(0,NETWORKDAYS(D305,IF(E305="",TODAY(),E305),Bank_Holidays!$A$6:$A$60)-N(F305)))</f>
        <v/>
      </c>
      <c r="J305" s="49" t="str">
        <f aca="false">IF(I305="","",IF(I305&gt;Config!$B$16,"Yes","No"))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10">
      <formula>"Yes"</formula>
    </cfRule>
    <cfRule type="cellIs" priority="3" operator="equal" aboveAverage="0" equalAverage="0" bottom="0" percent="0" rank="0" text="" dxfId="8">
      <formula>"No"</formula>
    </cfRule>
  </conditionalFormatting>
  <dataValidations count="6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F6:F305" type="whole">
      <formula1>0</formula1>
      <formula2>0</formula2>
    </dataValidation>
    <dataValidation allowBlank="false" error="Please choose a value from the dropdown (list 'TSR Status' on the Lists sheet)." errorStyle="stop" errorTitle="Pick from the list" operator="between" showDropDown="false" showErrorMessage="true" showInputMessage="false" sqref="G6:G305" type="list">
      <formula1>Lists!$F$2:$F$40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4"/>
    <col collapsed="false" customWidth="true" hidden="false" outlineLevel="0" max="5" min="3" style="1" width="12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9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417</v>
      </c>
    </row>
    <row r="2" customFormat="false" ht="15" hidden="false" customHeight="true" outlineLevel="0" collapsed="false">
      <c r="A2" s="23" t="s">
        <v>418</v>
      </c>
    </row>
    <row r="3" customFormat="false" ht="15" hidden="false" customHeight="true" outlineLevel="0" collapsed="false">
      <c r="A3" s="35" t="s">
        <v>419</v>
      </c>
    </row>
    <row r="5" customFormat="false" ht="43.5" hidden="false" customHeight="true" outlineLevel="0" collapsed="false">
      <c r="A5" s="39" t="s">
        <v>420</v>
      </c>
      <c r="B5" s="39" t="s">
        <v>281</v>
      </c>
      <c r="C5" s="39" t="s">
        <v>421</v>
      </c>
      <c r="D5" s="39" t="s">
        <v>422</v>
      </c>
      <c r="E5" s="39" t="s">
        <v>423</v>
      </c>
      <c r="F5" s="39" t="s">
        <v>424</v>
      </c>
      <c r="G5" s="39" t="s">
        <v>425</v>
      </c>
      <c r="H5" s="39" t="s">
        <v>426</v>
      </c>
      <c r="I5" s="39" t="s">
        <v>350</v>
      </c>
      <c r="J5" s="39" t="s">
        <v>427</v>
      </c>
      <c r="K5" s="39" t="s">
        <v>262</v>
      </c>
    </row>
    <row r="6" customFormat="false" ht="15" hidden="false" customHeight="false" outlineLevel="0" collapsed="false">
      <c r="A6" s="46" t="s">
        <v>428</v>
      </c>
      <c r="B6" s="46" t="s">
        <v>406</v>
      </c>
      <c r="C6" s="40" t="n">
        <v>46108</v>
      </c>
      <c r="D6" s="40"/>
      <c r="E6" s="40" t="n">
        <v>46107</v>
      </c>
      <c r="F6" s="27" t="s">
        <v>158</v>
      </c>
      <c r="G6" s="45" t="s">
        <v>429</v>
      </c>
      <c r="H6" s="48" t="n">
        <f aca="true">IF(OR(A6="",C6=""),"",IF(E6&lt;&gt;"",MAX(0,E6-C6),MAX(0,TODAY()-C6)))</f>
        <v>0</v>
      </c>
      <c r="I6" s="49" t="str">
        <f aca="true">IF(OR(A6="",C6=""),"",IF(E6&lt;&gt;"",IF(E6&lt;=C6,"Completed","Completed Late"),IF(TODAY()&gt;C6,"Overdue","On Schedule")))</f>
        <v>Completed</v>
      </c>
      <c r="J6" s="49" t="str">
        <f aca="true">IF(OR(A6="",C6=""),"",IF(E6&lt;&gt;"",IF(E6&lt;=C6,"Green","Red"),IF(TODAY()&gt;C6,"Red",IF(C6-TODAY()&lt;=Config!$B$30,"Amber","Green"))))</f>
        <v>Green</v>
      </c>
      <c r="K6" s="46"/>
    </row>
    <row r="7" customFormat="false" ht="15" hidden="false" customHeight="false" outlineLevel="0" collapsed="false">
      <c r="A7" s="46" t="s">
        <v>430</v>
      </c>
      <c r="B7" s="46" t="s">
        <v>292</v>
      </c>
      <c r="C7" s="40" t="n">
        <v>46157</v>
      </c>
      <c r="D7" s="40"/>
      <c r="E7" s="40" t="n">
        <v>46156</v>
      </c>
      <c r="F7" s="27" t="s">
        <v>161</v>
      </c>
      <c r="G7" s="45" t="s">
        <v>429</v>
      </c>
      <c r="H7" s="48" t="n">
        <f aca="true">IF(OR(A7="",C7=""),"",IF(E7&lt;&gt;"",MAX(0,E7-C7),MAX(0,TODAY()-C7)))</f>
        <v>0</v>
      </c>
      <c r="I7" s="49" t="str">
        <f aca="true">IF(OR(A7="",C7=""),"",IF(E7&lt;&gt;"",IF(E7&lt;=C7,"Completed","Completed Late"),IF(TODAY()&gt;C7,"Overdue","On Schedule")))</f>
        <v>Completed</v>
      </c>
      <c r="J7" s="49" t="str">
        <f aca="true">IF(OR(A7="",C7=""),"",IF(E7&lt;&gt;"",IF(E7&lt;=C7,"Green","Red"),IF(TODAY()&gt;C7,"Red",IF(C7-TODAY()&lt;=Config!$B$30,"Amber","Green"))))</f>
        <v>Green</v>
      </c>
      <c r="K7" s="46"/>
    </row>
    <row r="8" customFormat="false" ht="15" hidden="false" customHeight="false" outlineLevel="0" collapsed="false">
      <c r="A8" s="46" t="s">
        <v>431</v>
      </c>
      <c r="B8" s="46" t="s">
        <v>292</v>
      </c>
      <c r="C8" s="40" t="n">
        <v>46185</v>
      </c>
      <c r="D8" s="40"/>
      <c r="E8" s="40" t="n">
        <v>46184</v>
      </c>
      <c r="F8" s="27" t="s">
        <v>432</v>
      </c>
      <c r="G8" s="45" t="s">
        <v>429</v>
      </c>
      <c r="H8" s="48" t="n">
        <f aca="true">IF(OR(A8="",C8=""),"",IF(E8&lt;&gt;"",MAX(0,E8-C8),MAX(0,TODAY()-C8)))</f>
        <v>0</v>
      </c>
      <c r="I8" s="49" t="str">
        <f aca="true">IF(OR(A8="",C8=""),"",IF(E8&lt;&gt;"",IF(E8&lt;=C8,"Completed","Completed Late"),IF(TODAY()&gt;C8,"Overdue","On Schedule")))</f>
        <v>Completed</v>
      </c>
      <c r="J8" s="49" t="str">
        <f aca="true">IF(OR(A8="",C8=""),"",IF(E8&lt;&gt;"",IF(E8&lt;=C8,"Green","Red"),IF(TODAY()&gt;C8,"Red",IF(C8-TODAY()&lt;=Config!$B$30,"Amber","Green"))))</f>
        <v>Green</v>
      </c>
      <c r="K8" s="46"/>
    </row>
    <row r="9" customFormat="false" ht="15" hidden="false" customHeight="false" outlineLevel="0" collapsed="false">
      <c r="A9" s="46" t="s">
        <v>433</v>
      </c>
      <c r="B9" s="46" t="s">
        <v>292</v>
      </c>
      <c r="C9" s="40" t="n">
        <v>46213</v>
      </c>
      <c r="D9" s="40"/>
      <c r="E9" s="40" t="n">
        <v>46212</v>
      </c>
      <c r="F9" s="27" t="s">
        <v>432</v>
      </c>
      <c r="G9" s="45" t="s">
        <v>429</v>
      </c>
      <c r="H9" s="48" t="n">
        <f aca="true">IF(OR(A9="",C9=""),"",IF(E9&lt;&gt;"",MAX(0,E9-C9),MAX(0,TODAY()-C9)))</f>
        <v>0</v>
      </c>
      <c r="I9" s="49" t="str">
        <f aca="true">IF(OR(A9="",C9=""),"",IF(E9&lt;&gt;"",IF(E9&lt;=C9,"Completed","Completed Late"),IF(TODAY()&gt;C9,"Overdue","On Schedule")))</f>
        <v>Completed</v>
      </c>
      <c r="J9" s="49" t="str">
        <f aca="true">IF(OR(A9="",C9=""),"",IF(E9&lt;&gt;"",IF(E9&lt;=C9,"Green","Red"),IF(TODAY()&gt;C9,"Red",IF(C9-TODAY()&lt;=Config!$B$30,"Amber","Green"))))</f>
        <v>Green</v>
      </c>
      <c r="K9" s="46"/>
    </row>
    <row r="10" customFormat="false" ht="15" hidden="false" customHeight="false" outlineLevel="0" collapsed="false">
      <c r="A10" s="46" t="s">
        <v>434</v>
      </c>
      <c r="B10" s="46" t="s">
        <v>292</v>
      </c>
      <c r="C10" s="40" t="n">
        <v>46283</v>
      </c>
      <c r="D10" s="40"/>
      <c r="E10" s="40" t="n">
        <v>46282</v>
      </c>
      <c r="F10" s="27" t="s">
        <v>161</v>
      </c>
      <c r="G10" s="45" t="s">
        <v>429</v>
      </c>
      <c r="H10" s="48" t="n">
        <f aca="true">IF(OR(A10="",C10=""),"",IF(E10&lt;&gt;"",MAX(0,E10-C10),MAX(0,TODAY()-C10)))</f>
        <v>0</v>
      </c>
      <c r="I10" s="49" t="str">
        <f aca="true">IF(OR(A10="",C10=""),"",IF(E10&lt;&gt;"",IF(E10&lt;=C10,"Completed","Completed Late"),IF(TODAY()&gt;C10,"Overdue","On Schedule")))</f>
        <v>Completed</v>
      </c>
      <c r="J10" s="49" t="str">
        <f aca="true">IF(OR(A10="",C10=""),"",IF(E10&lt;&gt;"",IF(E10&lt;=C10,"Green","Red"),IF(TODAY()&gt;C10,"Red",IF(C10-TODAY()&lt;=Config!$B$30,"Amber","Green"))))</f>
        <v>Green</v>
      </c>
      <c r="K10" s="46"/>
    </row>
    <row r="11" customFormat="false" ht="15" hidden="false" customHeight="false" outlineLevel="0" collapsed="false">
      <c r="A11" s="46" t="s">
        <v>435</v>
      </c>
      <c r="B11" s="46" t="s">
        <v>292</v>
      </c>
      <c r="C11" s="40" t="n">
        <v>46332</v>
      </c>
      <c r="D11" s="40"/>
      <c r="E11" s="40"/>
      <c r="F11" s="27" t="s">
        <v>161</v>
      </c>
      <c r="G11" s="45" t="s">
        <v>436</v>
      </c>
      <c r="H11" s="48" t="n">
        <f aca="true">IF(OR(A11="",C11=""),"",IF(E11&lt;&gt;"",MAX(0,E11-C11),MAX(0,TODAY()-C11)))</f>
        <v>0</v>
      </c>
      <c r="I11" s="49" t="str">
        <f aca="true">IF(OR(A11="",C11=""),"",IF(E11&lt;&gt;"",IF(E11&lt;=C11,"Completed","Completed Late"),IF(TODAY()&gt;C11,"Overdue","On Schedule")))</f>
        <v>On Schedule</v>
      </c>
      <c r="J11" s="49" t="str">
        <f aca="true">IF(OR(A11="",C11=""),"",IF(E11&lt;&gt;"",IF(E11&lt;=C11,"Green","Red"),IF(TODAY()&gt;C11,"Red",IF(C11-TODAY()&lt;=Config!$B$30,"Amber","Green"))))</f>
        <v>Green</v>
      </c>
      <c r="K11" s="46"/>
    </row>
    <row r="12" customFormat="false" ht="15" hidden="false" customHeight="false" outlineLevel="0" collapsed="false">
      <c r="A12" s="46" t="s">
        <v>437</v>
      </c>
      <c r="B12" s="46" t="s">
        <v>292</v>
      </c>
      <c r="C12" s="40" t="n">
        <v>46318</v>
      </c>
      <c r="D12" s="40"/>
      <c r="E12" s="40"/>
      <c r="F12" s="27" t="s">
        <v>432</v>
      </c>
      <c r="G12" s="45" t="s">
        <v>436</v>
      </c>
      <c r="H12" s="48" t="n">
        <f aca="true">IF(OR(A12="",C12=""),"",IF(E12&lt;&gt;"",MAX(0,E12-C12),MAX(0,TODAY()-C12)))</f>
        <v>0</v>
      </c>
      <c r="I12" s="49" t="str">
        <f aca="true">IF(OR(A12="",C12=""),"",IF(E12&lt;&gt;"",IF(E12&lt;=C12,"Completed","Completed Late"),IF(TODAY()&gt;C12,"Overdue","On Schedule")))</f>
        <v>On Schedule</v>
      </c>
      <c r="J12" s="49" t="str">
        <f aca="true">IF(OR(A12="",C12=""),"",IF(E12&lt;&gt;"",IF(E12&lt;=C12,"Green","Red"),IF(TODAY()&gt;C12,"Red",IF(C12-TODAY()&lt;=Config!$B$30,"Amber","Green"))))</f>
        <v>Green</v>
      </c>
      <c r="K12" s="46"/>
    </row>
    <row r="13" customFormat="false" ht="30" hidden="false" customHeight="true" outlineLevel="0" collapsed="false">
      <c r="A13" s="46" t="s">
        <v>438</v>
      </c>
      <c r="B13" s="46" t="s">
        <v>406</v>
      </c>
      <c r="C13" s="40" t="n">
        <v>46346</v>
      </c>
      <c r="D13" s="40"/>
      <c r="E13" s="40"/>
      <c r="F13" s="27" t="s">
        <v>439</v>
      </c>
      <c r="G13" s="45" t="s">
        <v>436</v>
      </c>
      <c r="H13" s="48" t="n">
        <f aca="true">IF(OR(A13="",C13=""),"",IF(E13&lt;&gt;"",MAX(0,E13-C13),MAX(0,TODAY()-C13)))</f>
        <v>0</v>
      </c>
      <c r="I13" s="49" t="str">
        <f aca="true">IF(OR(A13="",C13=""),"",IF(E13&lt;&gt;"",IF(E13&lt;=C13,"Completed","Completed Late"),IF(TODAY()&gt;C13,"Overdue","On Schedule")))</f>
        <v>On Schedule</v>
      </c>
      <c r="J13" s="49" t="str">
        <f aca="true">IF(OR(A13="",C13=""),"",IF(E13&lt;&gt;"",IF(E13&lt;=C13,"Green","Red"),IF(TODAY()&gt;C13,"Red",IF(C13-TODAY()&lt;=Config!$B$30,"Amber","Green"))))</f>
        <v>Green</v>
      </c>
      <c r="K13" s="46"/>
    </row>
    <row r="14" customFormat="false" ht="15" hidden="false" customHeight="false" outlineLevel="0" collapsed="false">
      <c r="A14" s="46" t="s">
        <v>440</v>
      </c>
      <c r="B14" s="46" t="s">
        <v>292</v>
      </c>
      <c r="C14" s="40" t="n">
        <v>46360</v>
      </c>
      <c r="D14" s="40"/>
      <c r="E14" s="40"/>
      <c r="F14" s="27" t="s">
        <v>161</v>
      </c>
      <c r="G14" s="45" t="s">
        <v>436</v>
      </c>
      <c r="H14" s="48" t="n">
        <f aca="true">IF(OR(A14="",C14=""),"",IF(E14&lt;&gt;"",MAX(0,E14-C14),MAX(0,TODAY()-C14)))</f>
        <v>0</v>
      </c>
      <c r="I14" s="49" t="str">
        <f aca="true">IF(OR(A14="",C14=""),"",IF(E14&lt;&gt;"",IF(E14&lt;=C14,"Completed","Completed Late"),IF(TODAY()&gt;C14,"Overdue","On Schedule")))</f>
        <v>On Schedule</v>
      </c>
      <c r="J14" s="49" t="str">
        <f aca="true">IF(OR(A14="",C14=""),"",IF(E14&lt;&gt;"",IF(E14&lt;=C14,"Green","Red"),IF(TODAY()&gt;C14,"Red",IF(C14-TODAY()&lt;=Config!$B$30,"Amber","Green"))))</f>
        <v>Green</v>
      </c>
      <c r="K14" s="46"/>
    </row>
    <row r="15" customFormat="false" ht="15" hidden="false" customHeight="false" outlineLevel="0" collapsed="false">
      <c r="A15" s="46" t="s">
        <v>441</v>
      </c>
      <c r="B15" s="46" t="s">
        <v>292</v>
      </c>
      <c r="C15" s="40" t="n">
        <v>46353</v>
      </c>
      <c r="D15" s="40"/>
      <c r="E15" s="40"/>
      <c r="F15" s="27" t="s">
        <v>161</v>
      </c>
      <c r="G15" s="45" t="s">
        <v>436</v>
      </c>
      <c r="H15" s="48" t="n">
        <f aca="true">IF(OR(A15="",C15=""),"",IF(E15&lt;&gt;"",MAX(0,E15-C15),MAX(0,TODAY()-C15)))</f>
        <v>0</v>
      </c>
      <c r="I15" s="49" t="str">
        <f aca="true">IF(OR(A15="",C15=""),"",IF(E15&lt;&gt;"",IF(E15&lt;=C15,"Completed","Completed Late"),IF(TODAY()&gt;C15,"Overdue","On Schedule")))</f>
        <v>On Schedule</v>
      </c>
      <c r="J15" s="49" t="str">
        <f aca="true">IF(OR(A15="",C15=""),"",IF(E15&lt;&gt;"",IF(E15&lt;=C15,"Green","Red"),IF(TODAY()&gt;C15,"Red",IF(C15-TODAY()&lt;=Config!$B$30,"Amber","Green"))))</f>
        <v>Green</v>
      </c>
      <c r="K15" s="46"/>
    </row>
    <row r="16" customFormat="false" ht="15" hidden="false" customHeight="false" outlineLevel="0" collapsed="false">
      <c r="A16" s="46" t="s">
        <v>442</v>
      </c>
      <c r="B16" s="46" t="s">
        <v>406</v>
      </c>
      <c r="C16" s="40" t="n">
        <v>46374</v>
      </c>
      <c r="D16" s="40"/>
      <c r="E16" s="40"/>
      <c r="F16" s="27" t="s">
        <v>158</v>
      </c>
      <c r="G16" s="45" t="s">
        <v>436</v>
      </c>
      <c r="H16" s="48" t="n">
        <f aca="true">IF(OR(A16="",C16=""),"",IF(E16&lt;&gt;"",MAX(0,E16-C16),MAX(0,TODAY()-C16)))</f>
        <v>0</v>
      </c>
      <c r="I16" s="49" t="str">
        <f aca="true">IF(OR(A16="",C16=""),"",IF(E16&lt;&gt;"",IF(E16&lt;=C16,"Completed","Completed Late"),IF(TODAY()&gt;C16,"Overdue","On Schedule")))</f>
        <v>On Schedule</v>
      </c>
      <c r="J16" s="49" t="str">
        <f aca="true">IF(OR(A16="",C16=""),"",IF(E16&lt;&gt;"",IF(E16&lt;=C16,"Green","Red"),IF(TODAY()&gt;C16,"Red",IF(C16-TODAY()&lt;=Config!$B$30,"Amber","Green"))))</f>
        <v>Green</v>
      </c>
      <c r="K16" s="46"/>
    </row>
    <row r="17" customFormat="false" ht="15" hidden="false" customHeight="false" outlineLevel="0" collapsed="false">
      <c r="A17" s="46"/>
      <c r="B17" s="46"/>
      <c r="C17" s="40"/>
      <c r="D17" s="40"/>
      <c r="E17" s="40"/>
      <c r="F17" s="27"/>
      <c r="G17" s="45"/>
      <c r="H17" s="48" t="str">
        <f aca="true">IF(OR(A17="",C17=""),"",IF(E17&lt;&gt;"",MAX(0,E17-C17),MAX(0,TODAY()-C17)))</f>
        <v/>
      </c>
      <c r="I17" s="49" t="str">
        <f aca="true">IF(OR(A17="",C17=""),"",IF(E17&lt;&gt;"",IF(E17&lt;=C17,"Completed","Completed Late"),IF(TODAY()&gt;C17,"Overdue","On Schedule")))</f>
        <v/>
      </c>
      <c r="J17" s="49" t="str">
        <f aca="true">IF(OR(A17="",C17=""),"",IF(E17&lt;&gt;"",IF(E17&lt;=C17,"Green","Red"),IF(TODAY()&gt;C17,"Red",IF(C17-TODAY()&lt;=Config!$B$30,"Amber","Green"))))</f>
        <v/>
      </c>
      <c r="K17" s="46"/>
    </row>
    <row r="18" customFormat="false" ht="15" hidden="false" customHeight="false" outlineLevel="0" collapsed="false">
      <c r="A18" s="46"/>
      <c r="B18" s="46"/>
      <c r="C18" s="40"/>
      <c r="D18" s="40"/>
      <c r="E18" s="40"/>
      <c r="F18" s="27"/>
      <c r="G18" s="45"/>
      <c r="H18" s="48" t="str">
        <f aca="true">IF(OR(A18="",C18=""),"",IF(E18&lt;&gt;"",MAX(0,E18-C18),MAX(0,TODAY()-C18)))</f>
        <v/>
      </c>
      <c r="I18" s="49" t="str">
        <f aca="true">IF(OR(A18="",C18=""),"",IF(E18&lt;&gt;"",IF(E18&lt;=C18,"Completed","Completed Late"),IF(TODAY()&gt;C18,"Overdue","On Schedule")))</f>
        <v/>
      </c>
      <c r="J18" s="49" t="str">
        <f aca="true">IF(OR(A18="",C18=""),"",IF(E18&lt;&gt;"",IF(E18&lt;=C18,"Green","Red"),IF(TODAY()&gt;C18,"Red",IF(C18-TODAY()&lt;=Config!$B$30,"Amber","Green"))))</f>
        <v/>
      </c>
      <c r="K18" s="46"/>
    </row>
    <row r="19" customFormat="false" ht="15" hidden="false" customHeight="false" outlineLevel="0" collapsed="false">
      <c r="A19" s="46"/>
      <c r="B19" s="46"/>
      <c r="C19" s="40"/>
      <c r="D19" s="40"/>
      <c r="E19" s="40"/>
      <c r="F19" s="27"/>
      <c r="G19" s="45"/>
      <c r="H19" s="48" t="str">
        <f aca="true">IF(OR(A19="",C19=""),"",IF(E19&lt;&gt;"",MAX(0,E19-C19),MAX(0,TODAY()-C19)))</f>
        <v/>
      </c>
      <c r="I19" s="49" t="str">
        <f aca="true">IF(OR(A19="",C19=""),"",IF(E19&lt;&gt;"",IF(E19&lt;=C19,"Completed","Completed Late"),IF(TODAY()&gt;C19,"Overdue","On Schedule")))</f>
        <v/>
      </c>
      <c r="J19" s="49" t="str">
        <f aca="true">IF(OR(A19="",C19=""),"",IF(E19&lt;&gt;"",IF(E19&lt;=C19,"Green","Red"),IF(TODAY()&gt;C19,"Red",IF(C19-TODAY()&lt;=Config!$B$30,"Amber","Green"))))</f>
        <v/>
      </c>
      <c r="K19" s="46"/>
    </row>
    <row r="20" customFormat="false" ht="15" hidden="false" customHeight="false" outlineLevel="0" collapsed="false">
      <c r="A20" s="46"/>
      <c r="B20" s="46"/>
      <c r="C20" s="40"/>
      <c r="D20" s="40"/>
      <c r="E20" s="40"/>
      <c r="F20" s="27"/>
      <c r="G20" s="45"/>
      <c r="H20" s="48" t="str">
        <f aca="true">IF(OR(A20="",C20=""),"",IF(E20&lt;&gt;"",MAX(0,E20-C20),MAX(0,TODAY()-C20)))</f>
        <v/>
      </c>
      <c r="I20" s="49" t="str">
        <f aca="true">IF(OR(A20="",C20=""),"",IF(E20&lt;&gt;"",IF(E20&lt;=C20,"Completed","Completed Late"),IF(TODAY()&gt;C20,"Overdue","On Schedule")))</f>
        <v/>
      </c>
      <c r="J20" s="49" t="str">
        <f aca="true">IF(OR(A20="",C20=""),"",IF(E20&lt;&gt;"",IF(E20&lt;=C20,"Green","Red"),IF(TODAY()&gt;C20,"Red",IF(C20-TODAY()&lt;=Config!$B$30,"Amber","Green"))))</f>
        <v/>
      </c>
      <c r="K20" s="46"/>
    </row>
    <row r="21" customFormat="false" ht="15" hidden="false" customHeight="false" outlineLevel="0" collapsed="false">
      <c r="A21" s="46"/>
      <c r="B21" s="46"/>
      <c r="C21" s="40"/>
      <c r="D21" s="40"/>
      <c r="E21" s="40"/>
      <c r="F21" s="27"/>
      <c r="G21" s="45"/>
      <c r="H21" s="48" t="str">
        <f aca="true">IF(OR(A21="",C21=""),"",IF(E21&lt;&gt;"",MAX(0,E21-C21),MAX(0,TODAY()-C21)))</f>
        <v/>
      </c>
      <c r="I21" s="49" t="str">
        <f aca="true">IF(OR(A21="",C21=""),"",IF(E21&lt;&gt;"",IF(E21&lt;=C21,"Completed","Completed Late"),IF(TODAY()&gt;C21,"Overdue","On Schedule")))</f>
        <v/>
      </c>
      <c r="J21" s="49" t="str">
        <f aca="true">IF(OR(A21="",C21=""),"",IF(E21&lt;&gt;"",IF(E21&lt;=C21,"Green","Red"),IF(TODAY()&gt;C21,"Red",IF(C21-TODAY()&lt;=Config!$B$30,"Amber","Green"))))</f>
        <v/>
      </c>
      <c r="K21" s="46"/>
    </row>
    <row r="22" customFormat="false" ht="15" hidden="false" customHeight="false" outlineLevel="0" collapsed="false">
      <c r="A22" s="46"/>
      <c r="B22" s="46"/>
      <c r="C22" s="40"/>
      <c r="D22" s="40"/>
      <c r="E22" s="40"/>
      <c r="F22" s="27"/>
      <c r="G22" s="45"/>
      <c r="H22" s="48" t="str">
        <f aca="true">IF(OR(A22="",C22=""),"",IF(E22&lt;&gt;"",MAX(0,E22-C22),MAX(0,TODAY()-C22)))</f>
        <v/>
      </c>
      <c r="I22" s="49" t="str">
        <f aca="true">IF(OR(A22="",C22=""),"",IF(E22&lt;&gt;"",IF(E22&lt;=C22,"Completed","Completed Late"),IF(TODAY()&gt;C22,"Overdue","On Schedule")))</f>
        <v/>
      </c>
      <c r="J22" s="49" t="str">
        <f aca="true">IF(OR(A22="",C22=""),"",IF(E22&lt;&gt;"",IF(E22&lt;=C22,"Green","Red"),IF(TODAY()&gt;C22,"Red",IF(C22-TODAY()&lt;=Config!$B$30,"Amber","Green"))))</f>
        <v/>
      </c>
      <c r="K22" s="46"/>
    </row>
    <row r="23" customFormat="false" ht="15" hidden="false" customHeight="false" outlineLevel="0" collapsed="false">
      <c r="A23" s="46"/>
      <c r="B23" s="46"/>
      <c r="C23" s="40"/>
      <c r="D23" s="40"/>
      <c r="E23" s="40"/>
      <c r="F23" s="27"/>
      <c r="G23" s="45"/>
      <c r="H23" s="48" t="str">
        <f aca="true">IF(OR(A23="",C23=""),"",IF(E23&lt;&gt;"",MAX(0,E23-C23),MAX(0,TODAY()-C23)))</f>
        <v/>
      </c>
      <c r="I23" s="49" t="str">
        <f aca="true">IF(OR(A23="",C23=""),"",IF(E23&lt;&gt;"",IF(E23&lt;=C23,"Completed","Completed Late"),IF(TODAY()&gt;C23,"Overdue","On Schedule")))</f>
        <v/>
      </c>
      <c r="J23" s="49" t="str">
        <f aca="true">IF(OR(A23="",C23=""),"",IF(E23&lt;&gt;"",IF(E23&lt;=C23,"Green","Red"),IF(TODAY()&gt;C23,"Red",IF(C23-TODAY()&lt;=Config!$B$30,"Amber","Green"))))</f>
        <v/>
      </c>
      <c r="K23" s="46"/>
    </row>
    <row r="24" customFormat="false" ht="15" hidden="false" customHeight="false" outlineLevel="0" collapsed="false">
      <c r="A24" s="46"/>
      <c r="B24" s="46"/>
      <c r="C24" s="40"/>
      <c r="D24" s="40"/>
      <c r="E24" s="40"/>
      <c r="F24" s="27"/>
      <c r="G24" s="45"/>
      <c r="H24" s="48" t="str">
        <f aca="true">IF(OR(A24="",C24=""),"",IF(E24&lt;&gt;"",MAX(0,E24-C24),MAX(0,TODAY()-C24)))</f>
        <v/>
      </c>
      <c r="I24" s="49" t="str">
        <f aca="true">IF(OR(A24="",C24=""),"",IF(E24&lt;&gt;"",IF(E24&lt;=C24,"Completed","Completed Late"),IF(TODAY()&gt;C24,"Overdue","On Schedule")))</f>
        <v/>
      </c>
      <c r="J24" s="49" t="str">
        <f aca="true">IF(OR(A24="",C24=""),"",IF(E24&lt;&gt;"",IF(E24&lt;=C24,"Green","Red"),IF(TODAY()&gt;C24,"Red",IF(C24-TODAY()&lt;=Config!$B$30,"Amber","Green"))))</f>
        <v/>
      </c>
      <c r="K24" s="46"/>
    </row>
    <row r="25" customFormat="false" ht="15" hidden="false" customHeight="false" outlineLevel="0" collapsed="false">
      <c r="A25" s="46"/>
      <c r="B25" s="46"/>
      <c r="C25" s="40"/>
      <c r="D25" s="40"/>
      <c r="E25" s="40"/>
      <c r="F25" s="27"/>
      <c r="G25" s="45"/>
      <c r="H25" s="48" t="str">
        <f aca="true">IF(OR(A25="",C25=""),"",IF(E25&lt;&gt;"",MAX(0,E25-C25),MAX(0,TODAY()-C25)))</f>
        <v/>
      </c>
      <c r="I25" s="49" t="str">
        <f aca="true">IF(OR(A25="",C25=""),"",IF(E25&lt;&gt;"",IF(E25&lt;=C25,"Completed","Completed Late"),IF(TODAY()&gt;C25,"Overdue","On Schedule")))</f>
        <v/>
      </c>
      <c r="J25" s="49" t="str">
        <f aca="true">IF(OR(A25="",C25=""),"",IF(E25&lt;&gt;"",IF(E25&lt;=C25,"Green","Red"),IF(TODAY()&gt;C25,"Red",IF(C25-TODAY()&lt;=Config!$B$30,"Amber","Green"))))</f>
        <v/>
      </c>
      <c r="K25" s="46"/>
    </row>
    <row r="26" customFormat="false" ht="15" hidden="false" customHeight="false" outlineLevel="0" collapsed="false">
      <c r="A26" s="46"/>
      <c r="B26" s="46"/>
      <c r="C26" s="40"/>
      <c r="D26" s="40"/>
      <c r="E26" s="40"/>
      <c r="F26" s="27"/>
      <c r="G26" s="45"/>
      <c r="H26" s="48" t="str">
        <f aca="true">IF(OR(A26="",C26=""),"",IF(E26&lt;&gt;"",MAX(0,E26-C26),MAX(0,TODAY()-C26)))</f>
        <v/>
      </c>
      <c r="I26" s="49" t="str">
        <f aca="true">IF(OR(A26="",C26=""),"",IF(E26&lt;&gt;"",IF(E26&lt;=C26,"Completed","Completed Late"),IF(TODAY()&gt;C26,"Overdue","On Schedule")))</f>
        <v/>
      </c>
      <c r="J26" s="49" t="str">
        <f aca="true">IF(OR(A26="",C26=""),"",IF(E26&lt;&gt;"",IF(E26&lt;=C26,"Green","Red"),IF(TODAY()&gt;C26,"Red",IF(C26-TODAY()&lt;=Config!$B$30,"Amber","Green"))))</f>
        <v/>
      </c>
      <c r="K26" s="46"/>
    </row>
    <row r="27" customFormat="false" ht="15" hidden="false" customHeight="false" outlineLevel="0" collapsed="false">
      <c r="A27" s="46"/>
      <c r="B27" s="46"/>
      <c r="C27" s="40"/>
      <c r="D27" s="40"/>
      <c r="E27" s="40"/>
      <c r="F27" s="27"/>
      <c r="G27" s="45"/>
      <c r="H27" s="48" t="str">
        <f aca="true">IF(OR(A27="",C27=""),"",IF(E27&lt;&gt;"",MAX(0,E27-C27),MAX(0,TODAY()-C27)))</f>
        <v/>
      </c>
      <c r="I27" s="49" t="str">
        <f aca="true">IF(OR(A27="",C27=""),"",IF(E27&lt;&gt;"",IF(E27&lt;=C27,"Completed","Completed Late"),IF(TODAY()&gt;C27,"Overdue","On Schedule")))</f>
        <v/>
      </c>
      <c r="J27" s="49" t="str">
        <f aca="true">IF(OR(A27="",C27=""),"",IF(E27&lt;&gt;"",IF(E27&lt;=C27,"Green","Red"),IF(TODAY()&gt;C27,"Red",IF(C27-TODAY()&lt;=Config!$B$30,"Amber","Green"))))</f>
        <v/>
      </c>
      <c r="K27" s="46"/>
    </row>
    <row r="28" customFormat="false" ht="15" hidden="false" customHeight="false" outlineLevel="0" collapsed="false">
      <c r="A28" s="46"/>
      <c r="B28" s="46"/>
      <c r="C28" s="40"/>
      <c r="D28" s="40"/>
      <c r="E28" s="40"/>
      <c r="F28" s="27"/>
      <c r="G28" s="45"/>
      <c r="H28" s="48" t="str">
        <f aca="true">IF(OR(A28="",C28=""),"",IF(E28&lt;&gt;"",MAX(0,E28-C28),MAX(0,TODAY()-C28)))</f>
        <v/>
      </c>
      <c r="I28" s="49" t="str">
        <f aca="true">IF(OR(A28="",C28=""),"",IF(E28&lt;&gt;"",IF(E28&lt;=C28,"Completed","Completed Late"),IF(TODAY()&gt;C28,"Overdue","On Schedule")))</f>
        <v/>
      </c>
      <c r="J28" s="49" t="str">
        <f aca="true">IF(OR(A28="",C28=""),"",IF(E28&lt;&gt;"",IF(E28&lt;=C28,"Green","Red"),IF(TODAY()&gt;C28,"Red",IF(C28-TODAY()&lt;=Config!$B$30,"Amber","Green"))))</f>
        <v/>
      </c>
      <c r="K28" s="46"/>
    </row>
    <row r="29" customFormat="false" ht="15" hidden="false" customHeight="false" outlineLevel="0" collapsed="false">
      <c r="A29" s="46"/>
      <c r="B29" s="46"/>
      <c r="C29" s="40"/>
      <c r="D29" s="40"/>
      <c r="E29" s="40"/>
      <c r="F29" s="27"/>
      <c r="G29" s="45"/>
      <c r="H29" s="48" t="str">
        <f aca="true">IF(OR(A29="",C29=""),"",IF(E29&lt;&gt;"",MAX(0,E29-C29),MAX(0,TODAY()-C29)))</f>
        <v/>
      </c>
      <c r="I29" s="49" t="str">
        <f aca="true">IF(OR(A29="",C29=""),"",IF(E29&lt;&gt;"",IF(E29&lt;=C29,"Completed","Completed Late"),IF(TODAY()&gt;C29,"Overdue","On Schedule")))</f>
        <v/>
      </c>
      <c r="J29" s="49" t="str">
        <f aca="true">IF(OR(A29="",C29=""),"",IF(E29&lt;&gt;"",IF(E29&lt;=C29,"Green","Red"),IF(TODAY()&gt;C29,"Red",IF(C29-TODAY()&lt;=Config!$B$30,"Amber","Green"))))</f>
        <v/>
      </c>
      <c r="K29" s="46"/>
    </row>
    <row r="30" customFormat="false" ht="15" hidden="false" customHeight="false" outlineLevel="0" collapsed="false">
      <c r="A30" s="46"/>
      <c r="B30" s="46"/>
      <c r="C30" s="40"/>
      <c r="D30" s="40"/>
      <c r="E30" s="40"/>
      <c r="F30" s="27"/>
      <c r="G30" s="45"/>
      <c r="H30" s="48" t="str">
        <f aca="true">IF(OR(A30="",C30=""),"",IF(E30&lt;&gt;"",MAX(0,E30-C30),MAX(0,TODAY()-C30)))</f>
        <v/>
      </c>
      <c r="I30" s="49" t="str">
        <f aca="true">IF(OR(A30="",C30=""),"",IF(E30&lt;&gt;"",IF(E30&lt;=C30,"Completed","Completed Late"),IF(TODAY()&gt;C30,"Overdue","On Schedule")))</f>
        <v/>
      </c>
      <c r="J30" s="49" t="str">
        <f aca="true">IF(OR(A30="",C30=""),"",IF(E30&lt;&gt;"",IF(E30&lt;=C30,"Green","Red"),IF(TODAY()&gt;C30,"Red",IF(C30-TODAY()&lt;=Config!$B$30,"Amber","Green"))))</f>
        <v/>
      </c>
      <c r="K30" s="46"/>
    </row>
    <row r="31" customFormat="false" ht="15" hidden="false" customHeight="false" outlineLevel="0" collapsed="false">
      <c r="A31" s="46"/>
      <c r="B31" s="46"/>
      <c r="C31" s="40"/>
      <c r="D31" s="40"/>
      <c r="E31" s="40"/>
      <c r="F31" s="27"/>
      <c r="G31" s="45"/>
      <c r="H31" s="48" t="str">
        <f aca="true">IF(OR(A31="",C31=""),"",IF(E31&lt;&gt;"",MAX(0,E31-C31),MAX(0,TODAY()-C31)))</f>
        <v/>
      </c>
      <c r="I31" s="49" t="str">
        <f aca="true">IF(OR(A31="",C31=""),"",IF(E31&lt;&gt;"",IF(E31&lt;=C31,"Completed","Completed Late"),IF(TODAY()&gt;C31,"Overdue","On Schedule")))</f>
        <v/>
      </c>
      <c r="J31" s="49" t="str">
        <f aca="true">IF(OR(A31="",C31=""),"",IF(E31&lt;&gt;"",IF(E31&lt;=C31,"Green","Red"),IF(TODAY()&gt;C31,"Red",IF(C31-TODAY()&lt;=Config!$B$30,"Amber","Green"))))</f>
        <v/>
      </c>
      <c r="K31" s="46"/>
    </row>
    <row r="32" customFormat="false" ht="15" hidden="false" customHeight="false" outlineLevel="0" collapsed="false">
      <c r="A32" s="46"/>
      <c r="B32" s="46"/>
      <c r="C32" s="40"/>
      <c r="D32" s="40"/>
      <c r="E32" s="40"/>
      <c r="F32" s="27"/>
      <c r="G32" s="45"/>
      <c r="H32" s="48" t="str">
        <f aca="true">IF(OR(A32="",C32=""),"",IF(E32&lt;&gt;"",MAX(0,E32-C32),MAX(0,TODAY()-C32)))</f>
        <v/>
      </c>
      <c r="I32" s="49" t="str">
        <f aca="true">IF(OR(A32="",C32=""),"",IF(E32&lt;&gt;"",IF(E32&lt;=C32,"Completed","Completed Late"),IF(TODAY()&gt;C32,"Overdue","On Schedule")))</f>
        <v/>
      </c>
      <c r="J32" s="49" t="str">
        <f aca="true">IF(OR(A32="",C32=""),"",IF(E32&lt;&gt;"",IF(E32&lt;=C32,"Green","Red"),IF(TODAY()&gt;C32,"Red",IF(C32-TODAY()&lt;=Config!$B$30,"Amber","Green"))))</f>
        <v/>
      </c>
      <c r="K32" s="46"/>
    </row>
    <row r="33" customFormat="false" ht="15" hidden="false" customHeight="false" outlineLevel="0" collapsed="false">
      <c r="A33" s="46"/>
      <c r="B33" s="46"/>
      <c r="C33" s="40"/>
      <c r="D33" s="40"/>
      <c r="E33" s="40"/>
      <c r="F33" s="27"/>
      <c r="G33" s="45"/>
      <c r="H33" s="48" t="str">
        <f aca="true">IF(OR(A33="",C33=""),"",IF(E33&lt;&gt;"",MAX(0,E33-C33),MAX(0,TODAY()-C33)))</f>
        <v/>
      </c>
      <c r="I33" s="49" t="str">
        <f aca="true">IF(OR(A33="",C33=""),"",IF(E33&lt;&gt;"",IF(E33&lt;=C33,"Completed","Completed Late"),IF(TODAY()&gt;C33,"Overdue","On Schedule")))</f>
        <v/>
      </c>
      <c r="J33" s="49" t="str">
        <f aca="true">IF(OR(A33="",C33=""),"",IF(E33&lt;&gt;"",IF(E33&lt;=C33,"Green","Red"),IF(TODAY()&gt;C33,"Red",IF(C33-TODAY()&lt;=Config!$B$30,"Amber","Green"))))</f>
        <v/>
      </c>
      <c r="K33" s="46"/>
    </row>
    <row r="34" customFormat="false" ht="15" hidden="false" customHeight="false" outlineLevel="0" collapsed="false">
      <c r="A34" s="46"/>
      <c r="B34" s="46"/>
      <c r="C34" s="40"/>
      <c r="D34" s="40"/>
      <c r="E34" s="40"/>
      <c r="F34" s="27"/>
      <c r="G34" s="45"/>
      <c r="H34" s="48" t="str">
        <f aca="true">IF(OR(A34="",C34=""),"",IF(E34&lt;&gt;"",MAX(0,E34-C34),MAX(0,TODAY()-C34)))</f>
        <v/>
      </c>
      <c r="I34" s="49" t="str">
        <f aca="true">IF(OR(A34="",C34=""),"",IF(E34&lt;&gt;"",IF(E34&lt;=C34,"Completed","Completed Late"),IF(TODAY()&gt;C34,"Overdue","On Schedule")))</f>
        <v/>
      </c>
      <c r="J34" s="49" t="str">
        <f aca="true">IF(OR(A34="",C34=""),"",IF(E34&lt;&gt;"",IF(E34&lt;=C34,"Green","Red"),IF(TODAY()&gt;C34,"Red",IF(C34-TODAY()&lt;=Config!$B$30,"Amber","Green"))))</f>
        <v/>
      </c>
      <c r="K34" s="46"/>
    </row>
    <row r="35" customFormat="false" ht="15" hidden="false" customHeight="false" outlineLevel="0" collapsed="false">
      <c r="A35" s="46"/>
      <c r="B35" s="46"/>
      <c r="C35" s="40"/>
      <c r="D35" s="40"/>
      <c r="E35" s="40"/>
      <c r="F35" s="27"/>
      <c r="G35" s="45"/>
      <c r="H35" s="48" t="str">
        <f aca="true">IF(OR(A35="",C35=""),"",IF(E35&lt;&gt;"",MAX(0,E35-C35),MAX(0,TODAY()-C35)))</f>
        <v/>
      </c>
      <c r="I35" s="49" t="str">
        <f aca="true">IF(OR(A35="",C35=""),"",IF(E35&lt;&gt;"",IF(E35&lt;=C35,"Completed","Completed Late"),IF(TODAY()&gt;C35,"Overdue","On Schedule")))</f>
        <v/>
      </c>
      <c r="J35" s="49" t="str">
        <f aca="true">IF(OR(A35="",C35=""),"",IF(E35&lt;&gt;"",IF(E35&lt;=C35,"Green","Red"),IF(TODAY()&gt;C35,"Red",IF(C35-TODAY()&lt;=Config!$B$30,"Amber","Green"))))</f>
        <v/>
      </c>
      <c r="K35" s="46"/>
    </row>
    <row r="36" customFormat="false" ht="15" hidden="false" customHeight="false" outlineLevel="0" collapsed="false">
      <c r="A36" s="46"/>
      <c r="B36" s="46"/>
      <c r="C36" s="40"/>
      <c r="D36" s="40"/>
      <c r="E36" s="40"/>
      <c r="F36" s="27"/>
      <c r="G36" s="45"/>
      <c r="H36" s="48" t="str">
        <f aca="true">IF(OR(A36="",C36=""),"",IF(E36&lt;&gt;"",MAX(0,E36-C36),MAX(0,TODAY()-C36)))</f>
        <v/>
      </c>
      <c r="I36" s="49" t="str">
        <f aca="true">IF(OR(A36="",C36=""),"",IF(E36&lt;&gt;"",IF(E36&lt;=C36,"Completed","Completed Late"),IF(TODAY()&gt;C36,"Overdue","On Schedule")))</f>
        <v/>
      </c>
      <c r="J36" s="49" t="str">
        <f aca="true">IF(OR(A36="",C36=""),"",IF(E36&lt;&gt;"",IF(E36&lt;=C36,"Green","Red"),IF(TODAY()&gt;C36,"Red",IF(C36-TODAY()&lt;=Config!$B$30,"Amber","Green"))))</f>
        <v/>
      </c>
      <c r="K36" s="46"/>
    </row>
    <row r="37" customFormat="false" ht="15" hidden="false" customHeight="false" outlineLevel="0" collapsed="false">
      <c r="A37" s="46"/>
      <c r="B37" s="46"/>
      <c r="C37" s="40"/>
      <c r="D37" s="40"/>
      <c r="E37" s="40"/>
      <c r="F37" s="27"/>
      <c r="G37" s="45"/>
      <c r="H37" s="48" t="str">
        <f aca="true">IF(OR(A37="",C37=""),"",IF(E37&lt;&gt;"",MAX(0,E37-C37),MAX(0,TODAY()-C37)))</f>
        <v/>
      </c>
      <c r="I37" s="49" t="str">
        <f aca="true">IF(OR(A37="",C37=""),"",IF(E37&lt;&gt;"",IF(E37&lt;=C37,"Completed","Completed Late"),IF(TODAY()&gt;C37,"Overdue","On Schedule")))</f>
        <v/>
      </c>
      <c r="J37" s="49" t="str">
        <f aca="true">IF(OR(A37="",C37=""),"",IF(E37&lt;&gt;"",IF(E37&lt;=C37,"Green","Red"),IF(TODAY()&gt;C37,"Red",IF(C37-TODAY()&lt;=Config!$B$30,"Amber","Green"))))</f>
        <v/>
      </c>
      <c r="K37" s="46"/>
    </row>
    <row r="38" customFormat="false" ht="15" hidden="false" customHeight="false" outlineLevel="0" collapsed="false">
      <c r="A38" s="46"/>
      <c r="B38" s="46"/>
      <c r="C38" s="40"/>
      <c r="D38" s="40"/>
      <c r="E38" s="40"/>
      <c r="F38" s="27"/>
      <c r="G38" s="45"/>
      <c r="H38" s="48" t="str">
        <f aca="true">IF(OR(A38="",C38=""),"",IF(E38&lt;&gt;"",MAX(0,E38-C38),MAX(0,TODAY()-C38)))</f>
        <v/>
      </c>
      <c r="I38" s="49" t="str">
        <f aca="true">IF(OR(A38="",C38=""),"",IF(E38&lt;&gt;"",IF(E38&lt;=C38,"Completed","Completed Late"),IF(TODAY()&gt;C38,"Overdue","On Schedule")))</f>
        <v/>
      </c>
      <c r="J38" s="49" t="str">
        <f aca="true">IF(OR(A38="",C38=""),"",IF(E38&lt;&gt;"",IF(E38&lt;=C38,"Green","Red"),IF(TODAY()&gt;C38,"Red",IF(C38-TODAY()&lt;=Config!$B$30,"Amber","Green"))))</f>
        <v/>
      </c>
      <c r="K38" s="46"/>
    </row>
    <row r="39" customFormat="false" ht="15" hidden="false" customHeight="false" outlineLevel="0" collapsed="false">
      <c r="A39" s="46"/>
      <c r="B39" s="46"/>
      <c r="C39" s="40"/>
      <c r="D39" s="40"/>
      <c r="E39" s="40"/>
      <c r="F39" s="27"/>
      <c r="G39" s="45"/>
      <c r="H39" s="48" t="str">
        <f aca="true">IF(OR(A39="",C39=""),"",IF(E39&lt;&gt;"",MAX(0,E39-C39),MAX(0,TODAY()-C39)))</f>
        <v/>
      </c>
      <c r="I39" s="49" t="str">
        <f aca="true">IF(OR(A39="",C39=""),"",IF(E39&lt;&gt;"",IF(E39&lt;=C39,"Completed","Completed Late"),IF(TODAY()&gt;C39,"Overdue","On Schedule")))</f>
        <v/>
      </c>
      <c r="J39" s="49" t="str">
        <f aca="true">IF(OR(A39="",C39=""),"",IF(E39&lt;&gt;"",IF(E39&lt;=C39,"Green","Red"),IF(TODAY()&gt;C39,"Red",IF(C39-TODAY()&lt;=Config!$B$30,"Amber","Green"))))</f>
        <v/>
      </c>
      <c r="K39" s="46"/>
    </row>
    <row r="40" customFormat="false" ht="15" hidden="false" customHeight="false" outlineLevel="0" collapsed="false">
      <c r="A40" s="46"/>
      <c r="B40" s="46"/>
      <c r="C40" s="40"/>
      <c r="D40" s="40"/>
      <c r="E40" s="40"/>
      <c r="F40" s="27"/>
      <c r="G40" s="45"/>
      <c r="H40" s="48" t="str">
        <f aca="true">IF(OR(A40="",C40=""),"",IF(E40&lt;&gt;"",MAX(0,E40-C40),MAX(0,TODAY()-C40)))</f>
        <v/>
      </c>
      <c r="I40" s="49" t="str">
        <f aca="true">IF(OR(A40="",C40=""),"",IF(E40&lt;&gt;"",IF(E40&lt;=C40,"Completed","Completed Late"),IF(TODAY()&gt;C40,"Overdue","On Schedule")))</f>
        <v/>
      </c>
      <c r="J40" s="49" t="str">
        <f aca="true">IF(OR(A40="",C40=""),"",IF(E40&lt;&gt;"",IF(E40&lt;=C40,"Green","Red"),IF(TODAY()&gt;C40,"Red",IF(C40-TODAY()&lt;=Config!$B$30,"Amber","Green"))))</f>
        <v/>
      </c>
      <c r="K40" s="46"/>
    </row>
    <row r="41" customFormat="false" ht="15" hidden="false" customHeight="false" outlineLevel="0" collapsed="false">
      <c r="A41" s="46"/>
      <c r="B41" s="46"/>
      <c r="C41" s="40"/>
      <c r="D41" s="40"/>
      <c r="E41" s="40"/>
      <c r="F41" s="27"/>
      <c r="G41" s="45"/>
      <c r="H41" s="48" t="str">
        <f aca="true">IF(OR(A41="",C41=""),"",IF(E41&lt;&gt;"",MAX(0,E41-C41),MAX(0,TODAY()-C41)))</f>
        <v/>
      </c>
      <c r="I41" s="49" t="str">
        <f aca="true">IF(OR(A41="",C41=""),"",IF(E41&lt;&gt;"",IF(E41&lt;=C41,"Completed","Completed Late"),IF(TODAY()&gt;C41,"Overdue","On Schedule")))</f>
        <v/>
      </c>
      <c r="J41" s="49" t="str">
        <f aca="true">IF(OR(A41="",C41=""),"",IF(E41&lt;&gt;"",IF(E41&lt;=C41,"Green","Red"),IF(TODAY()&gt;C41,"Red",IF(C41-TODAY()&lt;=Config!$B$30,"Amber","Green"))))</f>
        <v/>
      </c>
      <c r="K41" s="46"/>
    </row>
    <row r="42" customFormat="false" ht="15" hidden="false" customHeight="false" outlineLevel="0" collapsed="false">
      <c r="A42" s="46"/>
      <c r="B42" s="46"/>
      <c r="C42" s="40"/>
      <c r="D42" s="40"/>
      <c r="E42" s="40"/>
      <c r="F42" s="27"/>
      <c r="G42" s="45"/>
      <c r="H42" s="48" t="str">
        <f aca="true">IF(OR(A42="",C42=""),"",IF(E42&lt;&gt;"",MAX(0,E42-C42),MAX(0,TODAY()-C42)))</f>
        <v/>
      </c>
      <c r="I42" s="49" t="str">
        <f aca="true">IF(OR(A42="",C42=""),"",IF(E42&lt;&gt;"",IF(E42&lt;=C42,"Completed","Completed Late"),IF(TODAY()&gt;C42,"Overdue","On Schedule")))</f>
        <v/>
      </c>
      <c r="J42" s="49" t="str">
        <f aca="true">IF(OR(A42="",C42=""),"",IF(E42&lt;&gt;"",IF(E42&lt;=C42,"Green","Red"),IF(TODAY()&gt;C42,"Red",IF(C42-TODAY()&lt;=Config!$B$30,"Amber","Green"))))</f>
        <v/>
      </c>
      <c r="K42" s="46"/>
    </row>
    <row r="43" customFormat="false" ht="15" hidden="false" customHeight="false" outlineLevel="0" collapsed="false">
      <c r="A43" s="46"/>
      <c r="B43" s="46"/>
      <c r="C43" s="40"/>
      <c r="D43" s="40"/>
      <c r="E43" s="40"/>
      <c r="F43" s="27"/>
      <c r="G43" s="45"/>
      <c r="H43" s="48" t="str">
        <f aca="true">IF(OR(A43="",C43=""),"",IF(E43&lt;&gt;"",MAX(0,E43-C43),MAX(0,TODAY()-C43)))</f>
        <v/>
      </c>
      <c r="I43" s="49" t="str">
        <f aca="true">IF(OR(A43="",C43=""),"",IF(E43&lt;&gt;"",IF(E43&lt;=C43,"Completed","Completed Late"),IF(TODAY()&gt;C43,"Overdue","On Schedule")))</f>
        <v/>
      </c>
      <c r="J43" s="49" t="str">
        <f aca="true">IF(OR(A43="",C43=""),"",IF(E43&lt;&gt;"",IF(E43&lt;=C43,"Green","Red"),IF(TODAY()&gt;C43,"Red",IF(C43-TODAY()&lt;=Config!$B$30,"Amber","Green"))))</f>
        <v/>
      </c>
      <c r="K43" s="46"/>
    </row>
    <row r="44" customFormat="false" ht="15" hidden="false" customHeight="false" outlineLevel="0" collapsed="false">
      <c r="A44" s="46"/>
      <c r="B44" s="46"/>
      <c r="C44" s="40"/>
      <c r="D44" s="40"/>
      <c r="E44" s="40"/>
      <c r="F44" s="27"/>
      <c r="G44" s="45"/>
      <c r="H44" s="48" t="str">
        <f aca="true">IF(OR(A44="",C44=""),"",IF(E44&lt;&gt;"",MAX(0,E44-C44),MAX(0,TODAY()-C44)))</f>
        <v/>
      </c>
      <c r="I44" s="49" t="str">
        <f aca="true">IF(OR(A44="",C44=""),"",IF(E44&lt;&gt;"",IF(E44&lt;=C44,"Completed","Completed Late"),IF(TODAY()&gt;C44,"Overdue","On Schedule")))</f>
        <v/>
      </c>
      <c r="J44" s="49" t="str">
        <f aca="true">IF(OR(A44="",C44=""),"",IF(E44&lt;&gt;"",IF(E44&lt;=C44,"Green","Red"),IF(TODAY()&gt;C44,"Red",IF(C44-TODAY()&lt;=Config!$B$30,"Amber","Green"))))</f>
        <v/>
      </c>
      <c r="K44" s="46"/>
    </row>
    <row r="45" customFormat="false" ht="15" hidden="false" customHeight="false" outlineLevel="0" collapsed="false">
      <c r="A45" s="46"/>
      <c r="B45" s="46"/>
      <c r="C45" s="40"/>
      <c r="D45" s="40"/>
      <c r="E45" s="40"/>
      <c r="F45" s="27"/>
      <c r="G45" s="45"/>
      <c r="H45" s="48" t="str">
        <f aca="true">IF(OR(A45="",C45=""),"",IF(E45&lt;&gt;"",MAX(0,E45-C45),MAX(0,TODAY()-C45)))</f>
        <v/>
      </c>
      <c r="I45" s="49" t="str">
        <f aca="true">IF(OR(A45="",C45=""),"",IF(E45&lt;&gt;"",IF(E45&lt;=C45,"Completed","Completed Late"),IF(TODAY()&gt;C45,"Overdue","On Schedule")))</f>
        <v/>
      </c>
      <c r="J45" s="49" t="str">
        <f aca="true">IF(OR(A45="",C45=""),"",IF(E45&lt;&gt;"",IF(E45&lt;=C45,"Green","Red"),IF(TODAY()&gt;C45,"Red",IF(C45-TODAY()&lt;=Config!$B$30,"Amber","Green"))))</f>
        <v/>
      </c>
      <c r="K45" s="46"/>
    </row>
    <row r="46" customFormat="false" ht="15" hidden="false" customHeight="false" outlineLevel="0" collapsed="false">
      <c r="A46" s="46"/>
      <c r="B46" s="46"/>
      <c r="C46" s="40"/>
      <c r="D46" s="40"/>
      <c r="E46" s="40"/>
      <c r="F46" s="27"/>
      <c r="G46" s="45"/>
      <c r="H46" s="48" t="str">
        <f aca="true">IF(OR(A46="",C46=""),"",IF(E46&lt;&gt;"",MAX(0,E46-C46),MAX(0,TODAY()-C46)))</f>
        <v/>
      </c>
      <c r="I46" s="49" t="str">
        <f aca="true">IF(OR(A46="",C46=""),"",IF(E46&lt;&gt;"",IF(E46&lt;=C46,"Completed","Completed Late"),IF(TODAY()&gt;C46,"Overdue","On Schedule")))</f>
        <v/>
      </c>
      <c r="J46" s="49" t="str">
        <f aca="true">IF(OR(A46="",C46=""),"",IF(E46&lt;&gt;"",IF(E46&lt;=C46,"Green","Red"),IF(TODAY()&gt;C46,"Red",IF(C46-TODAY()&lt;=Config!$B$30,"Amber","Green"))))</f>
        <v/>
      </c>
      <c r="K46" s="46"/>
    </row>
    <row r="47" customFormat="false" ht="15" hidden="false" customHeight="false" outlineLevel="0" collapsed="false">
      <c r="A47" s="46"/>
      <c r="B47" s="46"/>
      <c r="C47" s="40"/>
      <c r="D47" s="40"/>
      <c r="E47" s="40"/>
      <c r="F47" s="27"/>
      <c r="G47" s="45"/>
      <c r="H47" s="48" t="str">
        <f aca="true">IF(OR(A47="",C47=""),"",IF(E47&lt;&gt;"",MAX(0,E47-C47),MAX(0,TODAY()-C47)))</f>
        <v/>
      </c>
      <c r="I47" s="49" t="str">
        <f aca="true">IF(OR(A47="",C47=""),"",IF(E47&lt;&gt;"",IF(E47&lt;=C47,"Completed","Completed Late"),IF(TODAY()&gt;C47,"Overdue","On Schedule")))</f>
        <v/>
      </c>
      <c r="J47" s="49" t="str">
        <f aca="true">IF(OR(A47="",C47=""),"",IF(E47&lt;&gt;"",IF(E47&lt;=C47,"Green","Red"),IF(TODAY()&gt;C47,"Red",IF(C47-TODAY()&lt;=Config!$B$30,"Amber","Green"))))</f>
        <v/>
      </c>
      <c r="K47" s="46"/>
    </row>
    <row r="48" customFormat="false" ht="15" hidden="false" customHeight="false" outlineLevel="0" collapsed="false">
      <c r="A48" s="46"/>
      <c r="B48" s="46"/>
      <c r="C48" s="40"/>
      <c r="D48" s="40"/>
      <c r="E48" s="40"/>
      <c r="F48" s="27"/>
      <c r="G48" s="45"/>
      <c r="H48" s="48" t="str">
        <f aca="true">IF(OR(A48="",C48=""),"",IF(E48&lt;&gt;"",MAX(0,E48-C48),MAX(0,TODAY()-C48)))</f>
        <v/>
      </c>
      <c r="I48" s="49" t="str">
        <f aca="true">IF(OR(A48="",C48=""),"",IF(E48&lt;&gt;"",IF(E48&lt;=C48,"Completed","Completed Late"),IF(TODAY()&gt;C48,"Overdue","On Schedule")))</f>
        <v/>
      </c>
      <c r="J48" s="49" t="str">
        <f aca="true">IF(OR(A48="",C48=""),"",IF(E48&lt;&gt;"",IF(E48&lt;=C48,"Green","Red"),IF(TODAY()&gt;C48,"Red",IF(C48-TODAY()&lt;=Config!$B$30,"Amber","Green"))))</f>
        <v/>
      </c>
      <c r="K48" s="46"/>
    </row>
    <row r="49" customFormat="false" ht="15" hidden="false" customHeight="false" outlineLevel="0" collapsed="false">
      <c r="A49" s="46"/>
      <c r="B49" s="46"/>
      <c r="C49" s="40"/>
      <c r="D49" s="40"/>
      <c r="E49" s="40"/>
      <c r="F49" s="27"/>
      <c r="G49" s="45"/>
      <c r="H49" s="48" t="str">
        <f aca="true">IF(OR(A49="",C49=""),"",IF(E49&lt;&gt;"",MAX(0,E49-C49),MAX(0,TODAY()-C49)))</f>
        <v/>
      </c>
      <c r="I49" s="49" t="str">
        <f aca="true">IF(OR(A49="",C49=""),"",IF(E49&lt;&gt;"",IF(E49&lt;=C49,"Completed","Completed Late"),IF(TODAY()&gt;C49,"Overdue","On Schedule")))</f>
        <v/>
      </c>
      <c r="J49" s="49" t="str">
        <f aca="true">IF(OR(A49="",C49=""),"",IF(E49&lt;&gt;"",IF(E49&lt;=C49,"Green","Red"),IF(TODAY()&gt;C49,"Red",IF(C49-TODAY()&lt;=Config!$B$30,"Amber","Green"))))</f>
        <v/>
      </c>
      <c r="K49" s="46"/>
    </row>
    <row r="50" customFormat="false" ht="15" hidden="false" customHeight="false" outlineLevel="0" collapsed="false">
      <c r="A50" s="46"/>
      <c r="B50" s="46"/>
      <c r="C50" s="40"/>
      <c r="D50" s="40"/>
      <c r="E50" s="40"/>
      <c r="F50" s="27"/>
      <c r="G50" s="45"/>
      <c r="H50" s="48" t="str">
        <f aca="true">IF(OR(A50="",C50=""),"",IF(E50&lt;&gt;"",MAX(0,E50-C50),MAX(0,TODAY()-C50)))</f>
        <v/>
      </c>
      <c r="I50" s="49" t="str">
        <f aca="true">IF(OR(A50="",C50=""),"",IF(E50&lt;&gt;"",IF(E50&lt;=C50,"Completed","Completed Late"),IF(TODAY()&gt;C50,"Overdue","On Schedule")))</f>
        <v/>
      </c>
      <c r="J50" s="49" t="str">
        <f aca="true">IF(OR(A50="",C50=""),"",IF(E50&lt;&gt;"",IF(E50&lt;=C50,"Green","Red"),IF(TODAY()&gt;C50,"Red",IF(C50-TODAY()&lt;=Config!$B$30,"Amber","Green"))))</f>
        <v/>
      </c>
      <c r="K50" s="46"/>
    </row>
    <row r="51" customFormat="false" ht="15" hidden="false" customHeight="false" outlineLevel="0" collapsed="false">
      <c r="A51" s="46"/>
      <c r="B51" s="46"/>
      <c r="C51" s="40"/>
      <c r="D51" s="40"/>
      <c r="E51" s="40"/>
      <c r="F51" s="27"/>
      <c r="G51" s="45"/>
      <c r="H51" s="48" t="str">
        <f aca="true">IF(OR(A51="",C51=""),"",IF(E51&lt;&gt;"",MAX(0,E51-C51),MAX(0,TODAY()-C51)))</f>
        <v/>
      </c>
      <c r="I51" s="49" t="str">
        <f aca="true">IF(OR(A51="",C51=""),"",IF(E51&lt;&gt;"",IF(E51&lt;=C51,"Completed","Completed Late"),IF(TODAY()&gt;C51,"Overdue","On Schedule")))</f>
        <v/>
      </c>
      <c r="J51" s="49" t="str">
        <f aca="true">IF(OR(A51="",C51=""),"",IF(E51&lt;&gt;"",IF(E51&lt;=C51,"Green","Red"),IF(TODAY()&gt;C51,"Red",IF(C51-TODAY()&lt;=Config!$B$30,"Amber","Green"))))</f>
        <v/>
      </c>
      <c r="K51" s="46"/>
    </row>
    <row r="52" customFormat="false" ht="15" hidden="false" customHeight="false" outlineLevel="0" collapsed="false">
      <c r="A52" s="46"/>
      <c r="B52" s="46"/>
      <c r="C52" s="40"/>
      <c r="D52" s="40"/>
      <c r="E52" s="40"/>
      <c r="F52" s="27"/>
      <c r="G52" s="45"/>
      <c r="H52" s="48" t="str">
        <f aca="true">IF(OR(A52="",C52=""),"",IF(E52&lt;&gt;"",MAX(0,E52-C52),MAX(0,TODAY()-C52)))</f>
        <v/>
      </c>
      <c r="I52" s="49" t="str">
        <f aca="true">IF(OR(A52="",C52=""),"",IF(E52&lt;&gt;"",IF(E52&lt;=C52,"Completed","Completed Late"),IF(TODAY()&gt;C52,"Overdue","On Schedule")))</f>
        <v/>
      </c>
      <c r="J52" s="49" t="str">
        <f aca="true">IF(OR(A52="",C52=""),"",IF(E52&lt;&gt;"",IF(E52&lt;=C52,"Green","Red"),IF(TODAY()&gt;C52,"Red",IF(C52-TODAY()&lt;=Config!$B$30,"Amber","Green"))))</f>
        <v/>
      </c>
      <c r="K52" s="46"/>
    </row>
    <row r="53" customFormat="false" ht="15" hidden="false" customHeight="false" outlineLevel="0" collapsed="false">
      <c r="A53" s="46"/>
      <c r="B53" s="46"/>
      <c r="C53" s="40"/>
      <c r="D53" s="40"/>
      <c r="E53" s="40"/>
      <c r="F53" s="27"/>
      <c r="G53" s="45"/>
      <c r="H53" s="48" t="str">
        <f aca="true">IF(OR(A53="",C53=""),"",IF(E53&lt;&gt;"",MAX(0,E53-C53),MAX(0,TODAY()-C53)))</f>
        <v/>
      </c>
      <c r="I53" s="49" t="str">
        <f aca="true">IF(OR(A53="",C53=""),"",IF(E53&lt;&gt;"",IF(E53&lt;=C53,"Completed","Completed Late"),IF(TODAY()&gt;C53,"Overdue","On Schedule")))</f>
        <v/>
      </c>
      <c r="J53" s="49" t="str">
        <f aca="true">IF(OR(A53="",C53=""),"",IF(E53&lt;&gt;"",IF(E53&lt;=C53,"Green","Red"),IF(TODAY()&gt;C53,"Red",IF(C53-TODAY()&lt;=Config!$B$30,"Amber","Green"))))</f>
        <v/>
      </c>
      <c r="K53" s="46"/>
    </row>
    <row r="54" customFormat="false" ht="15" hidden="false" customHeight="false" outlineLevel="0" collapsed="false">
      <c r="A54" s="46"/>
      <c r="B54" s="46"/>
      <c r="C54" s="40"/>
      <c r="D54" s="40"/>
      <c r="E54" s="40"/>
      <c r="F54" s="27"/>
      <c r="G54" s="45"/>
      <c r="H54" s="48" t="str">
        <f aca="true">IF(OR(A54="",C54=""),"",IF(E54&lt;&gt;"",MAX(0,E54-C54),MAX(0,TODAY()-C54)))</f>
        <v/>
      </c>
      <c r="I54" s="49" t="str">
        <f aca="true">IF(OR(A54="",C54=""),"",IF(E54&lt;&gt;"",IF(E54&lt;=C54,"Completed","Completed Late"),IF(TODAY()&gt;C54,"Overdue","On Schedule")))</f>
        <v/>
      </c>
      <c r="J54" s="49" t="str">
        <f aca="true">IF(OR(A54="",C54=""),"",IF(E54&lt;&gt;"",IF(E54&lt;=C54,"Green","Red"),IF(TODAY()&gt;C54,"Red",IF(C54-TODAY()&lt;=Config!$B$30,"Amber","Green"))))</f>
        <v/>
      </c>
      <c r="K54" s="46"/>
    </row>
    <row r="55" customFormat="false" ht="15" hidden="false" customHeight="false" outlineLevel="0" collapsed="false">
      <c r="A55" s="46"/>
      <c r="B55" s="46"/>
      <c r="C55" s="40"/>
      <c r="D55" s="40"/>
      <c r="E55" s="40"/>
      <c r="F55" s="27"/>
      <c r="G55" s="45"/>
      <c r="H55" s="48" t="str">
        <f aca="true">IF(OR(A55="",C55=""),"",IF(E55&lt;&gt;"",MAX(0,E55-C55),MAX(0,TODAY()-C55)))</f>
        <v/>
      </c>
      <c r="I55" s="49" t="str">
        <f aca="true">IF(OR(A55="",C55=""),"",IF(E55&lt;&gt;"",IF(E55&lt;=C55,"Completed","Completed Late"),IF(TODAY()&gt;C55,"Overdue","On Schedule")))</f>
        <v/>
      </c>
      <c r="J55" s="49" t="str">
        <f aca="true">IF(OR(A55="",C55=""),"",IF(E55&lt;&gt;"",IF(E55&lt;=C55,"Green","Red"),IF(TODAY()&gt;C55,"Red",IF(C55-TODAY()&lt;=Config!$B$30,"Amber","Green"))))</f>
        <v/>
      </c>
      <c r="K55" s="46"/>
    </row>
    <row r="56" customFormat="false" ht="15" hidden="false" customHeight="false" outlineLevel="0" collapsed="false">
      <c r="A56" s="46"/>
      <c r="B56" s="46"/>
      <c r="C56" s="40"/>
      <c r="D56" s="40"/>
      <c r="E56" s="40"/>
      <c r="F56" s="27"/>
      <c r="G56" s="45"/>
      <c r="H56" s="48" t="str">
        <f aca="true">IF(OR(A56="",C56=""),"",IF(E56&lt;&gt;"",MAX(0,E56-C56),MAX(0,TODAY()-C56)))</f>
        <v/>
      </c>
      <c r="I56" s="49" t="str">
        <f aca="true">IF(OR(A56="",C56=""),"",IF(E56&lt;&gt;"",IF(E56&lt;=C56,"Completed","Completed Late"),IF(TODAY()&gt;C56,"Overdue","On Schedule")))</f>
        <v/>
      </c>
      <c r="J56" s="49" t="str">
        <f aca="true">IF(OR(A56="",C56=""),"",IF(E56&lt;&gt;"",IF(E56&lt;=C56,"Green","Red"),IF(TODAY()&gt;C56,"Red",IF(C56-TODAY()&lt;=Config!$B$30,"Amber","Green"))))</f>
        <v/>
      </c>
      <c r="K56" s="46"/>
    </row>
    <row r="57" customFormat="false" ht="15" hidden="false" customHeight="false" outlineLevel="0" collapsed="false">
      <c r="A57" s="46"/>
      <c r="B57" s="46"/>
      <c r="C57" s="40"/>
      <c r="D57" s="40"/>
      <c r="E57" s="40"/>
      <c r="F57" s="27"/>
      <c r="G57" s="45"/>
      <c r="H57" s="48" t="str">
        <f aca="true">IF(OR(A57="",C57=""),"",IF(E57&lt;&gt;"",MAX(0,E57-C57),MAX(0,TODAY()-C57)))</f>
        <v/>
      </c>
      <c r="I57" s="49" t="str">
        <f aca="true">IF(OR(A57="",C57=""),"",IF(E57&lt;&gt;"",IF(E57&lt;=C57,"Completed","Completed Late"),IF(TODAY()&gt;C57,"Overdue","On Schedule")))</f>
        <v/>
      </c>
      <c r="J57" s="49" t="str">
        <f aca="true">IF(OR(A57="",C57=""),"",IF(E57&lt;&gt;"",IF(E57&lt;=C57,"Green","Red"),IF(TODAY()&gt;C57,"Red",IF(C57-TODAY()&lt;=Config!$B$30,"Amber","Green"))))</f>
        <v/>
      </c>
      <c r="K57" s="46"/>
    </row>
    <row r="58" customFormat="false" ht="15" hidden="false" customHeight="false" outlineLevel="0" collapsed="false">
      <c r="A58" s="46"/>
      <c r="B58" s="46"/>
      <c r="C58" s="40"/>
      <c r="D58" s="40"/>
      <c r="E58" s="40"/>
      <c r="F58" s="27"/>
      <c r="G58" s="45"/>
      <c r="H58" s="48" t="str">
        <f aca="true">IF(OR(A58="",C58=""),"",IF(E58&lt;&gt;"",MAX(0,E58-C58),MAX(0,TODAY()-C58)))</f>
        <v/>
      </c>
      <c r="I58" s="49" t="str">
        <f aca="true">IF(OR(A58="",C58=""),"",IF(E58&lt;&gt;"",IF(E58&lt;=C58,"Completed","Completed Late"),IF(TODAY()&gt;C58,"Overdue","On Schedule")))</f>
        <v/>
      </c>
      <c r="J58" s="49" t="str">
        <f aca="true">IF(OR(A58="",C58=""),"",IF(E58&lt;&gt;"",IF(E58&lt;=C58,"Green","Red"),IF(TODAY()&gt;C58,"Red",IF(C58-TODAY()&lt;=Config!$B$30,"Amber","Green"))))</f>
        <v/>
      </c>
      <c r="K58" s="46"/>
    </row>
    <row r="59" customFormat="false" ht="15" hidden="false" customHeight="false" outlineLevel="0" collapsed="false">
      <c r="A59" s="46"/>
      <c r="B59" s="46"/>
      <c r="C59" s="40"/>
      <c r="D59" s="40"/>
      <c r="E59" s="40"/>
      <c r="F59" s="27"/>
      <c r="G59" s="45"/>
      <c r="H59" s="48" t="str">
        <f aca="true">IF(OR(A59="",C59=""),"",IF(E59&lt;&gt;"",MAX(0,E59-C59),MAX(0,TODAY()-C59)))</f>
        <v/>
      </c>
      <c r="I59" s="49" t="str">
        <f aca="true">IF(OR(A59="",C59=""),"",IF(E59&lt;&gt;"",IF(E59&lt;=C59,"Completed","Completed Late"),IF(TODAY()&gt;C59,"Overdue","On Schedule")))</f>
        <v/>
      </c>
      <c r="J59" s="49" t="str">
        <f aca="true">IF(OR(A59="",C59=""),"",IF(E59&lt;&gt;"",IF(E59&lt;=C59,"Green","Red"),IF(TODAY()&gt;C59,"Red",IF(C59-TODAY()&lt;=Config!$B$30,"Amber","Green"))))</f>
        <v/>
      </c>
      <c r="K59" s="46"/>
    </row>
    <row r="60" customFormat="false" ht="15" hidden="false" customHeight="false" outlineLevel="0" collapsed="false">
      <c r="A60" s="46"/>
      <c r="B60" s="46"/>
      <c r="C60" s="40"/>
      <c r="D60" s="40"/>
      <c r="E60" s="40"/>
      <c r="F60" s="27"/>
      <c r="G60" s="45"/>
      <c r="H60" s="48" t="str">
        <f aca="true">IF(OR(A60="",C60=""),"",IF(E60&lt;&gt;"",MAX(0,E60-C60),MAX(0,TODAY()-C60)))</f>
        <v/>
      </c>
      <c r="I60" s="49" t="str">
        <f aca="true">IF(OR(A60="",C60=""),"",IF(E60&lt;&gt;"",IF(E60&lt;=C60,"Completed","Completed Late"),IF(TODAY()&gt;C60,"Overdue","On Schedule")))</f>
        <v/>
      </c>
      <c r="J60" s="49" t="str">
        <f aca="true">IF(OR(A60="",C60=""),"",IF(E60&lt;&gt;"",IF(E60&lt;=C60,"Green","Red"),IF(TODAY()&gt;C60,"Red",IF(C60-TODAY()&lt;=Config!$B$30,"Amber","Green"))))</f>
        <v/>
      </c>
      <c r="K60" s="46"/>
    </row>
    <row r="61" customFormat="false" ht="15" hidden="false" customHeight="false" outlineLevel="0" collapsed="false">
      <c r="A61" s="46"/>
      <c r="B61" s="46"/>
      <c r="C61" s="40"/>
      <c r="D61" s="40"/>
      <c r="E61" s="40"/>
      <c r="F61" s="27"/>
      <c r="G61" s="45"/>
      <c r="H61" s="48" t="str">
        <f aca="true">IF(OR(A61="",C61=""),"",IF(E61&lt;&gt;"",MAX(0,E61-C61),MAX(0,TODAY()-C61)))</f>
        <v/>
      </c>
      <c r="I61" s="49" t="str">
        <f aca="true">IF(OR(A61="",C61=""),"",IF(E61&lt;&gt;"",IF(E61&lt;=C61,"Completed","Completed Late"),IF(TODAY()&gt;C61,"Overdue","On Schedule")))</f>
        <v/>
      </c>
      <c r="J61" s="49" t="str">
        <f aca="true">IF(OR(A61="",C61=""),"",IF(E61&lt;&gt;"",IF(E61&lt;=C61,"Green","Red"),IF(TODAY()&gt;C61,"Red",IF(C61-TODAY()&lt;=Config!$B$30,"Amber","Green"))))</f>
        <v/>
      </c>
      <c r="K61" s="46"/>
    </row>
    <row r="62" customFormat="false" ht="15" hidden="false" customHeight="false" outlineLevel="0" collapsed="false">
      <c r="A62" s="46"/>
      <c r="B62" s="46"/>
      <c r="C62" s="40"/>
      <c r="D62" s="40"/>
      <c r="E62" s="40"/>
      <c r="F62" s="27"/>
      <c r="G62" s="45"/>
      <c r="H62" s="48" t="str">
        <f aca="true">IF(OR(A62="",C62=""),"",IF(E62&lt;&gt;"",MAX(0,E62-C62),MAX(0,TODAY()-C62)))</f>
        <v/>
      </c>
      <c r="I62" s="49" t="str">
        <f aca="true">IF(OR(A62="",C62=""),"",IF(E62&lt;&gt;"",IF(E62&lt;=C62,"Completed","Completed Late"),IF(TODAY()&gt;C62,"Overdue","On Schedule")))</f>
        <v/>
      </c>
      <c r="J62" s="49" t="str">
        <f aca="true">IF(OR(A62="",C62=""),"",IF(E62&lt;&gt;"",IF(E62&lt;=C62,"Green","Red"),IF(TODAY()&gt;C62,"Red",IF(C62-TODAY()&lt;=Config!$B$30,"Amber","Green"))))</f>
        <v/>
      </c>
      <c r="K62" s="46"/>
    </row>
    <row r="63" customFormat="false" ht="15" hidden="false" customHeight="false" outlineLevel="0" collapsed="false">
      <c r="A63" s="46"/>
      <c r="B63" s="46"/>
      <c r="C63" s="40"/>
      <c r="D63" s="40"/>
      <c r="E63" s="40"/>
      <c r="F63" s="27"/>
      <c r="G63" s="45"/>
      <c r="H63" s="48" t="str">
        <f aca="true">IF(OR(A63="",C63=""),"",IF(E63&lt;&gt;"",MAX(0,E63-C63),MAX(0,TODAY()-C63)))</f>
        <v/>
      </c>
      <c r="I63" s="49" t="str">
        <f aca="true">IF(OR(A63="",C63=""),"",IF(E63&lt;&gt;"",IF(E63&lt;=C63,"Completed","Completed Late"),IF(TODAY()&gt;C63,"Overdue","On Schedule")))</f>
        <v/>
      </c>
      <c r="J63" s="49" t="str">
        <f aca="true">IF(OR(A63="",C63=""),"",IF(E63&lt;&gt;"",IF(E63&lt;=C63,"Green","Red"),IF(TODAY()&gt;C63,"Red",IF(C63-TODAY()&lt;=Config!$B$30,"Amber","Green"))))</f>
        <v/>
      </c>
      <c r="K63" s="46"/>
    </row>
    <row r="64" customFormat="false" ht="15" hidden="false" customHeight="false" outlineLevel="0" collapsed="false">
      <c r="A64" s="46"/>
      <c r="B64" s="46"/>
      <c r="C64" s="40"/>
      <c r="D64" s="40"/>
      <c r="E64" s="40"/>
      <c r="F64" s="27"/>
      <c r="G64" s="45"/>
      <c r="H64" s="48" t="str">
        <f aca="true">IF(OR(A64="",C64=""),"",IF(E64&lt;&gt;"",MAX(0,E64-C64),MAX(0,TODAY()-C64)))</f>
        <v/>
      </c>
      <c r="I64" s="49" t="str">
        <f aca="true">IF(OR(A64="",C64=""),"",IF(E64&lt;&gt;"",IF(E64&lt;=C64,"Completed","Completed Late"),IF(TODAY()&gt;C64,"Overdue","On Schedule")))</f>
        <v/>
      </c>
      <c r="J64" s="49" t="str">
        <f aca="true">IF(OR(A64="",C64=""),"",IF(E64&lt;&gt;"",IF(E64&lt;=C64,"Green","Red"),IF(TODAY()&gt;C64,"Red",IF(C64-TODAY()&lt;=Config!$B$30,"Amber","Green"))))</f>
        <v/>
      </c>
      <c r="K64" s="46"/>
    </row>
    <row r="65" customFormat="false" ht="15" hidden="false" customHeight="false" outlineLevel="0" collapsed="false">
      <c r="A65" s="46"/>
      <c r="B65" s="46"/>
      <c r="C65" s="40"/>
      <c r="D65" s="40"/>
      <c r="E65" s="40"/>
      <c r="F65" s="27"/>
      <c r="G65" s="45"/>
      <c r="H65" s="48" t="str">
        <f aca="true">IF(OR(A65="",C65=""),"",IF(E65&lt;&gt;"",MAX(0,E65-C65),MAX(0,TODAY()-C65)))</f>
        <v/>
      </c>
      <c r="I65" s="49" t="str">
        <f aca="true">IF(OR(A65="",C65=""),"",IF(E65&lt;&gt;"",IF(E65&lt;=C65,"Completed","Completed Late"),IF(TODAY()&gt;C65,"Overdue","On Schedule")))</f>
        <v/>
      </c>
      <c r="J65" s="49" t="str">
        <f aca="true">IF(OR(A65="",C65=""),"",IF(E65&lt;&gt;"",IF(E65&lt;=C65,"Green","Red"),IF(TODAY()&gt;C65,"Red",IF(C65-TODAY()&lt;=Config!$B$30,"Amber","Green"))))</f>
        <v/>
      </c>
      <c r="K65" s="46"/>
    </row>
    <row r="66" customFormat="false" ht="15" hidden="false" customHeight="false" outlineLevel="0" collapsed="false">
      <c r="A66" s="46"/>
      <c r="B66" s="46"/>
      <c r="C66" s="40"/>
      <c r="D66" s="40"/>
      <c r="E66" s="40"/>
      <c r="F66" s="27"/>
      <c r="G66" s="45"/>
      <c r="H66" s="48" t="str">
        <f aca="true">IF(OR(A66="",C66=""),"",IF(E66&lt;&gt;"",MAX(0,E66-C66),MAX(0,TODAY()-C66)))</f>
        <v/>
      </c>
      <c r="I66" s="49" t="str">
        <f aca="true">IF(OR(A66="",C66=""),"",IF(E66&lt;&gt;"",IF(E66&lt;=C66,"Completed","Completed Late"),IF(TODAY()&gt;C66,"Overdue","On Schedule")))</f>
        <v/>
      </c>
      <c r="J66" s="49" t="str">
        <f aca="true">IF(OR(A66="",C66=""),"",IF(E66&lt;&gt;"",IF(E66&lt;=C66,"Green","Red"),IF(TODAY()&gt;C66,"Red",IF(C66-TODAY()&lt;=Config!$B$30,"Amber","Green"))))</f>
        <v/>
      </c>
      <c r="K66" s="46"/>
    </row>
    <row r="67" customFormat="false" ht="15" hidden="false" customHeight="false" outlineLevel="0" collapsed="false">
      <c r="A67" s="46"/>
      <c r="B67" s="46"/>
      <c r="C67" s="40"/>
      <c r="D67" s="40"/>
      <c r="E67" s="40"/>
      <c r="F67" s="27"/>
      <c r="G67" s="45"/>
      <c r="H67" s="48" t="str">
        <f aca="true">IF(OR(A67="",C67=""),"",IF(E67&lt;&gt;"",MAX(0,E67-C67),MAX(0,TODAY()-C67)))</f>
        <v/>
      </c>
      <c r="I67" s="49" t="str">
        <f aca="true">IF(OR(A67="",C67=""),"",IF(E67&lt;&gt;"",IF(E67&lt;=C67,"Completed","Completed Late"),IF(TODAY()&gt;C67,"Overdue","On Schedule")))</f>
        <v/>
      </c>
      <c r="J67" s="49" t="str">
        <f aca="true">IF(OR(A67="",C67=""),"",IF(E67&lt;&gt;"",IF(E67&lt;=C67,"Green","Red"),IF(TODAY()&gt;C67,"Red",IF(C67-TODAY()&lt;=Config!$B$30,"Amber","Green"))))</f>
        <v/>
      </c>
      <c r="K67" s="46"/>
    </row>
    <row r="68" customFormat="false" ht="15" hidden="false" customHeight="false" outlineLevel="0" collapsed="false">
      <c r="A68" s="46"/>
      <c r="B68" s="46"/>
      <c r="C68" s="40"/>
      <c r="D68" s="40"/>
      <c r="E68" s="40"/>
      <c r="F68" s="27"/>
      <c r="G68" s="45"/>
      <c r="H68" s="48" t="str">
        <f aca="true">IF(OR(A68="",C68=""),"",IF(E68&lt;&gt;"",MAX(0,E68-C68),MAX(0,TODAY()-C68)))</f>
        <v/>
      </c>
      <c r="I68" s="49" t="str">
        <f aca="true">IF(OR(A68="",C68=""),"",IF(E68&lt;&gt;"",IF(E68&lt;=C68,"Completed","Completed Late"),IF(TODAY()&gt;C68,"Overdue","On Schedule")))</f>
        <v/>
      </c>
      <c r="J68" s="49" t="str">
        <f aca="true">IF(OR(A68="",C68=""),"",IF(E68&lt;&gt;"",IF(E68&lt;=C68,"Green","Red"),IF(TODAY()&gt;C68,"Red",IF(C68-TODAY()&lt;=Config!$B$30,"Amber","Green"))))</f>
        <v/>
      </c>
      <c r="K68" s="46"/>
    </row>
    <row r="69" customFormat="false" ht="15" hidden="false" customHeight="false" outlineLevel="0" collapsed="false">
      <c r="A69" s="46"/>
      <c r="B69" s="46"/>
      <c r="C69" s="40"/>
      <c r="D69" s="40"/>
      <c r="E69" s="40"/>
      <c r="F69" s="27"/>
      <c r="G69" s="45"/>
      <c r="H69" s="48" t="str">
        <f aca="true">IF(OR(A69="",C69=""),"",IF(E69&lt;&gt;"",MAX(0,E69-C69),MAX(0,TODAY()-C69)))</f>
        <v/>
      </c>
      <c r="I69" s="49" t="str">
        <f aca="true">IF(OR(A69="",C69=""),"",IF(E69&lt;&gt;"",IF(E69&lt;=C69,"Completed","Completed Late"),IF(TODAY()&gt;C69,"Overdue","On Schedule")))</f>
        <v/>
      </c>
      <c r="J69" s="49" t="str">
        <f aca="true">IF(OR(A69="",C69=""),"",IF(E69&lt;&gt;"",IF(E69&lt;=C69,"Green","Red"),IF(TODAY()&gt;C69,"Red",IF(C69-TODAY()&lt;=Config!$B$30,"Amber","Green"))))</f>
        <v/>
      </c>
      <c r="K69" s="46"/>
    </row>
    <row r="70" customFormat="false" ht="15" hidden="false" customHeight="false" outlineLevel="0" collapsed="false">
      <c r="A70" s="46"/>
      <c r="B70" s="46"/>
      <c r="C70" s="40"/>
      <c r="D70" s="40"/>
      <c r="E70" s="40"/>
      <c r="F70" s="27"/>
      <c r="G70" s="45"/>
      <c r="H70" s="48" t="str">
        <f aca="true">IF(OR(A70="",C70=""),"",IF(E70&lt;&gt;"",MAX(0,E70-C70),MAX(0,TODAY()-C70)))</f>
        <v/>
      </c>
      <c r="I70" s="49" t="str">
        <f aca="true">IF(OR(A70="",C70=""),"",IF(E70&lt;&gt;"",IF(E70&lt;=C70,"Completed","Completed Late"),IF(TODAY()&gt;C70,"Overdue","On Schedule")))</f>
        <v/>
      </c>
      <c r="J70" s="49" t="str">
        <f aca="true">IF(OR(A70="",C70=""),"",IF(E70&lt;&gt;"",IF(E70&lt;=C70,"Green","Red"),IF(TODAY()&gt;C70,"Red",IF(C70-TODAY()&lt;=Config!$B$30,"Amber","Green"))))</f>
        <v/>
      </c>
      <c r="K70" s="46"/>
    </row>
    <row r="71" customFormat="false" ht="15" hidden="false" customHeight="false" outlineLevel="0" collapsed="false">
      <c r="A71" s="46"/>
      <c r="B71" s="46"/>
      <c r="C71" s="40"/>
      <c r="D71" s="40"/>
      <c r="E71" s="40"/>
      <c r="F71" s="27"/>
      <c r="G71" s="45"/>
      <c r="H71" s="48" t="str">
        <f aca="true">IF(OR(A71="",C71=""),"",IF(E71&lt;&gt;"",MAX(0,E71-C71),MAX(0,TODAY()-C71)))</f>
        <v/>
      </c>
      <c r="I71" s="49" t="str">
        <f aca="true">IF(OR(A71="",C71=""),"",IF(E71&lt;&gt;"",IF(E71&lt;=C71,"Completed","Completed Late"),IF(TODAY()&gt;C71,"Overdue","On Schedule")))</f>
        <v/>
      </c>
      <c r="J71" s="49" t="str">
        <f aca="true">IF(OR(A71="",C71=""),"",IF(E71&lt;&gt;"",IF(E71&lt;=C71,"Green","Red"),IF(TODAY()&gt;C71,"Red",IF(C71-TODAY()&lt;=Config!$B$30,"Amber","Green"))))</f>
        <v/>
      </c>
      <c r="K71" s="46"/>
    </row>
    <row r="72" customFormat="false" ht="15" hidden="false" customHeight="false" outlineLevel="0" collapsed="false">
      <c r="A72" s="46"/>
      <c r="B72" s="46"/>
      <c r="C72" s="40"/>
      <c r="D72" s="40"/>
      <c r="E72" s="40"/>
      <c r="F72" s="27"/>
      <c r="G72" s="45"/>
      <c r="H72" s="48" t="str">
        <f aca="true">IF(OR(A72="",C72=""),"",IF(E72&lt;&gt;"",MAX(0,E72-C72),MAX(0,TODAY()-C72)))</f>
        <v/>
      </c>
      <c r="I72" s="49" t="str">
        <f aca="true">IF(OR(A72="",C72=""),"",IF(E72&lt;&gt;"",IF(E72&lt;=C72,"Completed","Completed Late"),IF(TODAY()&gt;C72,"Overdue","On Schedule")))</f>
        <v/>
      </c>
      <c r="J72" s="49" t="str">
        <f aca="true">IF(OR(A72="",C72=""),"",IF(E72&lt;&gt;"",IF(E72&lt;=C72,"Green","Red"),IF(TODAY()&gt;C72,"Red",IF(C72-TODAY()&lt;=Config!$B$30,"Amber","Green"))))</f>
        <v/>
      </c>
      <c r="K72" s="46"/>
    </row>
    <row r="73" customFormat="false" ht="15" hidden="false" customHeight="false" outlineLevel="0" collapsed="false">
      <c r="A73" s="46"/>
      <c r="B73" s="46"/>
      <c r="C73" s="40"/>
      <c r="D73" s="40"/>
      <c r="E73" s="40"/>
      <c r="F73" s="27"/>
      <c r="G73" s="45"/>
      <c r="H73" s="48" t="str">
        <f aca="true">IF(OR(A73="",C73=""),"",IF(E73&lt;&gt;"",MAX(0,E73-C73),MAX(0,TODAY()-C73)))</f>
        <v/>
      </c>
      <c r="I73" s="49" t="str">
        <f aca="true">IF(OR(A73="",C73=""),"",IF(E73&lt;&gt;"",IF(E73&lt;=C73,"Completed","Completed Late"),IF(TODAY()&gt;C73,"Overdue","On Schedule")))</f>
        <v/>
      </c>
      <c r="J73" s="49" t="str">
        <f aca="true">IF(OR(A73="",C73=""),"",IF(E73&lt;&gt;"",IF(E73&lt;=C73,"Green","Red"),IF(TODAY()&gt;C73,"Red",IF(C73-TODAY()&lt;=Config!$B$30,"Amber","Green"))))</f>
        <v/>
      </c>
      <c r="K73" s="46"/>
    </row>
    <row r="74" customFormat="false" ht="15" hidden="false" customHeight="false" outlineLevel="0" collapsed="false">
      <c r="A74" s="46"/>
      <c r="B74" s="46"/>
      <c r="C74" s="40"/>
      <c r="D74" s="40"/>
      <c r="E74" s="40"/>
      <c r="F74" s="27"/>
      <c r="G74" s="45"/>
      <c r="H74" s="48" t="str">
        <f aca="true">IF(OR(A74="",C74=""),"",IF(E74&lt;&gt;"",MAX(0,E74-C74),MAX(0,TODAY()-C74)))</f>
        <v/>
      </c>
      <c r="I74" s="49" t="str">
        <f aca="true">IF(OR(A74="",C74=""),"",IF(E74&lt;&gt;"",IF(E74&lt;=C74,"Completed","Completed Late"),IF(TODAY()&gt;C74,"Overdue","On Schedule")))</f>
        <v/>
      </c>
      <c r="J74" s="49" t="str">
        <f aca="true">IF(OR(A74="",C74=""),"",IF(E74&lt;&gt;"",IF(E74&lt;=C74,"Green","Red"),IF(TODAY()&gt;C74,"Red",IF(C74-TODAY()&lt;=Config!$B$30,"Amber","Green"))))</f>
        <v/>
      </c>
      <c r="K74" s="46"/>
    </row>
    <row r="75" customFormat="false" ht="15" hidden="false" customHeight="false" outlineLevel="0" collapsed="false">
      <c r="A75" s="46"/>
      <c r="B75" s="46"/>
      <c r="C75" s="40"/>
      <c r="D75" s="40"/>
      <c r="E75" s="40"/>
      <c r="F75" s="27"/>
      <c r="G75" s="45"/>
      <c r="H75" s="48" t="str">
        <f aca="true">IF(OR(A75="",C75=""),"",IF(E75&lt;&gt;"",MAX(0,E75-C75),MAX(0,TODAY()-C75)))</f>
        <v/>
      </c>
      <c r="I75" s="49" t="str">
        <f aca="true">IF(OR(A75="",C75=""),"",IF(E75&lt;&gt;"",IF(E75&lt;=C75,"Completed","Completed Late"),IF(TODAY()&gt;C75,"Overdue","On Schedule")))</f>
        <v/>
      </c>
      <c r="J75" s="49" t="str">
        <f aca="true">IF(OR(A75="",C75=""),"",IF(E75&lt;&gt;"",IF(E75&lt;=C75,"Green","Red"),IF(TODAY()&gt;C75,"Red",IF(C75-TODAY()&lt;=Config!$B$30,"Amber","Green"))))</f>
        <v/>
      </c>
      <c r="K75" s="46"/>
    </row>
    <row r="76" customFormat="false" ht="15" hidden="false" customHeight="false" outlineLevel="0" collapsed="false">
      <c r="A76" s="46"/>
      <c r="B76" s="46"/>
      <c r="C76" s="40"/>
      <c r="D76" s="40"/>
      <c r="E76" s="40"/>
      <c r="F76" s="27"/>
      <c r="G76" s="45"/>
      <c r="H76" s="48" t="str">
        <f aca="true">IF(OR(A76="",C76=""),"",IF(E76&lt;&gt;"",MAX(0,E76-C76),MAX(0,TODAY()-C76)))</f>
        <v/>
      </c>
      <c r="I76" s="49" t="str">
        <f aca="true">IF(OR(A76="",C76=""),"",IF(E76&lt;&gt;"",IF(E76&lt;=C76,"Completed","Completed Late"),IF(TODAY()&gt;C76,"Overdue","On Schedule")))</f>
        <v/>
      </c>
      <c r="J76" s="49" t="str">
        <f aca="true">IF(OR(A76="",C76=""),"",IF(E76&lt;&gt;"",IF(E76&lt;=C76,"Green","Red"),IF(TODAY()&gt;C76,"Red",IF(C76-TODAY()&lt;=Config!$B$30,"Amber","Green"))))</f>
        <v/>
      </c>
      <c r="K76" s="46"/>
    </row>
    <row r="77" customFormat="false" ht="15" hidden="false" customHeight="false" outlineLevel="0" collapsed="false">
      <c r="A77" s="46"/>
      <c r="B77" s="46"/>
      <c r="C77" s="40"/>
      <c r="D77" s="40"/>
      <c r="E77" s="40"/>
      <c r="F77" s="27"/>
      <c r="G77" s="45"/>
      <c r="H77" s="48" t="str">
        <f aca="true">IF(OR(A77="",C77=""),"",IF(E77&lt;&gt;"",MAX(0,E77-C77),MAX(0,TODAY()-C77)))</f>
        <v/>
      </c>
      <c r="I77" s="49" t="str">
        <f aca="true">IF(OR(A77="",C77=""),"",IF(E77&lt;&gt;"",IF(E77&lt;=C77,"Completed","Completed Late"),IF(TODAY()&gt;C77,"Overdue","On Schedule")))</f>
        <v/>
      </c>
      <c r="J77" s="49" t="str">
        <f aca="true">IF(OR(A77="",C77=""),"",IF(E77&lt;&gt;"",IF(E77&lt;=C77,"Green","Red"),IF(TODAY()&gt;C77,"Red",IF(C77-TODAY()&lt;=Config!$B$30,"Amber","Green"))))</f>
        <v/>
      </c>
      <c r="K77" s="46"/>
    </row>
    <row r="78" customFormat="false" ht="15" hidden="false" customHeight="false" outlineLevel="0" collapsed="false">
      <c r="A78" s="46"/>
      <c r="B78" s="46"/>
      <c r="C78" s="40"/>
      <c r="D78" s="40"/>
      <c r="E78" s="40"/>
      <c r="F78" s="27"/>
      <c r="G78" s="45"/>
      <c r="H78" s="48" t="str">
        <f aca="true">IF(OR(A78="",C78=""),"",IF(E78&lt;&gt;"",MAX(0,E78-C78),MAX(0,TODAY()-C78)))</f>
        <v/>
      </c>
      <c r="I78" s="49" t="str">
        <f aca="true">IF(OR(A78="",C78=""),"",IF(E78&lt;&gt;"",IF(E78&lt;=C78,"Completed","Completed Late"),IF(TODAY()&gt;C78,"Overdue","On Schedule")))</f>
        <v/>
      </c>
      <c r="J78" s="49" t="str">
        <f aca="true">IF(OR(A78="",C78=""),"",IF(E78&lt;&gt;"",IF(E78&lt;=C78,"Green","Red"),IF(TODAY()&gt;C78,"Red",IF(C78-TODAY()&lt;=Config!$B$30,"Amber","Green"))))</f>
        <v/>
      </c>
      <c r="K78" s="46"/>
    </row>
    <row r="79" customFormat="false" ht="15" hidden="false" customHeight="false" outlineLevel="0" collapsed="false">
      <c r="A79" s="46"/>
      <c r="B79" s="46"/>
      <c r="C79" s="40"/>
      <c r="D79" s="40"/>
      <c r="E79" s="40"/>
      <c r="F79" s="27"/>
      <c r="G79" s="45"/>
      <c r="H79" s="48" t="str">
        <f aca="true">IF(OR(A79="",C79=""),"",IF(E79&lt;&gt;"",MAX(0,E79-C79),MAX(0,TODAY()-C79)))</f>
        <v/>
      </c>
      <c r="I79" s="49" t="str">
        <f aca="true">IF(OR(A79="",C79=""),"",IF(E79&lt;&gt;"",IF(E79&lt;=C79,"Completed","Completed Late"),IF(TODAY()&gt;C79,"Overdue","On Schedule")))</f>
        <v/>
      </c>
      <c r="J79" s="49" t="str">
        <f aca="true">IF(OR(A79="",C79=""),"",IF(E79&lt;&gt;"",IF(E79&lt;=C79,"Green","Red"),IF(TODAY()&gt;C79,"Red",IF(C79-TODAY()&lt;=Config!$B$30,"Amber","Green"))))</f>
        <v/>
      </c>
      <c r="K79" s="46"/>
    </row>
    <row r="80" customFormat="false" ht="15" hidden="false" customHeight="false" outlineLevel="0" collapsed="false">
      <c r="A80" s="46"/>
      <c r="B80" s="46"/>
      <c r="C80" s="40"/>
      <c r="D80" s="40"/>
      <c r="E80" s="40"/>
      <c r="F80" s="27"/>
      <c r="G80" s="45"/>
      <c r="H80" s="48" t="str">
        <f aca="true">IF(OR(A80="",C80=""),"",IF(E80&lt;&gt;"",MAX(0,E80-C80),MAX(0,TODAY()-C80)))</f>
        <v/>
      </c>
      <c r="I80" s="49" t="str">
        <f aca="true">IF(OR(A80="",C80=""),"",IF(E80&lt;&gt;"",IF(E80&lt;=C80,"Completed","Completed Late"),IF(TODAY()&gt;C80,"Overdue","On Schedule")))</f>
        <v/>
      </c>
      <c r="J80" s="49" t="str">
        <f aca="true">IF(OR(A80="",C80=""),"",IF(E80&lt;&gt;"",IF(E80&lt;=C80,"Green","Red"),IF(TODAY()&gt;C80,"Red",IF(C80-TODAY()&lt;=Config!$B$30,"Amber","Green"))))</f>
        <v/>
      </c>
      <c r="K80" s="46"/>
    </row>
    <row r="81" customFormat="false" ht="15" hidden="false" customHeight="false" outlineLevel="0" collapsed="false">
      <c r="A81" s="46"/>
      <c r="B81" s="46"/>
      <c r="C81" s="40"/>
      <c r="D81" s="40"/>
      <c r="E81" s="40"/>
      <c r="F81" s="27"/>
      <c r="G81" s="45"/>
      <c r="H81" s="48" t="str">
        <f aca="true">IF(OR(A81="",C81=""),"",IF(E81&lt;&gt;"",MAX(0,E81-C81),MAX(0,TODAY()-C81)))</f>
        <v/>
      </c>
      <c r="I81" s="49" t="str">
        <f aca="true">IF(OR(A81="",C81=""),"",IF(E81&lt;&gt;"",IF(E81&lt;=C81,"Completed","Completed Late"),IF(TODAY()&gt;C81,"Overdue","On Schedule")))</f>
        <v/>
      </c>
      <c r="J81" s="49" t="str">
        <f aca="true">IF(OR(A81="",C81=""),"",IF(E81&lt;&gt;"",IF(E81&lt;=C81,"Green","Red"),IF(TODAY()&gt;C81,"Red",IF(C81-TODAY()&lt;=Config!$B$30,"Amber","Green"))))</f>
        <v/>
      </c>
      <c r="K81" s="46"/>
    </row>
    <row r="82" customFormat="false" ht="15" hidden="false" customHeight="false" outlineLevel="0" collapsed="false">
      <c r="A82" s="46"/>
      <c r="B82" s="46"/>
      <c r="C82" s="40"/>
      <c r="D82" s="40"/>
      <c r="E82" s="40"/>
      <c r="F82" s="27"/>
      <c r="G82" s="45"/>
      <c r="H82" s="48" t="str">
        <f aca="true">IF(OR(A82="",C82=""),"",IF(E82&lt;&gt;"",MAX(0,E82-C82),MAX(0,TODAY()-C82)))</f>
        <v/>
      </c>
      <c r="I82" s="49" t="str">
        <f aca="true">IF(OR(A82="",C82=""),"",IF(E82&lt;&gt;"",IF(E82&lt;=C82,"Completed","Completed Late"),IF(TODAY()&gt;C82,"Overdue","On Schedule")))</f>
        <v/>
      </c>
      <c r="J82" s="49" t="str">
        <f aca="true">IF(OR(A82="",C82=""),"",IF(E82&lt;&gt;"",IF(E82&lt;=C82,"Green","Red"),IF(TODAY()&gt;C82,"Red",IF(C82-TODAY()&lt;=Config!$B$30,"Amber","Green"))))</f>
        <v/>
      </c>
      <c r="K82" s="46"/>
    </row>
    <row r="83" customFormat="false" ht="15" hidden="false" customHeight="false" outlineLevel="0" collapsed="false">
      <c r="A83" s="46"/>
      <c r="B83" s="46"/>
      <c r="C83" s="40"/>
      <c r="D83" s="40"/>
      <c r="E83" s="40"/>
      <c r="F83" s="27"/>
      <c r="G83" s="45"/>
      <c r="H83" s="48" t="str">
        <f aca="true">IF(OR(A83="",C83=""),"",IF(E83&lt;&gt;"",MAX(0,E83-C83),MAX(0,TODAY()-C83)))</f>
        <v/>
      </c>
      <c r="I83" s="49" t="str">
        <f aca="true">IF(OR(A83="",C83=""),"",IF(E83&lt;&gt;"",IF(E83&lt;=C83,"Completed","Completed Late"),IF(TODAY()&gt;C83,"Overdue","On Schedule")))</f>
        <v/>
      </c>
      <c r="J83" s="49" t="str">
        <f aca="true">IF(OR(A83="",C83=""),"",IF(E83&lt;&gt;"",IF(E83&lt;=C83,"Green","Red"),IF(TODAY()&gt;C83,"Red",IF(C83-TODAY()&lt;=Config!$B$30,"Amber","Green"))))</f>
        <v/>
      </c>
      <c r="K83" s="46"/>
    </row>
    <row r="84" customFormat="false" ht="15" hidden="false" customHeight="false" outlineLevel="0" collapsed="false">
      <c r="A84" s="46"/>
      <c r="B84" s="46"/>
      <c r="C84" s="40"/>
      <c r="D84" s="40"/>
      <c r="E84" s="40"/>
      <c r="F84" s="27"/>
      <c r="G84" s="45"/>
      <c r="H84" s="48" t="str">
        <f aca="true">IF(OR(A84="",C84=""),"",IF(E84&lt;&gt;"",MAX(0,E84-C84),MAX(0,TODAY()-C84)))</f>
        <v/>
      </c>
      <c r="I84" s="49" t="str">
        <f aca="true">IF(OR(A84="",C84=""),"",IF(E84&lt;&gt;"",IF(E84&lt;=C84,"Completed","Completed Late"),IF(TODAY()&gt;C84,"Overdue","On Schedule")))</f>
        <v/>
      </c>
      <c r="J84" s="49" t="str">
        <f aca="true">IF(OR(A84="",C84=""),"",IF(E84&lt;&gt;"",IF(E84&lt;=C84,"Green","Red"),IF(TODAY()&gt;C84,"Red",IF(C84-TODAY()&lt;=Config!$B$30,"Amber","Green"))))</f>
        <v/>
      </c>
      <c r="K84" s="46"/>
    </row>
    <row r="85" customFormat="false" ht="15" hidden="false" customHeight="false" outlineLevel="0" collapsed="false">
      <c r="A85" s="46"/>
      <c r="B85" s="46"/>
      <c r="C85" s="40"/>
      <c r="D85" s="40"/>
      <c r="E85" s="40"/>
      <c r="F85" s="27"/>
      <c r="G85" s="45"/>
      <c r="H85" s="48" t="str">
        <f aca="true">IF(OR(A85="",C85=""),"",IF(E85&lt;&gt;"",MAX(0,E85-C85),MAX(0,TODAY()-C85)))</f>
        <v/>
      </c>
      <c r="I85" s="49" t="str">
        <f aca="true">IF(OR(A85="",C85=""),"",IF(E85&lt;&gt;"",IF(E85&lt;=C85,"Completed","Completed Late"),IF(TODAY()&gt;C85,"Overdue","On Schedule")))</f>
        <v/>
      </c>
      <c r="J85" s="49" t="str">
        <f aca="true">IF(OR(A85="",C85=""),"",IF(E85&lt;&gt;"",IF(E85&lt;=C85,"Green","Red"),IF(TODAY()&gt;C85,"Red",IF(C85-TODAY()&lt;=Config!$B$30,"Amber","Green"))))</f>
        <v/>
      </c>
      <c r="K85" s="46"/>
    </row>
    <row r="86" customFormat="false" ht="15" hidden="false" customHeight="false" outlineLevel="0" collapsed="false">
      <c r="A86" s="46"/>
      <c r="B86" s="46"/>
      <c r="C86" s="40"/>
      <c r="D86" s="40"/>
      <c r="E86" s="40"/>
      <c r="F86" s="27"/>
      <c r="G86" s="45"/>
      <c r="H86" s="48" t="str">
        <f aca="true">IF(OR(A86="",C86=""),"",IF(E86&lt;&gt;"",MAX(0,E86-C86),MAX(0,TODAY()-C86)))</f>
        <v/>
      </c>
      <c r="I86" s="49" t="str">
        <f aca="true">IF(OR(A86="",C86=""),"",IF(E86&lt;&gt;"",IF(E86&lt;=C86,"Completed","Completed Late"),IF(TODAY()&gt;C86,"Overdue","On Schedule")))</f>
        <v/>
      </c>
      <c r="J86" s="49" t="str">
        <f aca="true">IF(OR(A86="",C86=""),"",IF(E86&lt;&gt;"",IF(E86&lt;=C86,"Green","Red"),IF(TODAY()&gt;C86,"Red",IF(C86-TODAY()&lt;=Config!$B$30,"Amber","Green"))))</f>
        <v/>
      </c>
      <c r="K86" s="46"/>
    </row>
    <row r="87" customFormat="false" ht="15" hidden="false" customHeight="false" outlineLevel="0" collapsed="false">
      <c r="A87" s="46"/>
      <c r="B87" s="46"/>
      <c r="C87" s="40"/>
      <c r="D87" s="40"/>
      <c r="E87" s="40"/>
      <c r="F87" s="27"/>
      <c r="G87" s="45"/>
      <c r="H87" s="48" t="str">
        <f aca="true">IF(OR(A87="",C87=""),"",IF(E87&lt;&gt;"",MAX(0,E87-C87),MAX(0,TODAY()-C87)))</f>
        <v/>
      </c>
      <c r="I87" s="49" t="str">
        <f aca="true">IF(OR(A87="",C87=""),"",IF(E87&lt;&gt;"",IF(E87&lt;=C87,"Completed","Completed Late"),IF(TODAY()&gt;C87,"Overdue","On Schedule")))</f>
        <v/>
      </c>
      <c r="J87" s="49" t="str">
        <f aca="true">IF(OR(A87="",C87=""),"",IF(E87&lt;&gt;"",IF(E87&lt;=C87,"Green","Red"),IF(TODAY()&gt;C87,"Red",IF(C87-TODAY()&lt;=Config!$B$30,"Amber","Green"))))</f>
        <v/>
      </c>
      <c r="K87" s="46"/>
    </row>
    <row r="88" customFormat="false" ht="15" hidden="false" customHeight="false" outlineLevel="0" collapsed="false">
      <c r="A88" s="46"/>
      <c r="B88" s="46"/>
      <c r="C88" s="40"/>
      <c r="D88" s="40"/>
      <c r="E88" s="40"/>
      <c r="F88" s="27"/>
      <c r="G88" s="45"/>
      <c r="H88" s="48" t="str">
        <f aca="true">IF(OR(A88="",C88=""),"",IF(E88&lt;&gt;"",MAX(0,E88-C88),MAX(0,TODAY()-C88)))</f>
        <v/>
      </c>
      <c r="I88" s="49" t="str">
        <f aca="true">IF(OR(A88="",C88=""),"",IF(E88&lt;&gt;"",IF(E88&lt;=C88,"Completed","Completed Late"),IF(TODAY()&gt;C88,"Overdue","On Schedule")))</f>
        <v/>
      </c>
      <c r="J88" s="49" t="str">
        <f aca="true">IF(OR(A88="",C88=""),"",IF(E88&lt;&gt;"",IF(E88&lt;=C88,"Green","Red"),IF(TODAY()&gt;C88,"Red",IF(C88-TODAY()&lt;=Config!$B$30,"Amber","Green"))))</f>
        <v/>
      </c>
      <c r="K88" s="46"/>
    </row>
    <row r="89" customFormat="false" ht="15" hidden="false" customHeight="false" outlineLevel="0" collapsed="false">
      <c r="A89" s="46"/>
      <c r="B89" s="46"/>
      <c r="C89" s="40"/>
      <c r="D89" s="40"/>
      <c r="E89" s="40"/>
      <c r="F89" s="27"/>
      <c r="G89" s="45"/>
      <c r="H89" s="48" t="str">
        <f aca="true">IF(OR(A89="",C89=""),"",IF(E89&lt;&gt;"",MAX(0,E89-C89),MAX(0,TODAY()-C89)))</f>
        <v/>
      </c>
      <c r="I89" s="49" t="str">
        <f aca="true">IF(OR(A89="",C89=""),"",IF(E89&lt;&gt;"",IF(E89&lt;=C89,"Completed","Completed Late"),IF(TODAY()&gt;C89,"Overdue","On Schedule")))</f>
        <v/>
      </c>
      <c r="J89" s="49" t="str">
        <f aca="true">IF(OR(A89="",C89=""),"",IF(E89&lt;&gt;"",IF(E89&lt;=C89,"Green","Red"),IF(TODAY()&gt;C89,"Red",IF(C89-TODAY()&lt;=Config!$B$30,"Amber","Green"))))</f>
        <v/>
      </c>
      <c r="K89" s="46"/>
    </row>
    <row r="90" customFormat="false" ht="15" hidden="false" customHeight="false" outlineLevel="0" collapsed="false">
      <c r="A90" s="46"/>
      <c r="B90" s="46"/>
      <c r="C90" s="40"/>
      <c r="D90" s="40"/>
      <c r="E90" s="40"/>
      <c r="F90" s="27"/>
      <c r="G90" s="45"/>
      <c r="H90" s="48" t="str">
        <f aca="true">IF(OR(A90="",C90=""),"",IF(E90&lt;&gt;"",MAX(0,E90-C90),MAX(0,TODAY()-C90)))</f>
        <v/>
      </c>
      <c r="I90" s="49" t="str">
        <f aca="true">IF(OR(A90="",C90=""),"",IF(E90&lt;&gt;"",IF(E90&lt;=C90,"Completed","Completed Late"),IF(TODAY()&gt;C90,"Overdue","On Schedule")))</f>
        <v/>
      </c>
      <c r="J90" s="49" t="str">
        <f aca="true">IF(OR(A90="",C90=""),"",IF(E90&lt;&gt;"",IF(E90&lt;=C90,"Green","Red"),IF(TODAY()&gt;C90,"Red",IF(C90-TODAY()&lt;=Config!$B$30,"Amber","Green"))))</f>
        <v/>
      </c>
      <c r="K90" s="46"/>
    </row>
    <row r="91" customFormat="false" ht="15" hidden="false" customHeight="false" outlineLevel="0" collapsed="false">
      <c r="A91" s="46"/>
      <c r="B91" s="46"/>
      <c r="C91" s="40"/>
      <c r="D91" s="40"/>
      <c r="E91" s="40"/>
      <c r="F91" s="27"/>
      <c r="G91" s="45"/>
      <c r="H91" s="48" t="str">
        <f aca="true">IF(OR(A91="",C91=""),"",IF(E91&lt;&gt;"",MAX(0,E91-C91),MAX(0,TODAY()-C91)))</f>
        <v/>
      </c>
      <c r="I91" s="49" t="str">
        <f aca="true">IF(OR(A91="",C91=""),"",IF(E91&lt;&gt;"",IF(E91&lt;=C91,"Completed","Completed Late"),IF(TODAY()&gt;C91,"Overdue","On Schedule")))</f>
        <v/>
      </c>
      <c r="J91" s="49" t="str">
        <f aca="true">IF(OR(A91="",C91=""),"",IF(E91&lt;&gt;"",IF(E91&lt;=C91,"Green","Red"),IF(TODAY()&gt;C91,"Red",IF(C91-TODAY()&lt;=Config!$B$30,"Amber","Green"))))</f>
        <v/>
      </c>
      <c r="K91" s="46"/>
    </row>
    <row r="92" customFormat="false" ht="15" hidden="false" customHeight="false" outlineLevel="0" collapsed="false">
      <c r="A92" s="46"/>
      <c r="B92" s="46"/>
      <c r="C92" s="40"/>
      <c r="D92" s="40"/>
      <c r="E92" s="40"/>
      <c r="F92" s="27"/>
      <c r="G92" s="45"/>
      <c r="H92" s="48" t="str">
        <f aca="true">IF(OR(A92="",C92=""),"",IF(E92&lt;&gt;"",MAX(0,E92-C92),MAX(0,TODAY()-C92)))</f>
        <v/>
      </c>
      <c r="I92" s="49" t="str">
        <f aca="true">IF(OR(A92="",C92=""),"",IF(E92&lt;&gt;"",IF(E92&lt;=C92,"Completed","Completed Late"),IF(TODAY()&gt;C92,"Overdue","On Schedule")))</f>
        <v/>
      </c>
      <c r="J92" s="49" t="str">
        <f aca="true">IF(OR(A92="",C92=""),"",IF(E92&lt;&gt;"",IF(E92&lt;=C92,"Green","Red"),IF(TODAY()&gt;C92,"Red",IF(C92-TODAY()&lt;=Config!$B$30,"Amber","Green"))))</f>
        <v/>
      </c>
      <c r="K92" s="46"/>
    </row>
    <row r="93" customFormat="false" ht="15" hidden="false" customHeight="false" outlineLevel="0" collapsed="false">
      <c r="A93" s="46"/>
      <c r="B93" s="46"/>
      <c r="C93" s="40"/>
      <c r="D93" s="40"/>
      <c r="E93" s="40"/>
      <c r="F93" s="27"/>
      <c r="G93" s="45"/>
      <c r="H93" s="48" t="str">
        <f aca="true">IF(OR(A93="",C93=""),"",IF(E93&lt;&gt;"",MAX(0,E93-C93),MAX(0,TODAY()-C93)))</f>
        <v/>
      </c>
      <c r="I93" s="49" t="str">
        <f aca="true">IF(OR(A93="",C93=""),"",IF(E93&lt;&gt;"",IF(E93&lt;=C93,"Completed","Completed Late"),IF(TODAY()&gt;C93,"Overdue","On Schedule")))</f>
        <v/>
      </c>
      <c r="J93" s="49" t="str">
        <f aca="true">IF(OR(A93="",C93=""),"",IF(E93&lt;&gt;"",IF(E93&lt;=C93,"Green","Red"),IF(TODAY()&gt;C93,"Red",IF(C93-TODAY()&lt;=Config!$B$30,"Amber","Green"))))</f>
        <v/>
      </c>
      <c r="K93" s="46"/>
    </row>
    <row r="94" customFormat="false" ht="15" hidden="false" customHeight="false" outlineLevel="0" collapsed="false">
      <c r="A94" s="46"/>
      <c r="B94" s="46"/>
      <c r="C94" s="40"/>
      <c r="D94" s="40"/>
      <c r="E94" s="40"/>
      <c r="F94" s="27"/>
      <c r="G94" s="45"/>
      <c r="H94" s="48" t="str">
        <f aca="true">IF(OR(A94="",C94=""),"",IF(E94&lt;&gt;"",MAX(0,E94-C94),MAX(0,TODAY()-C94)))</f>
        <v/>
      </c>
      <c r="I94" s="49" t="str">
        <f aca="true">IF(OR(A94="",C94=""),"",IF(E94&lt;&gt;"",IF(E94&lt;=C94,"Completed","Completed Late"),IF(TODAY()&gt;C94,"Overdue","On Schedule")))</f>
        <v/>
      </c>
      <c r="J94" s="49" t="str">
        <f aca="true">IF(OR(A94="",C94=""),"",IF(E94&lt;&gt;"",IF(E94&lt;=C94,"Green","Red"),IF(TODAY()&gt;C94,"Red",IF(C94-TODAY()&lt;=Config!$B$30,"Amber","Green"))))</f>
        <v/>
      </c>
      <c r="K94" s="46"/>
    </row>
    <row r="95" customFormat="false" ht="15" hidden="false" customHeight="false" outlineLevel="0" collapsed="false">
      <c r="A95" s="46"/>
      <c r="B95" s="46"/>
      <c r="C95" s="40"/>
      <c r="D95" s="40"/>
      <c r="E95" s="40"/>
      <c r="F95" s="27"/>
      <c r="G95" s="45"/>
      <c r="H95" s="48" t="str">
        <f aca="true">IF(OR(A95="",C95=""),"",IF(E95&lt;&gt;"",MAX(0,E95-C95),MAX(0,TODAY()-C95)))</f>
        <v/>
      </c>
      <c r="I95" s="49" t="str">
        <f aca="true">IF(OR(A95="",C95=""),"",IF(E95&lt;&gt;"",IF(E95&lt;=C95,"Completed","Completed Late"),IF(TODAY()&gt;C95,"Overdue","On Schedule")))</f>
        <v/>
      </c>
      <c r="J95" s="49" t="str">
        <f aca="true">IF(OR(A95="",C95=""),"",IF(E95&lt;&gt;"",IF(E95&lt;=C95,"Green","Red"),IF(TODAY()&gt;C95,"Red",IF(C95-TODAY()&lt;=Config!$B$30,"Amber","Green"))))</f>
        <v/>
      </c>
      <c r="K95" s="46"/>
    </row>
    <row r="96" customFormat="false" ht="15" hidden="false" customHeight="false" outlineLevel="0" collapsed="false">
      <c r="A96" s="46"/>
      <c r="B96" s="46"/>
      <c r="C96" s="40"/>
      <c r="D96" s="40"/>
      <c r="E96" s="40"/>
      <c r="F96" s="27"/>
      <c r="G96" s="45"/>
      <c r="H96" s="48" t="str">
        <f aca="true">IF(OR(A96="",C96=""),"",IF(E96&lt;&gt;"",MAX(0,E96-C96),MAX(0,TODAY()-C96)))</f>
        <v/>
      </c>
      <c r="I96" s="49" t="str">
        <f aca="true">IF(OR(A96="",C96=""),"",IF(E96&lt;&gt;"",IF(E96&lt;=C96,"Completed","Completed Late"),IF(TODAY()&gt;C96,"Overdue","On Schedule")))</f>
        <v/>
      </c>
      <c r="J96" s="49" t="str">
        <f aca="true">IF(OR(A96="",C96=""),"",IF(E96&lt;&gt;"",IF(E96&lt;=C96,"Green","Red"),IF(TODAY()&gt;C96,"Red",IF(C96-TODAY()&lt;=Config!$B$30,"Amber","Green"))))</f>
        <v/>
      </c>
      <c r="K96" s="46"/>
    </row>
    <row r="97" customFormat="false" ht="15" hidden="false" customHeight="false" outlineLevel="0" collapsed="false">
      <c r="A97" s="46"/>
      <c r="B97" s="46"/>
      <c r="C97" s="40"/>
      <c r="D97" s="40"/>
      <c r="E97" s="40"/>
      <c r="F97" s="27"/>
      <c r="G97" s="45"/>
      <c r="H97" s="48" t="str">
        <f aca="true">IF(OR(A97="",C97=""),"",IF(E97&lt;&gt;"",MAX(0,E97-C97),MAX(0,TODAY()-C97)))</f>
        <v/>
      </c>
      <c r="I97" s="49" t="str">
        <f aca="true">IF(OR(A97="",C97=""),"",IF(E97&lt;&gt;"",IF(E97&lt;=C97,"Completed","Completed Late"),IF(TODAY()&gt;C97,"Overdue","On Schedule")))</f>
        <v/>
      </c>
      <c r="J97" s="49" t="str">
        <f aca="true">IF(OR(A97="",C97=""),"",IF(E97&lt;&gt;"",IF(E97&lt;=C97,"Green","Red"),IF(TODAY()&gt;C97,"Red",IF(C97-TODAY()&lt;=Config!$B$30,"Amber","Green"))))</f>
        <v/>
      </c>
      <c r="K97" s="46"/>
    </row>
    <row r="98" customFormat="false" ht="15" hidden="false" customHeight="false" outlineLevel="0" collapsed="false">
      <c r="A98" s="46"/>
      <c r="B98" s="46"/>
      <c r="C98" s="40"/>
      <c r="D98" s="40"/>
      <c r="E98" s="40"/>
      <c r="F98" s="27"/>
      <c r="G98" s="45"/>
      <c r="H98" s="48" t="str">
        <f aca="true">IF(OR(A98="",C98=""),"",IF(E98&lt;&gt;"",MAX(0,E98-C98),MAX(0,TODAY()-C98)))</f>
        <v/>
      </c>
      <c r="I98" s="49" t="str">
        <f aca="true">IF(OR(A98="",C98=""),"",IF(E98&lt;&gt;"",IF(E98&lt;=C98,"Completed","Completed Late"),IF(TODAY()&gt;C98,"Overdue","On Schedule")))</f>
        <v/>
      </c>
      <c r="J98" s="49" t="str">
        <f aca="true">IF(OR(A98="",C98=""),"",IF(E98&lt;&gt;"",IF(E98&lt;=C98,"Green","Red"),IF(TODAY()&gt;C98,"Red",IF(C98-TODAY()&lt;=Config!$B$30,"Amber","Green"))))</f>
        <v/>
      </c>
      <c r="K98" s="46"/>
    </row>
    <row r="99" customFormat="false" ht="15" hidden="false" customHeight="false" outlineLevel="0" collapsed="false">
      <c r="A99" s="46"/>
      <c r="B99" s="46"/>
      <c r="C99" s="40"/>
      <c r="D99" s="40"/>
      <c r="E99" s="40"/>
      <c r="F99" s="27"/>
      <c r="G99" s="45"/>
      <c r="H99" s="48" t="str">
        <f aca="true">IF(OR(A99="",C99=""),"",IF(E99&lt;&gt;"",MAX(0,E99-C99),MAX(0,TODAY()-C99)))</f>
        <v/>
      </c>
      <c r="I99" s="49" t="str">
        <f aca="true">IF(OR(A99="",C99=""),"",IF(E99&lt;&gt;"",IF(E99&lt;=C99,"Completed","Completed Late"),IF(TODAY()&gt;C99,"Overdue","On Schedule")))</f>
        <v/>
      </c>
      <c r="J99" s="49" t="str">
        <f aca="true">IF(OR(A99="",C99=""),"",IF(E99&lt;&gt;"",IF(E99&lt;=C99,"Green","Red"),IF(TODAY()&gt;C99,"Red",IF(C99-TODAY()&lt;=Config!$B$30,"Amber","Green"))))</f>
        <v/>
      </c>
      <c r="K99" s="46"/>
    </row>
    <row r="100" customFormat="false" ht="15" hidden="false" customHeight="false" outlineLevel="0" collapsed="false">
      <c r="A100" s="46"/>
      <c r="B100" s="46"/>
      <c r="C100" s="40"/>
      <c r="D100" s="40"/>
      <c r="E100" s="40"/>
      <c r="F100" s="27"/>
      <c r="G100" s="45"/>
      <c r="H100" s="48" t="str">
        <f aca="true">IF(OR(A100="",C100=""),"",IF(E100&lt;&gt;"",MAX(0,E100-C100),MAX(0,TODAY()-C100)))</f>
        <v/>
      </c>
      <c r="I100" s="49" t="str">
        <f aca="true">IF(OR(A100="",C100=""),"",IF(E100&lt;&gt;"",IF(E100&lt;=C100,"Completed","Completed Late"),IF(TODAY()&gt;C100,"Overdue","On Schedule")))</f>
        <v/>
      </c>
      <c r="J100" s="49" t="str">
        <f aca="true">IF(OR(A100="",C100=""),"",IF(E100&lt;&gt;"",IF(E100&lt;=C100,"Green","Red"),IF(TODAY()&gt;C100,"Red",IF(C100-TODAY()&lt;=Config!$B$30,"Amber","Green"))))</f>
        <v/>
      </c>
      <c r="K100" s="46"/>
    </row>
    <row r="101" customFormat="false" ht="15" hidden="false" customHeight="false" outlineLevel="0" collapsed="false">
      <c r="A101" s="46"/>
      <c r="B101" s="46"/>
      <c r="C101" s="40"/>
      <c r="D101" s="40"/>
      <c r="E101" s="40"/>
      <c r="F101" s="27"/>
      <c r="G101" s="45"/>
      <c r="H101" s="48" t="str">
        <f aca="true">IF(OR(A101="",C101=""),"",IF(E101&lt;&gt;"",MAX(0,E101-C101),MAX(0,TODAY()-C101)))</f>
        <v/>
      </c>
      <c r="I101" s="49" t="str">
        <f aca="true">IF(OR(A101="",C101=""),"",IF(E101&lt;&gt;"",IF(E101&lt;=C101,"Completed","Completed Late"),IF(TODAY()&gt;C101,"Overdue","On Schedule")))</f>
        <v/>
      </c>
      <c r="J101" s="49" t="str">
        <f aca="true">IF(OR(A101="",C101=""),"",IF(E101&lt;&gt;"",IF(E101&lt;=C101,"Green","Red"),IF(TODAY()&gt;C101,"Red",IF(C101-TODAY()&lt;=Config!$B$30,"Amber","Green"))))</f>
        <v/>
      </c>
      <c r="K101" s="46"/>
    </row>
    <row r="102" customFormat="false" ht="15" hidden="false" customHeight="false" outlineLevel="0" collapsed="false">
      <c r="A102" s="46"/>
      <c r="B102" s="46"/>
      <c r="C102" s="40"/>
      <c r="D102" s="40"/>
      <c r="E102" s="40"/>
      <c r="F102" s="27"/>
      <c r="G102" s="45"/>
      <c r="H102" s="48" t="str">
        <f aca="true">IF(OR(A102="",C102=""),"",IF(E102&lt;&gt;"",MAX(0,E102-C102),MAX(0,TODAY()-C102)))</f>
        <v/>
      </c>
      <c r="I102" s="49" t="str">
        <f aca="true">IF(OR(A102="",C102=""),"",IF(E102&lt;&gt;"",IF(E102&lt;=C102,"Completed","Completed Late"),IF(TODAY()&gt;C102,"Overdue","On Schedule")))</f>
        <v/>
      </c>
      <c r="J102" s="49" t="str">
        <f aca="true">IF(OR(A102="",C102=""),"",IF(E102&lt;&gt;"",IF(E102&lt;=C102,"Green","Red"),IF(TODAY()&gt;C102,"Red",IF(C102-TODAY()&lt;=Config!$B$30,"Amber","Green"))))</f>
        <v/>
      </c>
      <c r="K102" s="46"/>
    </row>
    <row r="103" customFormat="false" ht="15" hidden="false" customHeight="false" outlineLevel="0" collapsed="false">
      <c r="A103" s="46"/>
      <c r="B103" s="46"/>
      <c r="C103" s="40"/>
      <c r="D103" s="40"/>
      <c r="E103" s="40"/>
      <c r="F103" s="27"/>
      <c r="G103" s="45"/>
      <c r="H103" s="48" t="str">
        <f aca="true">IF(OR(A103="",C103=""),"",IF(E103&lt;&gt;"",MAX(0,E103-C103),MAX(0,TODAY()-C103)))</f>
        <v/>
      </c>
      <c r="I103" s="49" t="str">
        <f aca="true">IF(OR(A103="",C103=""),"",IF(E103&lt;&gt;"",IF(E103&lt;=C103,"Completed","Completed Late"),IF(TODAY()&gt;C103,"Overdue","On Schedule")))</f>
        <v/>
      </c>
      <c r="J103" s="49" t="str">
        <f aca="true">IF(OR(A103="",C103=""),"",IF(E103&lt;&gt;"",IF(E103&lt;=C103,"Green","Red"),IF(TODAY()&gt;C103,"Red",IF(C103-TODAY()&lt;=Config!$B$30,"Amber","Green"))))</f>
        <v/>
      </c>
      <c r="K103" s="46"/>
    </row>
    <row r="104" customFormat="false" ht="15" hidden="false" customHeight="false" outlineLevel="0" collapsed="false">
      <c r="A104" s="46"/>
      <c r="B104" s="46"/>
      <c r="C104" s="40"/>
      <c r="D104" s="40"/>
      <c r="E104" s="40"/>
      <c r="F104" s="27"/>
      <c r="G104" s="45"/>
      <c r="H104" s="48" t="str">
        <f aca="true">IF(OR(A104="",C104=""),"",IF(E104&lt;&gt;"",MAX(0,E104-C104),MAX(0,TODAY()-C104)))</f>
        <v/>
      </c>
      <c r="I104" s="49" t="str">
        <f aca="true">IF(OR(A104="",C104=""),"",IF(E104&lt;&gt;"",IF(E104&lt;=C104,"Completed","Completed Late"),IF(TODAY()&gt;C104,"Overdue","On Schedule")))</f>
        <v/>
      </c>
      <c r="J104" s="49" t="str">
        <f aca="true">IF(OR(A104="",C104=""),"",IF(E104&lt;&gt;"",IF(E104&lt;=C104,"Green","Red"),IF(TODAY()&gt;C104,"Red",IF(C104-TODAY()&lt;=Config!$B$30,"Amber","Green"))))</f>
        <v/>
      </c>
      <c r="K104" s="46"/>
    </row>
    <row r="105" customFormat="false" ht="15" hidden="false" customHeight="false" outlineLevel="0" collapsed="false">
      <c r="A105" s="46"/>
      <c r="B105" s="46"/>
      <c r="C105" s="40"/>
      <c r="D105" s="40"/>
      <c r="E105" s="40"/>
      <c r="F105" s="27"/>
      <c r="G105" s="45"/>
      <c r="H105" s="48" t="str">
        <f aca="true">IF(OR(A105="",C105=""),"",IF(E105&lt;&gt;"",MAX(0,E105-C105),MAX(0,TODAY()-C105)))</f>
        <v/>
      </c>
      <c r="I105" s="49" t="str">
        <f aca="true">IF(OR(A105="",C105=""),"",IF(E105&lt;&gt;"",IF(E105&lt;=C105,"Completed","Completed Late"),IF(TODAY()&gt;C105,"Overdue","On Schedule")))</f>
        <v/>
      </c>
      <c r="J105" s="49" t="str">
        <f aca="true">IF(OR(A105="",C105=""),"",IF(E105&lt;&gt;"",IF(E105&lt;=C105,"Green","Red"),IF(TODAY()&gt;C105,"Red",IF(C105-TODAY()&lt;=Config!$B$30,"Amber","Green"))))</f>
        <v/>
      </c>
      <c r="K105" s="46"/>
    </row>
    <row r="106" customFormat="false" ht="15" hidden="false" customHeight="false" outlineLevel="0" collapsed="false">
      <c r="A106" s="46"/>
      <c r="B106" s="46"/>
      <c r="C106" s="40"/>
      <c r="D106" s="40"/>
      <c r="E106" s="40"/>
      <c r="F106" s="27"/>
      <c r="G106" s="45"/>
      <c r="H106" s="48" t="str">
        <f aca="true">IF(OR(A106="",C106=""),"",IF(E106&lt;&gt;"",MAX(0,E106-C106),MAX(0,TODAY()-C106)))</f>
        <v/>
      </c>
      <c r="I106" s="49" t="str">
        <f aca="true">IF(OR(A106="",C106=""),"",IF(E106&lt;&gt;"",IF(E106&lt;=C106,"Completed","Completed Late"),IF(TODAY()&gt;C106,"Overdue","On Schedule")))</f>
        <v/>
      </c>
      <c r="J106" s="49" t="str">
        <f aca="true">IF(OR(A106="",C106=""),"",IF(E106&lt;&gt;"",IF(E106&lt;=C106,"Green","Red"),IF(TODAY()&gt;C106,"Red",IF(C106-TODAY()&lt;=Config!$B$30,"Amber","Green"))))</f>
        <v/>
      </c>
      <c r="K106" s="46"/>
    </row>
    <row r="107" customFormat="false" ht="15" hidden="false" customHeight="false" outlineLevel="0" collapsed="false">
      <c r="A107" s="46"/>
      <c r="B107" s="46"/>
      <c r="C107" s="40"/>
      <c r="D107" s="40"/>
      <c r="E107" s="40"/>
      <c r="F107" s="27"/>
      <c r="G107" s="45"/>
      <c r="H107" s="48" t="str">
        <f aca="true">IF(OR(A107="",C107=""),"",IF(E107&lt;&gt;"",MAX(0,E107-C107),MAX(0,TODAY()-C107)))</f>
        <v/>
      </c>
      <c r="I107" s="49" t="str">
        <f aca="true">IF(OR(A107="",C107=""),"",IF(E107&lt;&gt;"",IF(E107&lt;=C107,"Completed","Completed Late"),IF(TODAY()&gt;C107,"Overdue","On Schedule")))</f>
        <v/>
      </c>
      <c r="J107" s="49" t="str">
        <f aca="true">IF(OR(A107="",C107=""),"",IF(E107&lt;&gt;"",IF(E107&lt;=C107,"Green","Red"),IF(TODAY()&gt;C107,"Red",IF(C107-TODAY()&lt;=Config!$B$30,"Amber","Green"))))</f>
        <v/>
      </c>
      <c r="K107" s="46"/>
    </row>
    <row r="108" customFormat="false" ht="15" hidden="false" customHeight="false" outlineLevel="0" collapsed="false">
      <c r="A108" s="46"/>
      <c r="B108" s="46"/>
      <c r="C108" s="40"/>
      <c r="D108" s="40"/>
      <c r="E108" s="40"/>
      <c r="F108" s="27"/>
      <c r="G108" s="45"/>
      <c r="H108" s="48" t="str">
        <f aca="true">IF(OR(A108="",C108=""),"",IF(E108&lt;&gt;"",MAX(0,E108-C108),MAX(0,TODAY()-C108)))</f>
        <v/>
      </c>
      <c r="I108" s="49" t="str">
        <f aca="true">IF(OR(A108="",C108=""),"",IF(E108&lt;&gt;"",IF(E108&lt;=C108,"Completed","Completed Late"),IF(TODAY()&gt;C108,"Overdue","On Schedule")))</f>
        <v/>
      </c>
      <c r="J108" s="49" t="str">
        <f aca="true">IF(OR(A108="",C108=""),"",IF(E108&lt;&gt;"",IF(E108&lt;=C108,"Green","Red"),IF(TODAY()&gt;C108,"Red",IF(C108-TODAY()&lt;=Config!$B$30,"Amber","Green"))))</f>
        <v/>
      </c>
      <c r="K108" s="46"/>
    </row>
    <row r="109" customFormat="false" ht="15" hidden="false" customHeight="false" outlineLevel="0" collapsed="false">
      <c r="A109" s="46"/>
      <c r="B109" s="46"/>
      <c r="C109" s="40"/>
      <c r="D109" s="40"/>
      <c r="E109" s="40"/>
      <c r="F109" s="27"/>
      <c r="G109" s="45"/>
      <c r="H109" s="48" t="str">
        <f aca="true">IF(OR(A109="",C109=""),"",IF(E109&lt;&gt;"",MAX(0,E109-C109),MAX(0,TODAY()-C109)))</f>
        <v/>
      </c>
      <c r="I109" s="49" t="str">
        <f aca="true">IF(OR(A109="",C109=""),"",IF(E109&lt;&gt;"",IF(E109&lt;=C109,"Completed","Completed Late"),IF(TODAY()&gt;C109,"Overdue","On Schedule")))</f>
        <v/>
      </c>
      <c r="J109" s="49" t="str">
        <f aca="true">IF(OR(A109="",C109=""),"",IF(E109&lt;&gt;"",IF(E109&lt;=C109,"Green","Red"),IF(TODAY()&gt;C109,"Red",IF(C109-TODAY()&lt;=Config!$B$30,"Amber","Green"))))</f>
        <v/>
      </c>
      <c r="K109" s="46"/>
    </row>
    <row r="110" customFormat="false" ht="15" hidden="false" customHeight="false" outlineLevel="0" collapsed="false">
      <c r="A110" s="46"/>
      <c r="B110" s="46"/>
      <c r="C110" s="40"/>
      <c r="D110" s="40"/>
      <c r="E110" s="40"/>
      <c r="F110" s="27"/>
      <c r="G110" s="45"/>
      <c r="H110" s="48" t="str">
        <f aca="true">IF(OR(A110="",C110=""),"",IF(E110&lt;&gt;"",MAX(0,E110-C110),MAX(0,TODAY()-C110)))</f>
        <v/>
      </c>
      <c r="I110" s="49" t="str">
        <f aca="true">IF(OR(A110="",C110=""),"",IF(E110&lt;&gt;"",IF(E110&lt;=C110,"Completed","Completed Late"),IF(TODAY()&gt;C110,"Overdue","On Schedule")))</f>
        <v/>
      </c>
      <c r="J110" s="49" t="str">
        <f aca="true">IF(OR(A110="",C110=""),"",IF(E110&lt;&gt;"",IF(E110&lt;=C110,"Green","Red"),IF(TODAY()&gt;C110,"Red",IF(C110-TODAY()&lt;=Config!$B$30,"Amber","Green"))))</f>
        <v/>
      </c>
      <c r="K110" s="46"/>
    </row>
    <row r="111" customFormat="false" ht="15" hidden="false" customHeight="false" outlineLevel="0" collapsed="false">
      <c r="A111" s="46"/>
      <c r="B111" s="46"/>
      <c r="C111" s="40"/>
      <c r="D111" s="40"/>
      <c r="E111" s="40"/>
      <c r="F111" s="27"/>
      <c r="G111" s="45"/>
      <c r="H111" s="48" t="str">
        <f aca="true">IF(OR(A111="",C111=""),"",IF(E111&lt;&gt;"",MAX(0,E111-C111),MAX(0,TODAY()-C111)))</f>
        <v/>
      </c>
      <c r="I111" s="49" t="str">
        <f aca="true">IF(OR(A111="",C111=""),"",IF(E111&lt;&gt;"",IF(E111&lt;=C111,"Completed","Completed Late"),IF(TODAY()&gt;C111,"Overdue","On Schedule")))</f>
        <v/>
      </c>
      <c r="J111" s="49" t="str">
        <f aca="true">IF(OR(A111="",C111=""),"",IF(E111&lt;&gt;"",IF(E111&lt;=C111,"Green","Red"),IF(TODAY()&gt;C111,"Red",IF(C111-TODAY()&lt;=Config!$B$30,"Amber","Green"))))</f>
        <v/>
      </c>
      <c r="K111" s="46"/>
    </row>
    <row r="112" customFormat="false" ht="15" hidden="false" customHeight="false" outlineLevel="0" collapsed="false">
      <c r="A112" s="46"/>
      <c r="B112" s="46"/>
      <c r="C112" s="40"/>
      <c r="D112" s="40"/>
      <c r="E112" s="40"/>
      <c r="F112" s="27"/>
      <c r="G112" s="45"/>
      <c r="H112" s="48" t="str">
        <f aca="true">IF(OR(A112="",C112=""),"",IF(E112&lt;&gt;"",MAX(0,E112-C112),MAX(0,TODAY()-C112)))</f>
        <v/>
      </c>
      <c r="I112" s="49" t="str">
        <f aca="true">IF(OR(A112="",C112=""),"",IF(E112&lt;&gt;"",IF(E112&lt;=C112,"Completed","Completed Late"),IF(TODAY()&gt;C112,"Overdue","On Schedule")))</f>
        <v/>
      </c>
      <c r="J112" s="49" t="str">
        <f aca="true">IF(OR(A112="",C112=""),"",IF(E112&lt;&gt;"",IF(E112&lt;=C112,"Green","Red"),IF(TODAY()&gt;C112,"Red",IF(C112-TODAY()&lt;=Config!$B$30,"Amber","Green"))))</f>
        <v/>
      </c>
      <c r="K112" s="46"/>
    </row>
    <row r="113" customFormat="false" ht="15" hidden="false" customHeight="false" outlineLevel="0" collapsed="false">
      <c r="A113" s="46"/>
      <c r="B113" s="46"/>
      <c r="C113" s="40"/>
      <c r="D113" s="40"/>
      <c r="E113" s="40"/>
      <c r="F113" s="27"/>
      <c r="G113" s="45"/>
      <c r="H113" s="48" t="str">
        <f aca="true">IF(OR(A113="",C113=""),"",IF(E113&lt;&gt;"",MAX(0,E113-C113),MAX(0,TODAY()-C113)))</f>
        <v/>
      </c>
      <c r="I113" s="49" t="str">
        <f aca="true">IF(OR(A113="",C113=""),"",IF(E113&lt;&gt;"",IF(E113&lt;=C113,"Completed","Completed Late"),IF(TODAY()&gt;C113,"Overdue","On Schedule")))</f>
        <v/>
      </c>
      <c r="J113" s="49" t="str">
        <f aca="true">IF(OR(A113="",C113=""),"",IF(E113&lt;&gt;"",IF(E113&lt;=C113,"Green","Red"),IF(TODAY()&gt;C113,"Red",IF(C113-TODAY()&lt;=Config!$B$30,"Amber","Green"))))</f>
        <v/>
      </c>
      <c r="K113" s="46"/>
    </row>
    <row r="114" customFormat="false" ht="15" hidden="false" customHeight="false" outlineLevel="0" collapsed="false">
      <c r="A114" s="46"/>
      <c r="B114" s="46"/>
      <c r="C114" s="40"/>
      <c r="D114" s="40"/>
      <c r="E114" s="40"/>
      <c r="F114" s="27"/>
      <c r="G114" s="45"/>
      <c r="H114" s="48" t="str">
        <f aca="true">IF(OR(A114="",C114=""),"",IF(E114&lt;&gt;"",MAX(0,E114-C114),MAX(0,TODAY()-C114)))</f>
        <v/>
      </c>
      <c r="I114" s="49" t="str">
        <f aca="true">IF(OR(A114="",C114=""),"",IF(E114&lt;&gt;"",IF(E114&lt;=C114,"Completed","Completed Late"),IF(TODAY()&gt;C114,"Overdue","On Schedule")))</f>
        <v/>
      </c>
      <c r="J114" s="49" t="str">
        <f aca="true">IF(OR(A114="",C114=""),"",IF(E114&lt;&gt;"",IF(E114&lt;=C114,"Green","Red"),IF(TODAY()&gt;C114,"Red",IF(C114-TODAY()&lt;=Config!$B$30,"Amber","Green"))))</f>
        <v/>
      </c>
      <c r="K114" s="46"/>
    </row>
    <row r="115" customFormat="false" ht="15" hidden="false" customHeight="false" outlineLevel="0" collapsed="false">
      <c r="A115" s="46"/>
      <c r="B115" s="46"/>
      <c r="C115" s="40"/>
      <c r="D115" s="40"/>
      <c r="E115" s="40"/>
      <c r="F115" s="27"/>
      <c r="G115" s="45"/>
      <c r="H115" s="48" t="str">
        <f aca="true">IF(OR(A115="",C115=""),"",IF(E115&lt;&gt;"",MAX(0,E115-C115),MAX(0,TODAY()-C115)))</f>
        <v/>
      </c>
      <c r="I115" s="49" t="str">
        <f aca="true">IF(OR(A115="",C115=""),"",IF(E115&lt;&gt;"",IF(E115&lt;=C115,"Completed","Completed Late"),IF(TODAY()&gt;C115,"Overdue","On Schedule")))</f>
        <v/>
      </c>
      <c r="J115" s="49" t="str">
        <f aca="true">IF(OR(A115="",C115=""),"",IF(E115&lt;&gt;"",IF(E115&lt;=C115,"Green","Red"),IF(TODAY()&gt;C115,"Red",IF(C115-TODAY()&lt;=Config!$B$30,"Amber","Green"))))</f>
        <v/>
      </c>
      <c r="K115" s="46"/>
    </row>
    <row r="116" customFormat="false" ht="15" hidden="false" customHeight="false" outlineLevel="0" collapsed="false">
      <c r="A116" s="46"/>
      <c r="B116" s="46"/>
      <c r="C116" s="40"/>
      <c r="D116" s="40"/>
      <c r="E116" s="40"/>
      <c r="F116" s="27"/>
      <c r="G116" s="45"/>
      <c r="H116" s="48" t="str">
        <f aca="true">IF(OR(A116="",C116=""),"",IF(E116&lt;&gt;"",MAX(0,E116-C116),MAX(0,TODAY()-C116)))</f>
        <v/>
      </c>
      <c r="I116" s="49" t="str">
        <f aca="true">IF(OR(A116="",C116=""),"",IF(E116&lt;&gt;"",IF(E116&lt;=C116,"Completed","Completed Late"),IF(TODAY()&gt;C116,"Overdue","On Schedule")))</f>
        <v/>
      </c>
      <c r="J116" s="49" t="str">
        <f aca="true">IF(OR(A116="",C116=""),"",IF(E116&lt;&gt;"",IF(E116&lt;=C116,"Green","Red"),IF(TODAY()&gt;C116,"Red",IF(C116-TODAY()&lt;=Config!$B$30,"Amber","Green"))))</f>
        <v/>
      </c>
      <c r="K116" s="46"/>
    </row>
    <row r="117" customFormat="false" ht="15" hidden="false" customHeight="false" outlineLevel="0" collapsed="false">
      <c r="A117" s="46"/>
      <c r="B117" s="46"/>
      <c r="C117" s="40"/>
      <c r="D117" s="40"/>
      <c r="E117" s="40"/>
      <c r="F117" s="27"/>
      <c r="G117" s="45"/>
      <c r="H117" s="48" t="str">
        <f aca="true">IF(OR(A117="",C117=""),"",IF(E117&lt;&gt;"",MAX(0,E117-C117),MAX(0,TODAY()-C117)))</f>
        <v/>
      </c>
      <c r="I117" s="49" t="str">
        <f aca="true">IF(OR(A117="",C117=""),"",IF(E117&lt;&gt;"",IF(E117&lt;=C117,"Completed","Completed Late"),IF(TODAY()&gt;C117,"Overdue","On Schedule")))</f>
        <v/>
      </c>
      <c r="J117" s="49" t="str">
        <f aca="true">IF(OR(A117="",C117=""),"",IF(E117&lt;&gt;"",IF(E117&lt;=C117,"Green","Red"),IF(TODAY()&gt;C117,"Red",IF(C117-TODAY()&lt;=Config!$B$30,"Amber","Green"))))</f>
        <v/>
      </c>
      <c r="K117" s="46"/>
    </row>
    <row r="118" customFormat="false" ht="15" hidden="false" customHeight="false" outlineLevel="0" collapsed="false">
      <c r="A118" s="46"/>
      <c r="B118" s="46"/>
      <c r="C118" s="40"/>
      <c r="D118" s="40"/>
      <c r="E118" s="40"/>
      <c r="F118" s="27"/>
      <c r="G118" s="45"/>
      <c r="H118" s="48" t="str">
        <f aca="true">IF(OR(A118="",C118=""),"",IF(E118&lt;&gt;"",MAX(0,E118-C118),MAX(0,TODAY()-C118)))</f>
        <v/>
      </c>
      <c r="I118" s="49" t="str">
        <f aca="true">IF(OR(A118="",C118=""),"",IF(E118&lt;&gt;"",IF(E118&lt;=C118,"Completed","Completed Late"),IF(TODAY()&gt;C118,"Overdue","On Schedule")))</f>
        <v/>
      </c>
      <c r="J118" s="49" t="str">
        <f aca="true">IF(OR(A118="",C118=""),"",IF(E118&lt;&gt;"",IF(E118&lt;=C118,"Green","Red"),IF(TODAY()&gt;C118,"Red",IF(C118-TODAY()&lt;=Config!$B$30,"Amber","Green"))))</f>
        <v/>
      </c>
      <c r="K118" s="46"/>
    </row>
    <row r="119" customFormat="false" ht="15" hidden="false" customHeight="false" outlineLevel="0" collapsed="false">
      <c r="A119" s="46"/>
      <c r="B119" s="46"/>
      <c r="C119" s="40"/>
      <c r="D119" s="40"/>
      <c r="E119" s="40"/>
      <c r="F119" s="27"/>
      <c r="G119" s="45"/>
      <c r="H119" s="48" t="str">
        <f aca="true">IF(OR(A119="",C119=""),"",IF(E119&lt;&gt;"",MAX(0,E119-C119),MAX(0,TODAY()-C119)))</f>
        <v/>
      </c>
      <c r="I119" s="49" t="str">
        <f aca="true">IF(OR(A119="",C119=""),"",IF(E119&lt;&gt;"",IF(E119&lt;=C119,"Completed","Completed Late"),IF(TODAY()&gt;C119,"Overdue","On Schedule")))</f>
        <v/>
      </c>
      <c r="J119" s="49" t="str">
        <f aca="true">IF(OR(A119="",C119=""),"",IF(E119&lt;&gt;"",IF(E119&lt;=C119,"Green","Red"),IF(TODAY()&gt;C119,"Red",IF(C119-TODAY()&lt;=Config!$B$30,"Amber","Green"))))</f>
        <v/>
      </c>
      <c r="K119" s="46"/>
    </row>
    <row r="120" customFormat="false" ht="15" hidden="false" customHeight="false" outlineLevel="0" collapsed="false">
      <c r="A120" s="46"/>
      <c r="B120" s="46"/>
      <c r="C120" s="40"/>
      <c r="D120" s="40"/>
      <c r="E120" s="40"/>
      <c r="F120" s="27"/>
      <c r="G120" s="45"/>
      <c r="H120" s="48" t="str">
        <f aca="true">IF(OR(A120="",C120=""),"",IF(E120&lt;&gt;"",MAX(0,E120-C120),MAX(0,TODAY()-C120)))</f>
        <v/>
      </c>
      <c r="I120" s="49" t="str">
        <f aca="true">IF(OR(A120="",C120=""),"",IF(E120&lt;&gt;"",IF(E120&lt;=C120,"Completed","Completed Late"),IF(TODAY()&gt;C120,"Overdue","On Schedule")))</f>
        <v/>
      </c>
      <c r="J120" s="49" t="str">
        <f aca="true">IF(OR(A120="",C120=""),"",IF(E120&lt;&gt;"",IF(E120&lt;=C120,"Green","Red"),IF(TODAY()&gt;C120,"Red",IF(C120-TODAY()&lt;=Config!$B$30,"Amber","Green"))))</f>
        <v/>
      </c>
      <c r="K120" s="46"/>
    </row>
    <row r="121" customFormat="false" ht="15" hidden="false" customHeight="false" outlineLevel="0" collapsed="false">
      <c r="A121" s="46"/>
      <c r="B121" s="46"/>
      <c r="C121" s="40"/>
      <c r="D121" s="40"/>
      <c r="E121" s="40"/>
      <c r="F121" s="27"/>
      <c r="G121" s="45"/>
      <c r="H121" s="48" t="str">
        <f aca="true">IF(OR(A121="",C121=""),"",IF(E121&lt;&gt;"",MAX(0,E121-C121),MAX(0,TODAY()-C121)))</f>
        <v/>
      </c>
      <c r="I121" s="49" t="str">
        <f aca="true">IF(OR(A121="",C121=""),"",IF(E121&lt;&gt;"",IF(E121&lt;=C121,"Completed","Completed Late"),IF(TODAY()&gt;C121,"Overdue","On Schedule")))</f>
        <v/>
      </c>
      <c r="J121" s="49" t="str">
        <f aca="true">IF(OR(A121="",C121=""),"",IF(E121&lt;&gt;"",IF(E121&lt;=C121,"Green","Red"),IF(TODAY()&gt;C121,"Red",IF(C121-TODAY()&lt;=Config!$B$30,"Amber","Green"))))</f>
        <v/>
      </c>
      <c r="K121" s="46"/>
    </row>
    <row r="122" customFormat="false" ht="15" hidden="false" customHeight="false" outlineLevel="0" collapsed="false">
      <c r="A122" s="46"/>
      <c r="B122" s="46"/>
      <c r="C122" s="40"/>
      <c r="D122" s="40"/>
      <c r="E122" s="40"/>
      <c r="F122" s="27"/>
      <c r="G122" s="45"/>
      <c r="H122" s="48" t="str">
        <f aca="true">IF(OR(A122="",C122=""),"",IF(E122&lt;&gt;"",MAX(0,E122-C122),MAX(0,TODAY()-C122)))</f>
        <v/>
      </c>
      <c r="I122" s="49" t="str">
        <f aca="true">IF(OR(A122="",C122=""),"",IF(E122&lt;&gt;"",IF(E122&lt;=C122,"Completed","Completed Late"),IF(TODAY()&gt;C122,"Overdue","On Schedule")))</f>
        <v/>
      </c>
      <c r="J122" s="49" t="str">
        <f aca="true">IF(OR(A122="",C122=""),"",IF(E122&lt;&gt;"",IF(E122&lt;=C122,"Green","Red"),IF(TODAY()&gt;C122,"Red",IF(C122-TODAY()&lt;=Config!$B$30,"Amber","Green"))))</f>
        <v/>
      </c>
      <c r="K122" s="46"/>
    </row>
    <row r="123" customFormat="false" ht="15" hidden="false" customHeight="false" outlineLevel="0" collapsed="false">
      <c r="A123" s="46"/>
      <c r="B123" s="46"/>
      <c r="C123" s="40"/>
      <c r="D123" s="40"/>
      <c r="E123" s="40"/>
      <c r="F123" s="27"/>
      <c r="G123" s="45"/>
      <c r="H123" s="48" t="str">
        <f aca="true">IF(OR(A123="",C123=""),"",IF(E123&lt;&gt;"",MAX(0,E123-C123),MAX(0,TODAY()-C123)))</f>
        <v/>
      </c>
      <c r="I123" s="49" t="str">
        <f aca="true">IF(OR(A123="",C123=""),"",IF(E123&lt;&gt;"",IF(E123&lt;=C123,"Completed","Completed Late"),IF(TODAY()&gt;C123,"Overdue","On Schedule")))</f>
        <v/>
      </c>
      <c r="J123" s="49" t="str">
        <f aca="true">IF(OR(A123="",C123=""),"",IF(E123&lt;&gt;"",IF(E123&lt;=C123,"Green","Red"),IF(TODAY()&gt;C123,"Red",IF(C123-TODAY()&lt;=Config!$B$30,"Amber","Green"))))</f>
        <v/>
      </c>
      <c r="K123" s="46"/>
    </row>
    <row r="124" customFormat="false" ht="15" hidden="false" customHeight="false" outlineLevel="0" collapsed="false">
      <c r="A124" s="46"/>
      <c r="B124" s="46"/>
      <c r="C124" s="40"/>
      <c r="D124" s="40"/>
      <c r="E124" s="40"/>
      <c r="F124" s="27"/>
      <c r="G124" s="45"/>
      <c r="H124" s="48" t="str">
        <f aca="true">IF(OR(A124="",C124=""),"",IF(E124&lt;&gt;"",MAX(0,E124-C124),MAX(0,TODAY()-C124)))</f>
        <v/>
      </c>
      <c r="I124" s="49" t="str">
        <f aca="true">IF(OR(A124="",C124=""),"",IF(E124&lt;&gt;"",IF(E124&lt;=C124,"Completed","Completed Late"),IF(TODAY()&gt;C124,"Overdue","On Schedule")))</f>
        <v/>
      </c>
      <c r="J124" s="49" t="str">
        <f aca="true">IF(OR(A124="",C124=""),"",IF(E124&lt;&gt;"",IF(E124&lt;=C124,"Green","Red"),IF(TODAY()&gt;C124,"Red",IF(C124-TODAY()&lt;=Config!$B$30,"Amber","Green"))))</f>
        <v/>
      </c>
      <c r="K124" s="46"/>
    </row>
    <row r="125" customFormat="false" ht="15" hidden="false" customHeight="false" outlineLevel="0" collapsed="false">
      <c r="A125" s="46"/>
      <c r="B125" s="46"/>
      <c r="C125" s="40"/>
      <c r="D125" s="40"/>
      <c r="E125" s="40"/>
      <c r="F125" s="27"/>
      <c r="G125" s="45"/>
      <c r="H125" s="48" t="str">
        <f aca="true">IF(OR(A125="",C125=""),"",IF(E125&lt;&gt;"",MAX(0,E125-C125),MAX(0,TODAY()-C125)))</f>
        <v/>
      </c>
      <c r="I125" s="49" t="str">
        <f aca="true">IF(OR(A125="",C125=""),"",IF(E125&lt;&gt;"",IF(E125&lt;=C125,"Completed","Completed Late"),IF(TODAY()&gt;C125,"Overdue","On Schedule")))</f>
        <v/>
      </c>
      <c r="J125" s="49" t="str">
        <f aca="true">IF(OR(A125="",C125=""),"",IF(E125&lt;&gt;"",IF(E125&lt;=C125,"Green","Red"),IF(TODAY()&gt;C125,"Red",IF(C125-TODAY()&lt;=Config!$B$30,"Amber","Green"))))</f>
        <v/>
      </c>
      <c r="K125" s="46"/>
    </row>
    <row r="126" customFormat="false" ht="15" hidden="false" customHeight="false" outlineLevel="0" collapsed="false">
      <c r="A126" s="46"/>
      <c r="B126" s="46"/>
      <c r="C126" s="40"/>
      <c r="D126" s="40"/>
      <c r="E126" s="40"/>
      <c r="F126" s="27"/>
      <c r="G126" s="45"/>
      <c r="H126" s="48" t="str">
        <f aca="true">IF(OR(A126="",C126=""),"",IF(E126&lt;&gt;"",MAX(0,E126-C126),MAX(0,TODAY()-C126)))</f>
        <v/>
      </c>
      <c r="I126" s="49" t="str">
        <f aca="true">IF(OR(A126="",C126=""),"",IF(E126&lt;&gt;"",IF(E126&lt;=C126,"Completed","Completed Late"),IF(TODAY()&gt;C126,"Overdue","On Schedule")))</f>
        <v/>
      </c>
      <c r="J126" s="49" t="str">
        <f aca="true">IF(OR(A126="",C126=""),"",IF(E126&lt;&gt;"",IF(E126&lt;=C126,"Green","Red"),IF(TODAY()&gt;C126,"Red",IF(C126-TODAY()&lt;=Config!$B$30,"Amber","Green"))))</f>
        <v/>
      </c>
      <c r="K126" s="46"/>
    </row>
    <row r="127" customFormat="false" ht="15" hidden="false" customHeight="false" outlineLevel="0" collapsed="false">
      <c r="A127" s="46"/>
      <c r="B127" s="46"/>
      <c r="C127" s="40"/>
      <c r="D127" s="40"/>
      <c r="E127" s="40"/>
      <c r="F127" s="27"/>
      <c r="G127" s="45"/>
      <c r="H127" s="48" t="str">
        <f aca="true">IF(OR(A127="",C127=""),"",IF(E127&lt;&gt;"",MAX(0,E127-C127),MAX(0,TODAY()-C127)))</f>
        <v/>
      </c>
      <c r="I127" s="49" t="str">
        <f aca="true">IF(OR(A127="",C127=""),"",IF(E127&lt;&gt;"",IF(E127&lt;=C127,"Completed","Completed Late"),IF(TODAY()&gt;C127,"Overdue","On Schedule")))</f>
        <v/>
      </c>
      <c r="J127" s="49" t="str">
        <f aca="true">IF(OR(A127="",C127=""),"",IF(E127&lt;&gt;"",IF(E127&lt;=C127,"Green","Red"),IF(TODAY()&gt;C127,"Red",IF(C127-TODAY()&lt;=Config!$B$30,"Amber","Green"))))</f>
        <v/>
      </c>
      <c r="K127" s="46"/>
    </row>
    <row r="128" customFormat="false" ht="15" hidden="false" customHeight="false" outlineLevel="0" collapsed="false">
      <c r="A128" s="46"/>
      <c r="B128" s="46"/>
      <c r="C128" s="40"/>
      <c r="D128" s="40"/>
      <c r="E128" s="40"/>
      <c r="F128" s="27"/>
      <c r="G128" s="45"/>
      <c r="H128" s="48" t="str">
        <f aca="true">IF(OR(A128="",C128=""),"",IF(E128&lt;&gt;"",MAX(0,E128-C128),MAX(0,TODAY()-C128)))</f>
        <v/>
      </c>
      <c r="I128" s="49" t="str">
        <f aca="true">IF(OR(A128="",C128=""),"",IF(E128&lt;&gt;"",IF(E128&lt;=C128,"Completed","Completed Late"),IF(TODAY()&gt;C128,"Overdue","On Schedule")))</f>
        <v/>
      </c>
      <c r="J128" s="49" t="str">
        <f aca="true">IF(OR(A128="",C128=""),"",IF(E128&lt;&gt;"",IF(E128&lt;=C128,"Green","Red"),IF(TODAY()&gt;C128,"Red",IF(C128-TODAY()&lt;=Config!$B$30,"Amber","Green"))))</f>
        <v/>
      </c>
      <c r="K128" s="46"/>
    </row>
    <row r="129" customFormat="false" ht="15" hidden="false" customHeight="false" outlineLevel="0" collapsed="false">
      <c r="A129" s="46"/>
      <c r="B129" s="46"/>
      <c r="C129" s="40"/>
      <c r="D129" s="40"/>
      <c r="E129" s="40"/>
      <c r="F129" s="27"/>
      <c r="G129" s="45"/>
      <c r="H129" s="48" t="str">
        <f aca="true">IF(OR(A129="",C129=""),"",IF(E129&lt;&gt;"",MAX(0,E129-C129),MAX(0,TODAY()-C129)))</f>
        <v/>
      </c>
      <c r="I129" s="49" t="str">
        <f aca="true">IF(OR(A129="",C129=""),"",IF(E129&lt;&gt;"",IF(E129&lt;=C129,"Completed","Completed Late"),IF(TODAY()&gt;C129,"Overdue","On Schedule")))</f>
        <v/>
      </c>
      <c r="J129" s="49" t="str">
        <f aca="true">IF(OR(A129="",C129=""),"",IF(E129&lt;&gt;"",IF(E129&lt;=C129,"Green","Red"),IF(TODAY()&gt;C129,"Red",IF(C129-TODAY()&lt;=Config!$B$30,"Amber","Green"))))</f>
        <v/>
      </c>
      <c r="K129" s="46"/>
    </row>
    <row r="130" customFormat="false" ht="15" hidden="false" customHeight="false" outlineLevel="0" collapsed="false">
      <c r="A130" s="46"/>
      <c r="B130" s="46"/>
      <c r="C130" s="40"/>
      <c r="D130" s="40"/>
      <c r="E130" s="40"/>
      <c r="F130" s="27"/>
      <c r="G130" s="45"/>
      <c r="H130" s="48" t="str">
        <f aca="true">IF(OR(A130="",C130=""),"",IF(E130&lt;&gt;"",MAX(0,E130-C130),MAX(0,TODAY()-C130)))</f>
        <v/>
      </c>
      <c r="I130" s="49" t="str">
        <f aca="true">IF(OR(A130="",C130=""),"",IF(E130&lt;&gt;"",IF(E130&lt;=C130,"Completed","Completed Late"),IF(TODAY()&gt;C130,"Overdue","On Schedule")))</f>
        <v/>
      </c>
      <c r="J130" s="49" t="str">
        <f aca="true">IF(OR(A130="",C130=""),"",IF(E130&lt;&gt;"",IF(E130&lt;=C130,"Green","Red"),IF(TODAY()&gt;C130,"Red",IF(C130-TODAY()&lt;=Config!$B$30,"Amber","Green"))))</f>
        <v/>
      </c>
      <c r="K130" s="46"/>
    </row>
    <row r="131" customFormat="false" ht="15" hidden="false" customHeight="false" outlineLevel="0" collapsed="false">
      <c r="A131" s="46"/>
      <c r="B131" s="46"/>
      <c r="C131" s="40"/>
      <c r="D131" s="40"/>
      <c r="E131" s="40"/>
      <c r="F131" s="27"/>
      <c r="G131" s="45"/>
      <c r="H131" s="48" t="str">
        <f aca="true">IF(OR(A131="",C131=""),"",IF(E131&lt;&gt;"",MAX(0,E131-C131),MAX(0,TODAY()-C131)))</f>
        <v/>
      </c>
      <c r="I131" s="49" t="str">
        <f aca="true">IF(OR(A131="",C131=""),"",IF(E131&lt;&gt;"",IF(E131&lt;=C131,"Completed","Completed Late"),IF(TODAY()&gt;C131,"Overdue","On Schedule")))</f>
        <v/>
      </c>
      <c r="J131" s="49" t="str">
        <f aca="true">IF(OR(A131="",C131=""),"",IF(E131&lt;&gt;"",IF(E131&lt;=C131,"Green","Red"),IF(TODAY()&gt;C131,"Red",IF(C131-TODAY()&lt;=Config!$B$30,"Amber","Green"))))</f>
        <v/>
      </c>
      <c r="K131" s="46"/>
    </row>
    <row r="132" customFormat="false" ht="15" hidden="false" customHeight="false" outlineLevel="0" collapsed="false">
      <c r="A132" s="46"/>
      <c r="B132" s="46"/>
      <c r="C132" s="40"/>
      <c r="D132" s="40"/>
      <c r="E132" s="40"/>
      <c r="F132" s="27"/>
      <c r="G132" s="45"/>
      <c r="H132" s="48" t="str">
        <f aca="true">IF(OR(A132="",C132=""),"",IF(E132&lt;&gt;"",MAX(0,E132-C132),MAX(0,TODAY()-C132)))</f>
        <v/>
      </c>
      <c r="I132" s="49" t="str">
        <f aca="true">IF(OR(A132="",C132=""),"",IF(E132&lt;&gt;"",IF(E132&lt;=C132,"Completed","Completed Late"),IF(TODAY()&gt;C132,"Overdue","On Schedule")))</f>
        <v/>
      </c>
      <c r="J132" s="49" t="str">
        <f aca="true">IF(OR(A132="",C132=""),"",IF(E132&lt;&gt;"",IF(E132&lt;=C132,"Green","Red"),IF(TODAY()&gt;C132,"Red",IF(C132-TODAY()&lt;=Config!$B$30,"Amber","Green"))))</f>
        <v/>
      </c>
      <c r="K132" s="46"/>
    </row>
    <row r="133" customFormat="false" ht="15" hidden="false" customHeight="false" outlineLevel="0" collapsed="false">
      <c r="A133" s="46"/>
      <c r="B133" s="46"/>
      <c r="C133" s="40"/>
      <c r="D133" s="40"/>
      <c r="E133" s="40"/>
      <c r="F133" s="27"/>
      <c r="G133" s="45"/>
      <c r="H133" s="48" t="str">
        <f aca="true">IF(OR(A133="",C133=""),"",IF(E133&lt;&gt;"",MAX(0,E133-C133),MAX(0,TODAY()-C133)))</f>
        <v/>
      </c>
      <c r="I133" s="49" t="str">
        <f aca="true">IF(OR(A133="",C133=""),"",IF(E133&lt;&gt;"",IF(E133&lt;=C133,"Completed","Completed Late"),IF(TODAY()&gt;C133,"Overdue","On Schedule")))</f>
        <v/>
      </c>
      <c r="J133" s="49" t="str">
        <f aca="true">IF(OR(A133="",C133=""),"",IF(E133&lt;&gt;"",IF(E133&lt;=C133,"Green","Red"),IF(TODAY()&gt;C133,"Red",IF(C133-TODAY()&lt;=Config!$B$30,"Amber","Green"))))</f>
        <v/>
      </c>
      <c r="K133" s="46"/>
    </row>
    <row r="134" customFormat="false" ht="15" hidden="false" customHeight="false" outlineLevel="0" collapsed="false">
      <c r="A134" s="46"/>
      <c r="B134" s="46"/>
      <c r="C134" s="40"/>
      <c r="D134" s="40"/>
      <c r="E134" s="40"/>
      <c r="F134" s="27"/>
      <c r="G134" s="45"/>
      <c r="H134" s="48" t="str">
        <f aca="true">IF(OR(A134="",C134=""),"",IF(E134&lt;&gt;"",MAX(0,E134-C134),MAX(0,TODAY()-C134)))</f>
        <v/>
      </c>
      <c r="I134" s="49" t="str">
        <f aca="true">IF(OR(A134="",C134=""),"",IF(E134&lt;&gt;"",IF(E134&lt;=C134,"Completed","Completed Late"),IF(TODAY()&gt;C134,"Overdue","On Schedule")))</f>
        <v/>
      </c>
      <c r="J134" s="49" t="str">
        <f aca="true">IF(OR(A134="",C134=""),"",IF(E134&lt;&gt;"",IF(E134&lt;=C134,"Green","Red"),IF(TODAY()&gt;C134,"Red",IF(C134-TODAY()&lt;=Config!$B$30,"Amber","Green"))))</f>
        <v/>
      </c>
      <c r="K134" s="46"/>
    </row>
    <row r="135" customFormat="false" ht="15" hidden="false" customHeight="false" outlineLevel="0" collapsed="false">
      <c r="A135" s="46"/>
      <c r="B135" s="46"/>
      <c r="C135" s="40"/>
      <c r="D135" s="40"/>
      <c r="E135" s="40"/>
      <c r="F135" s="27"/>
      <c r="G135" s="45"/>
      <c r="H135" s="48" t="str">
        <f aca="true">IF(OR(A135="",C135=""),"",IF(E135&lt;&gt;"",MAX(0,E135-C135),MAX(0,TODAY()-C135)))</f>
        <v/>
      </c>
      <c r="I135" s="49" t="str">
        <f aca="true">IF(OR(A135="",C135=""),"",IF(E135&lt;&gt;"",IF(E135&lt;=C135,"Completed","Completed Late"),IF(TODAY()&gt;C135,"Overdue","On Schedule")))</f>
        <v/>
      </c>
      <c r="J135" s="49" t="str">
        <f aca="true">IF(OR(A135="",C135=""),"",IF(E135&lt;&gt;"",IF(E135&lt;=C135,"Green","Red"),IF(TODAY()&gt;C135,"Red",IF(C135-TODAY()&lt;=Config!$B$30,"Amber","Green"))))</f>
        <v/>
      </c>
      <c r="K135" s="46"/>
    </row>
    <row r="136" customFormat="false" ht="15" hidden="false" customHeight="false" outlineLevel="0" collapsed="false">
      <c r="A136" s="46"/>
      <c r="B136" s="46"/>
      <c r="C136" s="40"/>
      <c r="D136" s="40"/>
      <c r="E136" s="40"/>
      <c r="F136" s="27"/>
      <c r="G136" s="45"/>
      <c r="H136" s="48" t="str">
        <f aca="true">IF(OR(A136="",C136=""),"",IF(E136&lt;&gt;"",MAX(0,E136-C136),MAX(0,TODAY()-C136)))</f>
        <v/>
      </c>
      <c r="I136" s="49" t="str">
        <f aca="true">IF(OR(A136="",C136=""),"",IF(E136&lt;&gt;"",IF(E136&lt;=C136,"Completed","Completed Late"),IF(TODAY()&gt;C136,"Overdue","On Schedule")))</f>
        <v/>
      </c>
      <c r="J136" s="49" t="str">
        <f aca="true">IF(OR(A136="",C136=""),"",IF(E136&lt;&gt;"",IF(E136&lt;=C136,"Green","Red"),IF(TODAY()&gt;C136,"Red",IF(C136-TODAY()&lt;=Config!$B$30,"Amber","Green"))))</f>
        <v/>
      </c>
      <c r="K136" s="46"/>
    </row>
    <row r="137" customFormat="false" ht="15" hidden="false" customHeight="false" outlineLevel="0" collapsed="false">
      <c r="A137" s="46"/>
      <c r="B137" s="46"/>
      <c r="C137" s="40"/>
      <c r="D137" s="40"/>
      <c r="E137" s="40"/>
      <c r="F137" s="27"/>
      <c r="G137" s="45"/>
      <c r="H137" s="48" t="str">
        <f aca="true">IF(OR(A137="",C137=""),"",IF(E137&lt;&gt;"",MAX(0,E137-C137),MAX(0,TODAY()-C137)))</f>
        <v/>
      </c>
      <c r="I137" s="49" t="str">
        <f aca="true">IF(OR(A137="",C137=""),"",IF(E137&lt;&gt;"",IF(E137&lt;=C137,"Completed","Completed Late"),IF(TODAY()&gt;C137,"Overdue","On Schedule")))</f>
        <v/>
      </c>
      <c r="J137" s="49" t="str">
        <f aca="true">IF(OR(A137="",C137=""),"",IF(E137&lt;&gt;"",IF(E137&lt;=C137,"Green","Red"),IF(TODAY()&gt;C137,"Red",IF(C137-TODAY()&lt;=Config!$B$30,"Amber","Green"))))</f>
        <v/>
      </c>
      <c r="K137" s="46"/>
    </row>
    <row r="138" customFormat="false" ht="15" hidden="false" customHeight="false" outlineLevel="0" collapsed="false">
      <c r="A138" s="46"/>
      <c r="B138" s="46"/>
      <c r="C138" s="40"/>
      <c r="D138" s="40"/>
      <c r="E138" s="40"/>
      <c r="F138" s="27"/>
      <c r="G138" s="45"/>
      <c r="H138" s="48" t="str">
        <f aca="true">IF(OR(A138="",C138=""),"",IF(E138&lt;&gt;"",MAX(0,E138-C138),MAX(0,TODAY()-C138)))</f>
        <v/>
      </c>
      <c r="I138" s="49" t="str">
        <f aca="true">IF(OR(A138="",C138=""),"",IF(E138&lt;&gt;"",IF(E138&lt;=C138,"Completed","Completed Late"),IF(TODAY()&gt;C138,"Overdue","On Schedule")))</f>
        <v/>
      </c>
      <c r="J138" s="49" t="str">
        <f aca="true">IF(OR(A138="",C138=""),"",IF(E138&lt;&gt;"",IF(E138&lt;=C138,"Green","Red"),IF(TODAY()&gt;C138,"Red",IF(C138-TODAY()&lt;=Config!$B$30,"Amber","Green"))))</f>
        <v/>
      </c>
      <c r="K138" s="46"/>
    </row>
    <row r="139" customFormat="false" ht="15" hidden="false" customHeight="false" outlineLevel="0" collapsed="false">
      <c r="A139" s="46"/>
      <c r="B139" s="46"/>
      <c r="C139" s="40"/>
      <c r="D139" s="40"/>
      <c r="E139" s="40"/>
      <c r="F139" s="27"/>
      <c r="G139" s="45"/>
      <c r="H139" s="48" t="str">
        <f aca="true">IF(OR(A139="",C139=""),"",IF(E139&lt;&gt;"",MAX(0,E139-C139),MAX(0,TODAY()-C139)))</f>
        <v/>
      </c>
      <c r="I139" s="49" t="str">
        <f aca="true">IF(OR(A139="",C139=""),"",IF(E139&lt;&gt;"",IF(E139&lt;=C139,"Completed","Completed Late"),IF(TODAY()&gt;C139,"Overdue","On Schedule")))</f>
        <v/>
      </c>
      <c r="J139" s="49" t="str">
        <f aca="true">IF(OR(A139="",C139=""),"",IF(E139&lt;&gt;"",IF(E139&lt;=C139,"Green","Red"),IF(TODAY()&gt;C139,"Red",IF(C139-TODAY()&lt;=Config!$B$30,"Amber","Green"))))</f>
        <v/>
      </c>
      <c r="K139" s="46"/>
    </row>
    <row r="140" customFormat="false" ht="15" hidden="false" customHeight="false" outlineLevel="0" collapsed="false">
      <c r="A140" s="46"/>
      <c r="B140" s="46"/>
      <c r="C140" s="40"/>
      <c r="D140" s="40"/>
      <c r="E140" s="40"/>
      <c r="F140" s="27"/>
      <c r="G140" s="45"/>
      <c r="H140" s="48" t="str">
        <f aca="true">IF(OR(A140="",C140=""),"",IF(E140&lt;&gt;"",MAX(0,E140-C140),MAX(0,TODAY()-C140)))</f>
        <v/>
      </c>
      <c r="I140" s="49" t="str">
        <f aca="true">IF(OR(A140="",C140=""),"",IF(E140&lt;&gt;"",IF(E140&lt;=C140,"Completed","Completed Late"),IF(TODAY()&gt;C140,"Overdue","On Schedule")))</f>
        <v/>
      </c>
      <c r="J140" s="49" t="str">
        <f aca="true">IF(OR(A140="",C140=""),"",IF(E140&lt;&gt;"",IF(E140&lt;=C140,"Green","Red"),IF(TODAY()&gt;C140,"Red",IF(C140-TODAY()&lt;=Config!$B$30,"Amber","Green"))))</f>
        <v/>
      </c>
      <c r="K140" s="46"/>
    </row>
    <row r="141" customFormat="false" ht="15" hidden="false" customHeight="false" outlineLevel="0" collapsed="false">
      <c r="A141" s="46"/>
      <c r="B141" s="46"/>
      <c r="C141" s="40"/>
      <c r="D141" s="40"/>
      <c r="E141" s="40"/>
      <c r="F141" s="27"/>
      <c r="G141" s="45"/>
      <c r="H141" s="48" t="str">
        <f aca="true">IF(OR(A141="",C141=""),"",IF(E141&lt;&gt;"",MAX(0,E141-C141),MAX(0,TODAY()-C141)))</f>
        <v/>
      </c>
      <c r="I141" s="49" t="str">
        <f aca="true">IF(OR(A141="",C141=""),"",IF(E141&lt;&gt;"",IF(E141&lt;=C141,"Completed","Completed Late"),IF(TODAY()&gt;C141,"Overdue","On Schedule")))</f>
        <v/>
      </c>
      <c r="J141" s="49" t="str">
        <f aca="true">IF(OR(A141="",C141=""),"",IF(E141&lt;&gt;"",IF(E141&lt;=C141,"Green","Red"),IF(TODAY()&gt;C141,"Red",IF(C141-TODAY()&lt;=Config!$B$30,"Amber","Green"))))</f>
        <v/>
      </c>
      <c r="K141" s="46"/>
    </row>
    <row r="142" customFormat="false" ht="15" hidden="false" customHeight="false" outlineLevel="0" collapsed="false">
      <c r="A142" s="46"/>
      <c r="B142" s="46"/>
      <c r="C142" s="40"/>
      <c r="D142" s="40"/>
      <c r="E142" s="40"/>
      <c r="F142" s="27"/>
      <c r="G142" s="45"/>
      <c r="H142" s="48" t="str">
        <f aca="true">IF(OR(A142="",C142=""),"",IF(E142&lt;&gt;"",MAX(0,E142-C142),MAX(0,TODAY()-C142)))</f>
        <v/>
      </c>
      <c r="I142" s="49" t="str">
        <f aca="true">IF(OR(A142="",C142=""),"",IF(E142&lt;&gt;"",IF(E142&lt;=C142,"Completed","Completed Late"),IF(TODAY()&gt;C142,"Overdue","On Schedule")))</f>
        <v/>
      </c>
      <c r="J142" s="49" t="str">
        <f aca="true">IF(OR(A142="",C142=""),"",IF(E142&lt;&gt;"",IF(E142&lt;=C142,"Green","Red"),IF(TODAY()&gt;C142,"Red",IF(C142-TODAY()&lt;=Config!$B$30,"Amber","Green"))))</f>
        <v/>
      </c>
      <c r="K142" s="46"/>
    </row>
    <row r="143" customFormat="false" ht="15" hidden="false" customHeight="false" outlineLevel="0" collapsed="false">
      <c r="A143" s="46"/>
      <c r="B143" s="46"/>
      <c r="C143" s="40"/>
      <c r="D143" s="40"/>
      <c r="E143" s="40"/>
      <c r="F143" s="27"/>
      <c r="G143" s="45"/>
      <c r="H143" s="48" t="str">
        <f aca="true">IF(OR(A143="",C143=""),"",IF(E143&lt;&gt;"",MAX(0,E143-C143),MAX(0,TODAY()-C143)))</f>
        <v/>
      </c>
      <c r="I143" s="49" t="str">
        <f aca="true">IF(OR(A143="",C143=""),"",IF(E143&lt;&gt;"",IF(E143&lt;=C143,"Completed","Completed Late"),IF(TODAY()&gt;C143,"Overdue","On Schedule")))</f>
        <v/>
      </c>
      <c r="J143" s="49" t="str">
        <f aca="true">IF(OR(A143="",C143=""),"",IF(E143&lt;&gt;"",IF(E143&lt;=C143,"Green","Red"),IF(TODAY()&gt;C143,"Red",IF(C143-TODAY()&lt;=Config!$B$30,"Amber","Green"))))</f>
        <v/>
      </c>
      <c r="K143" s="46"/>
    </row>
    <row r="144" customFormat="false" ht="15" hidden="false" customHeight="false" outlineLevel="0" collapsed="false">
      <c r="A144" s="46"/>
      <c r="B144" s="46"/>
      <c r="C144" s="40"/>
      <c r="D144" s="40"/>
      <c r="E144" s="40"/>
      <c r="F144" s="27"/>
      <c r="G144" s="45"/>
      <c r="H144" s="48" t="str">
        <f aca="true">IF(OR(A144="",C144=""),"",IF(E144&lt;&gt;"",MAX(0,E144-C144),MAX(0,TODAY()-C144)))</f>
        <v/>
      </c>
      <c r="I144" s="49" t="str">
        <f aca="true">IF(OR(A144="",C144=""),"",IF(E144&lt;&gt;"",IF(E144&lt;=C144,"Completed","Completed Late"),IF(TODAY()&gt;C144,"Overdue","On Schedule")))</f>
        <v/>
      </c>
      <c r="J144" s="49" t="str">
        <f aca="true">IF(OR(A144="",C144=""),"",IF(E144&lt;&gt;"",IF(E144&lt;=C144,"Green","Red"),IF(TODAY()&gt;C144,"Red",IF(C144-TODAY()&lt;=Config!$B$30,"Amber","Green"))))</f>
        <v/>
      </c>
      <c r="K144" s="46"/>
    </row>
    <row r="145" customFormat="false" ht="15" hidden="false" customHeight="false" outlineLevel="0" collapsed="false">
      <c r="A145" s="46"/>
      <c r="B145" s="46"/>
      <c r="C145" s="40"/>
      <c r="D145" s="40"/>
      <c r="E145" s="40"/>
      <c r="F145" s="27"/>
      <c r="G145" s="45"/>
      <c r="H145" s="48" t="str">
        <f aca="true">IF(OR(A145="",C145=""),"",IF(E145&lt;&gt;"",MAX(0,E145-C145),MAX(0,TODAY()-C145)))</f>
        <v/>
      </c>
      <c r="I145" s="49" t="str">
        <f aca="true">IF(OR(A145="",C145=""),"",IF(E145&lt;&gt;"",IF(E145&lt;=C145,"Completed","Completed Late"),IF(TODAY()&gt;C145,"Overdue","On Schedule")))</f>
        <v/>
      </c>
      <c r="J145" s="49" t="str">
        <f aca="true">IF(OR(A145="",C145=""),"",IF(E145&lt;&gt;"",IF(E145&lt;=C145,"Green","Red"),IF(TODAY()&gt;C145,"Red",IF(C145-TODAY()&lt;=Config!$B$30,"Amber","Green"))))</f>
        <v/>
      </c>
      <c r="K145" s="46"/>
    </row>
    <row r="146" customFormat="false" ht="15" hidden="false" customHeight="false" outlineLevel="0" collapsed="false">
      <c r="A146" s="46"/>
      <c r="B146" s="46"/>
      <c r="C146" s="40"/>
      <c r="D146" s="40"/>
      <c r="E146" s="40"/>
      <c r="F146" s="27"/>
      <c r="G146" s="45"/>
      <c r="H146" s="48" t="str">
        <f aca="true">IF(OR(A146="",C146=""),"",IF(E146&lt;&gt;"",MAX(0,E146-C146),MAX(0,TODAY()-C146)))</f>
        <v/>
      </c>
      <c r="I146" s="49" t="str">
        <f aca="true">IF(OR(A146="",C146=""),"",IF(E146&lt;&gt;"",IF(E146&lt;=C146,"Completed","Completed Late"),IF(TODAY()&gt;C146,"Overdue","On Schedule")))</f>
        <v/>
      </c>
      <c r="J146" s="49" t="str">
        <f aca="true">IF(OR(A146="",C146=""),"",IF(E146&lt;&gt;"",IF(E146&lt;=C146,"Green","Red"),IF(TODAY()&gt;C146,"Red",IF(C146-TODAY()&lt;=Config!$B$30,"Amber","Green"))))</f>
        <v/>
      </c>
      <c r="K146" s="46"/>
    </row>
    <row r="147" customFormat="false" ht="15" hidden="false" customHeight="false" outlineLevel="0" collapsed="false">
      <c r="A147" s="46"/>
      <c r="B147" s="46"/>
      <c r="C147" s="40"/>
      <c r="D147" s="40"/>
      <c r="E147" s="40"/>
      <c r="F147" s="27"/>
      <c r="G147" s="45"/>
      <c r="H147" s="48" t="str">
        <f aca="true">IF(OR(A147="",C147=""),"",IF(E147&lt;&gt;"",MAX(0,E147-C147),MAX(0,TODAY()-C147)))</f>
        <v/>
      </c>
      <c r="I147" s="49" t="str">
        <f aca="true">IF(OR(A147="",C147=""),"",IF(E147&lt;&gt;"",IF(E147&lt;=C147,"Completed","Completed Late"),IF(TODAY()&gt;C147,"Overdue","On Schedule")))</f>
        <v/>
      </c>
      <c r="J147" s="49" t="str">
        <f aca="true">IF(OR(A147="",C147=""),"",IF(E147&lt;&gt;"",IF(E147&lt;=C147,"Green","Red"),IF(TODAY()&gt;C147,"Red",IF(C147-TODAY()&lt;=Config!$B$30,"Amber","Green"))))</f>
        <v/>
      </c>
      <c r="K147" s="46"/>
    </row>
    <row r="148" customFormat="false" ht="15" hidden="false" customHeight="false" outlineLevel="0" collapsed="false">
      <c r="A148" s="46"/>
      <c r="B148" s="46"/>
      <c r="C148" s="40"/>
      <c r="D148" s="40"/>
      <c r="E148" s="40"/>
      <c r="F148" s="27"/>
      <c r="G148" s="45"/>
      <c r="H148" s="48" t="str">
        <f aca="true">IF(OR(A148="",C148=""),"",IF(E148&lt;&gt;"",MAX(0,E148-C148),MAX(0,TODAY()-C148)))</f>
        <v/>
      </c>
      <c r="I148" s="49" t="str">
        <f aca="true">IF(OR(A148="",C148=""),"",IF(E148&lt;&gt;"",IF(E148&lt;=C148,"Completed","Completed Late"),IF(TODAY()&gt;C148,"Overdue","On Schedule")))</f>
        <v/>
      </c>
      <c r="J148" s="49" t="str">
        <f aca="true">IF(OR(A148="",C148=""),"",IF(E148&lt;&gt;"",IF(E148&lt;=C148,"Green","Red"),IF(TODAY()&gt;C148,"Red",IF(C148-TODAY()&lt;=Config!$B$30,"Amber","Green"))))</f>
        <v/>
      </c>
      <c r="K148" s="46"/>
    </row>
    <row r="149" customFormat="false" ht="15" hidden="false" customHeight="false" outlineLevel="0" collapsed="false">
      <c r="A149" s="46"/>
      <c r="B149" s="46"/>
      <c r="C149" s="40"/>
      <c r="D149" s="40"/>
      <c r="E149" s="40"/>
      <c r="F149" s="27"/>
      <c r="G149" s="45"/>
      <c r="H149" s="48" t="str">
        <f aca="true">IF(OR(A149="",C149=""),"",IF(E149&lt;&gt;"",MAX(0,E149-C149),MAX(0,TODAY()-C149)))</f>
        <v/>
      </c>
      <c r="I149" s="49" t="str">
        <f aca="true">IF(OR(A149="",C149=""),"",IF(E149&lt;&gt;"",IF(E149&lt;=C149,"Completed","Completed Late"),IF(TODAY()&gt;C149,"Overdue","On Schedule")))</f>
        <v/>
      </c>
      <c r="J149" s="49" t="str">
        <f aca="true">IF(OR(A149="",C149=""),"",IF(E149&lt;&gt;"",IF(E149&lt;=C149,"Green","Red"),IF(TODAY()&gt;C149,"Red",IF(C149-TODAY()&lt;=Config!$B$30,"Amber","Green"))))</f>
        <v/>
      </c>
      <c r="K149" s="46"/>
    </row>
    <row r="150" customFormat="false" ht="15" hidden="false" customHeight="false" outlineLevel="0" collapsed="false">
      <c r="A150" s="46"/>
      <c r="B150" s="46"/>
      <c r="C150" s="40"/>
      <c r="D150" s="40"/>
      <c r="E150" s="40"/>
      <c r="F150" s="27"/>
      <c r="G150" s="45"/>
      <c r="H150" s="48" t="str">
        <f aca="true">IF(OR(A150="",C150=""),"",IF(E150&lt;&gt;"",MAX(0,E150-C150),MAX(0,TODAY()-C150)))</f>
        <v/>
      </c>
      <c r="I150" s="49" t="str">
        <f aca="true">IF(OR(A150="",C150=""),"",IF(E150&lt;&gt;"",IF(E150&lt;=C150,"Completed","Completed Late"),IF(TODAY()&gt;C150,"Overdue","On Schedule")))</f>
        <v/>
      </c>
      <c r="J150" s="49" t="str">
        <f aca="true">IF(OR(A150="",C150=""),"",IF(E150&lt;&gt;"",IF(E150&lt;=C150,"Green","Red"),IF(TODAY()&gt;C150,"Red",IF(C150-TODAY()&lt;=Config!$B$30,"Amber","Green"))))</f>
        <v/>
      </c>
      <c r="K150" s="46"/>
    </row>
    <row r="151" customFormat="false" ht="15" hidden="false" customHeight="false" outlineLevel="0" collapsed="false">
      <c r="A151" s="46"/>
      <c r="B151" s="46"/>
      <c r="C151" s="40"/>
      <c r="D151" s="40"/>
      <c r="E151" s="40"/>
      <c r="F151" s="27"/>
      <c r="G151" s="45"/>
      <c r="H151" s="48" t="str">
        <f aca="true">IF(OR(A151="",C151=""),"",IF(E151&lt;&gt;"",MAX(0,E151-C151),MAX(0,TODAY()-C151)))</f>
        <v/>
      </c>
      <c r="I151" s="49" t="str">
        <f aca="true">IF(OR(A151="",C151=""),"",IF(E151&lt;&gt;"",IF(E151&lt;=C151,"Completed","Completed Late"),IF(TODAY()&gt;C151,"Overdue","On Schedule")))</f>
        <v/>
      </c>
      <c r="J151" s="49" t="str">
        <f aca="true">IF(OR(A151="",C151=""),"",IF(E151&lt;&gt;"",IF(E151&lt;=C151,"Green","Red"),IF(TODAY()&gt;C151,"Red",IF(C151-TODAY()&lt;=Config!$B$30,"Amber","Green"))))</f>
        <v/>
      </c>
      <c r="K151" s="46"/>
    </row>
    <row r="152" customFormat="false" ht="15" hidden="false" customHeight="false" outlineLevel="0" collapsed="false">
      <c r="A152" s="46"/>
      <c r="B152" s="46"/>
      <c r="C152" s="40"/>
      <c r="D152" s="40"/>
      <c r="E152" s="40"/>
      <c r="F152" s="27"/>
      <c r="G152" s="45"/>
      <c r="H152" s="48" t="str">
        <f aca="true">IF(OR(A152="",C152=""),"",IF(E152&lt;&gt;"",MAX(0,E152-C152),MAX(0,TODAY()-C152)))</f>
        <v/>
      </c>
      <c r="I152" s="49" t="str">
        <f aca="true">IF(OR(A152="",C152=""),"",IF(E152&lt;&gt;"",IF(E152&lt;=C152,"Completed","Completed Late"),IF(TODAY()&gt;C152,"Overdue","On Schedule")))</f>
        <v/>
      </c>
      <c r="J152" s="49" t="str">
        <f aca="true">IF(OR(A152="",C152=""),"",IF(E152&lt;&gt;"",IF(E152&lt;=C152,"Green","Red"),IF(TODAY()&gt;C152,"Red",IF(C152-TODAY()&lt;=Config!$B$30,"Amber","Green"))))</f>
        <v/>
      </c>
      <c r="K152" s="46"/>
    </row>
    <row r="153" customFormat="false" ht="15" hidden="false" customHeight="false" outlineLevel="0" collapsed="false">
      <c r="A153" s="46"/>
      <c r="B153" s="46"/>
      <c r="C153" s="40"/>
      <c r="D153" s="40"/>
      <c r="E153" s="40"/>
      <c r="F153" s="27"/>
      <c r="G153" s="45"/>
      <c r="H153" s="48" t="str">
        <f aca="true">IF(OR(A153="",C153=""),"",IF(E153&lt;&gt;"",MAX(0,E153-C153),MAX(0,TODAY()-C153)))</f>
        <v/>
      </c>
      <c r="I153" s="49" t="str">
        <f aca="true">IF(OR(A153="",C153=""),"",IF(E153&lt;&gt;"",IF(E153&lt;=C153,"Completed","Completed Late"),IF(TODAY()&gt;C153,"Overdue","On Schedule")))</f>
        <v/>
      </c>
      <c r="J153" s="49" t="str">
        <f aca="true">IF(OR(A153="",C153=""),"",IF(E153&lt;&gt;"",IF(E153&lt;=C153,"Green","Red"),IF(TODAY()&gt;C153,"Red",IF(C153-TODAY()&lt;=Config!$B$30,"Amber","Green"))))</f>
        <v/>
      </c>
      <c r="K153" s="46"/>
    </row>
    <row r="154" customFormat="false" ht="15" hidden="false" customHeight="false" outlineLevel="0" collapsed="false">
      <c r="A154" s="46"/>
      <c r="B154" s="46"/>
      <c r="C154" s="40"/>
      <c r="D154" s="40"/>
      <c r="E154" s="40"/>
      <c r="F154" s="27"/>
      <c r="G154" s="45"/>
      <c r="H154" s="48" t="str">
        <f aca="true">IF(OR(A154="",C154=""),"",IF(E154&lt;&gt;"",MAX(0,E154-C154),MAX(0,TODAY()-C154)))</f>
        <v/>
      </c>
      <c r="I154" s="49" t="str">
        <f aca="true">IF(OR(A154="",C154=""),"",IF(E154&lt;&gt;"",IF(E154&lt;=C154,"Completed","Completed Late"),IF(TODAY()&gt;C154,"Overdue","On Schedule")))</f>
        <v/>
      </c>
      <c r="J154" s="49" t="str">
        <f aca="true">IF(OR(A154="",C154=""),"",IF(E154&lt;&gt;"",IF(E154&lt;=C154,"Green","Red"),IF(TODAY()&gt;C154,"Red",IF(C154-TODAY()&lt;=Config!$B$30,"Amber","Green"))))</f>
        <v/>
      </c>
      <c r="K154" s="46"/>
    </row>
    <row r="155" customFormat="false" ht="15" hidden="false" customHeight="false" outlineLevel="0" collapsed="false">
      <c r="A155" s="46"/>
      <c r="B155" s="46"/>
      <c r="C155" s="40"/>
      <c r="D155" s="40"/>
      <c r="E155" s="40"/>
      <c r="F155" s="27"/>
      <c r="G155" s="45"/>
      <c r="H155" s="48" t="str">
        <f aca="true">IF(OR(A155="",C155=""),"",IF(E155&lt;&gt;"",MAX(0,E155-C155),MAX(0,TODAY()-C155)))</f>
        <v/>
      </c>
      <c r="I155" s="49" t="str">
        <f aca="true">IF(OR(A155="",C155=""),"",IF(E155&lt;&gt;"",IF(E155&lt;=C155,"Completed","Completed Late"),IF(TODAY()&gt;C155,"Overdue","On Schedule")))</f>
        <v/>
      </c>
      <c r="J155" s="49" t="str">
        <f aca="true">IF(OR(A155="",C155=""),"",IF(E155&lt;&gt;"",IF(E155&lt;=C155,"Green","Red"),IF(TODAY()&gt;C155,"Red",IF(C155-TODAY()&lt;=Config!$B$30,"Amber","Green"))))</f>
        <v/>
      </c>
      <c r="K155" s="46"/>
    </row>
    <row r="156" customFormat="false" ht="15" hidden="false" customHeight="false" outlineLevel="0" collapsed="false">
      <c r="A156" s="46"/>
      <c r="B156" s="46"/>
      <c r="C156" s="40"/>
      <c r="D156" s="40"/>
      <c r="E156" s="40"/>
      <c r="F156" s="27"/>
      <c r="G156" s="45"/>
      <c r="H156" s="48" t="str">
        <f aca="true">IF(OR(A156="",C156=""),"",IF(E156&lt;&gt;"",MAX(0,E156-C156),MAX(0,TODAY()-C156)))</f>
        <v/>
      </c>
      <c r="I156" s="49" t="str">
        <f aca="true">IF(OR(A156="",C156=""),"",IF(E156&lt;&gt;"",IF(E156&lt;=C156,"Completed","Completed Late"),IF(TODAY()&gt;C156,"Overdue","On Schedule")))</f>
        <v/>
      </c>
      <c r="J156" s="49" t="str">
        <f aca="true">IF(OR(A156="",C156=""),"",IF(E156&lt;&gt;"",IF(E156&lt;=C156,"Green","Red"),IF(TODAY()&gt;C156,"Red",IF(C156-TODAY()&lt;=Config!$B$30,"Amber","Green"))))</f>
        <v/>
      </c>
      <c r="K156" s="46"/>
    </row>
    <row r="157" customFormat="false" ht="15" hidden="false" customHeight="false" outlineLevel="0" collapsed="false">
      <c r="A157" s="46"/>
      <c r="B157" s="46"/>
      <c r="C157" s="40"/>
      <c r="D157" s="40"/>
      <c r="E157" s="40"/>
      <c r="F157" s="27"/>
      <c r="G157" s="45"/>
      <c r="H157" s="48" t="str">
        <f aca="true">IF(OR(A157="",C157=""),"",IF(E157&lt;&gt;"",MAX(0,E157-C157),MAX(0,TODAY()-C157)))</f>
        <v/>
      </c>
      <c r="I157" s="49" t="str">
        <f aca="true">IF(OR(A157="",C157=""),"",IF(E157&lt;&gt;"",IF(E157&lt;=C157,"Completed","Completed Late"),IF(TODAY()&gt;C157,"Overdue","On Schedule")))</f>
        <v/>
      </c>
      <c r="J157" s="49" t="str">
        <f aca="true">IF(OR(A157="",C157=""),"",IF(E157&lt;&gt;"",IF(E157&lt;=C157,"Green","Red"),IF(TODAY()&gt;C157,"Red",IF(C157-TODAY()&lt;=Config!$B$30,"Amber","Green"))))</f>
        <v/>
      </c>
      <c r="K157" s="46"/>
    </row>
    <row r="158" customFormat="false" ht="15" hidden="false" customHeight="false" outlineLevel="0" collapsed="false">
      <c r="A158" s="46"/>
      <c r="B158" s="46"/>
      <c r="C158" s="40"/>
      <c r="D158" s="40"/>
      <c r="E158" s="40"/>
      <c r="F158" s="27"/>
      <c r="G158" s="45"/>
      <c r="H158" s="48" t="str">
        <f aca="true">IF(OR(A158="",C158=""),"",IF(E158&lt;&gt;"",MAX(0,E158-C158),MAX(0,TODAY()-C158)))</f>
        <v/>
      </c>
      <c r="I158" s="49" t="str">
        <f aca="true">IF(OR(A158="",C158=""),"",IF(E158&lt;&gt;"",IF(E158&lt;=C158,"Completed","Completed Late"),IF(TODAY()&gt;C158,"Overdue","On Schedule")))</f>
        <v/>
      </c>
      <c r="J158" s="49" t="str">
        <f aca="true">IF(OR(A158="",C158=""),"",IF(E158&lt;&gt;"",IF(E158&lt;=C158,"Green","Red"),IF(TODAY()&gt;C158,"Red",IF(C158-TODAY()&lt;=Config!$B$30,"Amber","Green"))))</f>
        <v/>
      </c>
      <c r="K158" s="46"/>
    </row>
    <row r="159" customFormat="false" ht="15" hidden="false" customHeight="false" outlineLevel="0" collapsed="false">
      <c r="A159" s="46"/>
      <c r="B159" s="46"/>
      <c r="C159" s="40"/>
      <c r="D159" s="40"/>
      <c r="E159" s="40"/>
      <c r="F159" s="27"/>
      <c r="G159" s="45"/>
      <c r="H159" s="48" t="str">
        <f aca="true">IF(OR(A159="",C159=""),"",IF(E159&lt;&gt;"",MAX(0,E159-C159),MAX(0,TODAY()-C159)))</f>
        <v/>
      </c>
      <c r="I159" s="49" t="str">
        <f aca="true">IF(OR(A159="",C159=""),"",IF(E159&lt;&gt;"",IF(E159&lt;=C159,"Completed","Completed Late"),IF(TODAY()&gt;C159,"Overdue","On Schedule")))</f>
        <v/>
      </c>
      <c r="J159" s="49" t="str">
        <f aca="true">IF(OR(A159="",C159=""),"",IF(E159&lt;&gt;"",IF(E159&lt;=C159,"Green","Red"),IF(TODAY()&gt;C159,"Red",IF(C159-TODAY()&lt;=Config!$B$30,"Amber","Green"))))</f>
        <v/>
      </c>
      <c r="K159" s="46"/>
    </row>
    <row r="160" customFormat="false" ht="15" hidden="false" customHeight="false" outlineLevel="0" collapsed="false">
      <c r="A160" s="46"/>
      <c r="B160" s="46"/>
      <c r="C160" s="40"/>
      <c r="D160" s="40"/>
      <c r="E160" s="40"/>
      <c r="F160" s="27"/>
      <c r="G160" s="45"/>
      <c r="H160" s="48" t="str">
        <f aca="true">IF(OR(A160="",C160=""),"",IF(E160&lt;&gt;"",MAX(0,E160-C160),MAX(0,TODAY()-C160)))</f>
        <v/>
      </c>
      <c r="I160" s="49" t="str">
        <f aca="true">IF(OR(A160="",C160=""),"",IF(E160&lt;&gt;"",IF(E160&lt;=C160,"Completed","Completed Late"),IF(TODAY()&gt;C160,"Overdue","On Schedule")))</f>
        <v/>
      </c>
      <c r="J160" s="49" t="str">
        <f aca="true">IF(OR(A160="",C160=""),"",IF(E160&lt;&gt;"",IF(E160&lt;=C160,"Green","Red"),IF(TODAY()&gt;C160,"Red",IF(C160-TODAY()&lt;=Config!$B$30,"Amber","Green"))))</f>
        <v/>
      </c>
      <c r="K160" s="46"/>
    </row>
    <row r="161" customFormat="false" ht="15" hidden="false" customHeight="false" outlineLevel="0" collapsed="false">
      <c r="A161" s="46"/>
      <c r="B161" s="46"/>
      <c r="C161" s="40"/>
      <c r="D161" s="40"/>
      <c r="E161" s="40"/>
      <c r="F161" s="27"/>
      <c r="G161" s="45"/>
      <c r="H161" s="48" t="str">
        <f aca="true">IF(OR(A161="",C161=""),"",IF(E161&lt;&gt;"",MAX(0,E161-C161),MAX(0,TODAY()-C161)))</f>
        <v/>
      </c>
      <c r="I161" s="49" t="str">
        <f aca="true">IF(OR(A161="",C161=""),"",IF(E161&lt;&gt;"",IF(E161&lt;=C161,"Completed","Completed Late"),IF(TODAY()&gt;C161,"Overdue","On Schedule")))</f>
        <v/>
      </c>
      <c r="J161" s="49" t="str">
        <f aca="true">IF(OR(A161="",C161=""),"",IF(E161&lt;&gt;"",IF(E161&lt;=C161,"Green","Red"),IF(TODAY()&gt;C161,"Red",IF(C161-TODAY()&lt;=Config!$B$30,"Amber","Green"))))</f>
        <v/>
      </c>
      <c r="K161" s="46"/>
    </row>
    <row r="162" customFormat="false" ht="15" hidden="false" customHeight="false" outlineLevel="0" collapsed="false">
      <c r="A162" s="46"/>
      <c r="B162" s="46"/>
      <c r="C162" s="40"/>
      <c r="D162" s="40"/>
      <c r="E162" s="40"/>
      <c r="F162" s="27"/>
      <c r="G162" s="45"/>
      <c r="H162" s="48" t="str">
        <f aca="true">IF(OR(A162="",C162=""),"",IF(E162&lt;&gt;"",MAX(0,E162-C162),MAX(0,TODAY()-C162)))</f>
        <v/>
      </c>
      <c r="I162" s="49" t="str">
        <f aca="true">IF(OR(A162="",C162=""),"",IF(E162&lt;&gt;"",IF(E162&lt;=C162,"Completed","Completed Late"),IF(TODAY()&gt;C162,"Overdue","On Schedule")))</f>
        <v/>
      </c>
      <c r="J162" s="49" t="str">
        <f aca="true">IF(OR(A162="",C162=""),"",IF(E162&lt;&gt;"",IF(E162&lt;=C162,"Green","Red"),IF(TODAY()&gt;C162,"Red",IF(C162-TODAY()&lt;=Config!$B$30,"Amber","Green"))))</f>
        <v/>
      </c>
      <c r="K162" s="46"/>
    </row>
    <row r="163" customFormat="false" ht="15" hidden="false" customHeight="false" outlineLevel="0" collapsed="false">
      <c r="A163" s="46"/>
      <c r="B163" s="46"/>
      <c r="C163" s="40"/>
      <c r="D163" s="40"/>
      <c r="E163" s="40"/>
      <c r="F163" s="27"/>
      <c r="G163" s="45"/>
      <c r="H163" s="48" t="str">
        <f aca="true">IF(OR(A163="",C163=""),"",IF(E163&lt;&gt;"",MAX(0,E163-C163),MAX(0,TODAY()-C163)))</f>
        <v/>
      </c>
      <c r="I163" s="49" t="str">
        <f aca="true">IF(OR(A163="",C163=""),"",IF(E163&lt;&gt;"",IF(E163&lt;=C163,"Completed","Completed Late"),IF(TODAY()&gt;C163,"Overdue","On Schedule")))</f>
        <v/>
      </c>
      <c r="J163" s="49" t="str">
        <f aca="true">IF(OR(A163="",C163=""),"",IF(E163&lt;&gt;"",IF(E163&lt;=C163,"Green","Red"),IF(TODAY()&gt;C163,"Red",IF(C163-TODAY()&lt;=Config!$B$30,"Amber","Green"))))</f>
        <v/>
      </c>
      <c r="K163" s="46"/>
    </row>
    <row r="164" customFormat="false" ht="15" hidden="false" customHeight="false" outlineLevel="0" collapsed="false">
      <c r="A164" s="46"/>
      <c r="B164" s="46"/>
      <c r="C164" s="40"/>
      <c r="D164" s="40"/>
      <c r="E164" s="40"/>
      <c r="F164" s="27"/>
      <c r="G164" s="45"/>
      <c r="H164" s="48" t="str">
        <f aca="true">IF(OR(A164="",C164=""),"",IF(E164&lt;&gt;"",MAX(0,E164-C164),MAX(0,TODAY()-C164)))</f>
        <v/>
      </c>
      <c r="I164" s="49" t="str">
        <f aca="true">IF(OR(A164="",C164=""),"",IF(E164&lt;&gt;"",IF(E164&lt;=C164,"Completed","Completed Late"),IF(TODAY()&gt;C164,"Overdue","On Schedule")))</f>
        <v/>
      </c>
      <c r="J164" s="49" t="str">
        <f aca="true">IF(OR(A164="",C164=""),"",IF(E164&lt;&gt;"",IF(E164&lt;=C164,"Green","Red"),IF(TODAY()&gt;C164,"Red",IF(C164-TODAY()&lt;=Config!$B$30,"Amber","Green"))))</f>
        <v/>
      </c>
      <c r="K164" s="46"/>
    </row>
    <row r="165" customFormat="false" ht="15" hidden="false" customHeight="false" outlineLevel="0" collapsed="false">
      <c r="A165" s="46"/>
      <c r="B165" s="46"/>
      <c r="C165" s="40"/>
      <c r="D165" s="40"/>
      <c r="E165" s="40"/>
      <c r="F165" s="27"/>
      <c r="G165" s="45"/>
      <c r="H165" s="48" t="str">
        <f aca="true">IF(OR(A165="",C165=""),"",IF(E165&lt;&gt;"",MAX(0,E165-C165),MAX(0,TODAY()-C165)))</f>
        <v/>
      </c>
      <c r="I165" s="49" t="str">
        <f aca="true">IF(OR(A165="",C165=""),"",IF(E165&lt;&gt;"",IF(E165&lt;=C165,"Completed","Completed Late"),IF(TODAY()&gt;C165,"Overdue","On Schedule")))</f>
        <v/>
      </c>
      <c r="J165" s="49" t="str">
        <f aca="true">IF(OR(A165="",C165=""),"",IF(E165&lt;&gt;"",IF(E165&lt;=C165,"Green","Red"),IF(TODAY()&gt;C165,"Red",IF(C165-TODAY()&lt;=Config!$B$30,"Amber","Green"))))</f>
        <v/>
      </c>
      <c r="K165" s="46"/>
    </row>
    <row r="166" customFormat="false" ht="15" hidden="false" customHeight="false" outlineLevel="0" collapsed="false">
      <c r="A166" s="46"/>
      <c r="B166" s="46"/>
      <c r="C166" s="40"/>
      <c r="D166" s="40"/>
      <c r="E166" s="40"/>
      <c r="F166" s="27"/>
      <c r="G166" s="45"/>
      <c r="H166" s="48" t="str">
        <f aca="true">IF(OR(A166="",C166=""),"",IF(E166&lt;&gt;"",MAX(0,E166-C166),MAX(0,TODAY()-C166)))</f>
        <v/>
      </c>
      <c r="I166" s="49" t="str">
        <f aca="true">IF(OR(A166="",C166=""),"",IF(E166&lt;&gt;"",IF(E166&lt;=C166,"Completed","Completed Late"),IF(TODAY()&gt;C166,"Overdue","On Schedule")))</f>
        <v/>
      </c>
      <c r="J166" s="49" t="str">
        <f aca="true">IF(OR(A166="",C166=""),"",IF(E166&lt;&gt;"",IF(E166&lt;=C166,"Green","Red"),IF(TODAY()&gt;C166,"Red",IF(C166-TODAY()&lt;=Config!$B$30,"Amber","Green"))))</f>
        <v/>
      </c>
      <c r="K166" s="46"/>
    </row>
    <row r="167" customFormat="false" ht="15" hidden="false" customHeight="false" outlineLevel="0" collapsed="false">
      <c r="A167" s="46"/>
      <c r="B167" s="46"/>
      <c r="C167" s="40"/>
      <c r="D167" s="40"/>
      <c r="E167" s="40"/>
      <c r="F167" s="27"/>
      <c r="G167" s="45"/>
      <c r="H167" s="48" t="str">
        <f aca="true">IF(OR(A167="",C167=""),"",IF(E167&lt;&gt;"",MAX(0,E167-C167),MAX(0,TODAY()-C167)))</f>
        <v/>
      </c>
      <c r="I167" s="49" t="str">
        <f aca="true">IF(OR(A167="",C167=""),"",IF(E167&lt;&gt;"",IF(E167&lt;=C167,"Completed","Completed Late"),IF(TODAY()&gt;C167,"Overdue","On Schedule")))</f>
        <v/>
      </c>
      <c r="J167" s="49" t="str">
        <f aca="true">IF(OR(A167="",C167=""),"",IF(E167&lt;&gt;"",IF(E167&lt;=C167,"Green","Red"),IF(TODAY()&gt;C167,"Red",IF(C167-TODAY()&lt;=Config!$B$30,"Amber","Green"))))</f>
        <v/>
      </c>
      <c r="K167" s="46"/>
    </row>
    <row r="168" customFormat="false" ht="15" hidden="false" customHeight="false" outlineLevel="0" collapsed="false">
      <c r="A168" s="46"/>
      <c r="B168" s="46"/>
      <c r="C168" s="40"/>
      <c r="D168" s="40"/>
      <c r="E168" s="40"/>
      <c r="F168" s="27"/>
      <c r="G168" s="45"/>
      <c r="H168" s="48" t="str">
        <f aca="true">IF(OR(A168="",C168=""),"",IF(E168&lt;&gt;"",MAX(0,E168-C168),MAX(0,TODAY()-C168)))</f>
        <v/>
      </c>
      <c r="I168" s="49" t="str">
        <f aca="true">IF(OR(A168="",C168=""),"",IF(E168&lt;&gt;"",IF(E168&lt;=C168,"Completed","Completed Late"),IF(TODAY()&gt;C168,"Overdue","On Schedule")))</f>
        <v/>
      </c>
      <c r="J168" s="49" t="str">
        <f aca="true">IF(OR(A168="",C168=""),"",IF(E168&lt;&gt;"",IF(E168&lt;=C168,"Green","Red"),IF(TODAY()&gt;C168,"Red",IF(C168-TODAY()&lt;=Config!$B$30,"Amber","Green"))))</f>
        <v/>
      </c>
      <c r="K168" s="46"/>
    </row>
    <row r="169" customFormat="false" ht="15" hidden="false" customHeight="false" outlineLevel="0" collapsed="false">
      <c r="A169" s="46"/>
      <c r="B169" s="46"/>
      <c r="C169" s="40"/>
      <c r="D169" s="40"/>
      <c r="E169" s="40"/>
      <c r="F169" s="27"/>
      <c r="G169" s="45"/>
      <c r="H169" s="48" t="str">
        <f aca="true">IF(OR(A169="",C169=""),"",IF(E169&lt;&gt;"",MAX(0,E169-C169),MAX(0,TODAY()-C169)))</f>
        <v/>
      </c>
      <c r="I169" s="49" t="str">
        <f aca="true">IF(OR(A169="",C169=""),"",IF(E169&lt;&gt;"",IF(E169&lt;=C169,"Completed","Completed Late"),IF(TODAY()&gt;C169,"Overdue","On Schedule")))</f>
        <v/>
      </c>
      <c r="J169" s="49" t="str">
        <f aca="true">IF(OR(A169="",C169=""),"",IF(E169&lt;&gt;"",IF(E169&lt;=C169,"Green","Red"),IF(TODAY()&gt;C169,"Red",IF(C169-TODAY()&lt;=Config!$B$30,"Amber","Green"))))</f>
        <v/>
      </c>
      <c r="K169" s="46"/>
    </row>
    <row r="170" customFormat="false" ht="15" hidden="false" customHeight="false" outlineLevel="0" collapsed="false">
      <c r="A170" s="46"/>
      <c r="B170" s="46"/>
      <c r="C170" s="40"/>
      <c r="D170" s="40"/>
      <c r="E170" s="40"/>
      <c r="F170" s="27"/>
      <c r="G170" s="45"/>
      <c r="H170" s="48" t="str">
        <f aca="true">IF(OR(A170="",C170=""),"",IF(E170&lt;&gt;"",MAX(0,E170-C170),MAX(0,TODAY()-C170)))</f>
        <v/>
      </c>
      <c r="I170" s="49" t="str">
        <f aca="true">IF(OR(A170="",C170=""),"",IF(E170&lt;&gt;"",IF(E170&lt;=C170,"Completed","Completed Late"),IF(TODAY()&gt;C170,"Overdue","On Schedule")))</f>
        <v/>
      </c>
      <c r="J170" s="49" t="str">
        <f aca="true">IF(OR(A170="",C170=""),"",IF(E170&lt;&gt;"",IF(E170&lt;=C170,"Green","Red"),IF(TODAY()&gt;C170,"Red",IF(C170-TODAY()&lt;=Config!$B$30,"Amber","Green"))))</f>
        <v/>
      </c>
      <c r="K170" s="46"/>
    </row>
    <row r="171" customFormat="false" ht="15" hidden="false" customHeight="false" outlineLevel="0" collapsed="false">
      <c r="A171" s="46"/>
      <c r="B171" s="46"/>
      <c r="C171" s="40"/>
      <c r="D171" s="40"/>
      <c r="E171" s="40"/>
      <c r="F171" s="27"/>
      <c r="G171" s="45"/>
      <c r="H171" s="48" t="str">
        <f aca="true">IF(OR(A171="",C171=""),"",IF(E171&lt;&gt;"",MAX(0,E171-C171),MAX(0,TODAY()-C171)))</f>
        <v/>
      </c>
      <c r="I171" s="49" t="str">
        <f aca="true">IF(OR(A171="",C171=""),"",IF(E171&lt;&gt;"",IF(E171&lt;=C171,"Completed","Completed Late"),IF(TODAY()&gt;C171,"Overdue","On Schedule")))</f>
        <v/>
      </c>
      <c r="J171" s="49" t="str">
        <f aca="true">IF(OR(A171="",C171=""),"",IF(E171&lt;&gt;"",IF(E171&lt;=C171,"Green","Red"),IF(TODAY()&gt;C171,"Red",IF(C171-TODAY()&lt;=Config!$B$30,"Amber","Green"))))</f>
        <v/>
      </c>
      <c r="K171" s="46"/>
    </row>
    <row r="172" customFormat="false" ht="15" hidden="false" customHeight="false" outlineLevel="0" collapsed="false">
      <c r="A172" s="46"/>
      <c r="B172" s="46"/>
      <c r="C172" s="40"/>
      <c r="D172" s="40"/>
      <c r="E172" s="40"/>
      <c r="F172" s="27"/>
      <c r="G172" s="45"/>
      <c r="H172" s="48" t="str">
        <f aca="true">IF(OR(A172="",C172=""),"",IF(E172&lt;&gt;"",MAX(0,E172-C172),MAX(0,TODAY()-C172)))</f>
        <v/>
      </c>
      <c r="I172" s="49" t="str">
        <f aca="true">IF(OR(A172="",C172=""),"",IF(E172&lt;&gt;"",IF(E172&lt;=C172,"Completed","Completed Late"),IF(TODAY()&gt;C172,"Overdue","On Schedule")))</f>
        <v/>
      </c>
      <c r="J172" s="49" t="str">
        <f aca="true">IF(OR(A172="",C172=""),"",IF(E172&lt;&gt;"",IF(E172&lt;=C172,"Green","Red"),IF(TODAY()&gt;C172,"Red",IF(C172-TODAY()&lt;=Config!$B$30,"Amber","Green"))))</f>
        <v/>
      </c>
      <c r="K172" s="46"/>
    </row>
    <row r="173" customFormat="false" ht="15" hidden="false" customHeight="false" outlineLevel="0" collapsed="false">
      <c r="A173" s="46"/>
      <c r="B173" s="46"/>
      <c r="C173" s="40"/>
      <c r="D173" s="40"/>
      <c r="E173" s="40"/>
      <c r="F173" s="27"/>
      <c r="G173" s="45"/>
      <c r="H173" s="48" t="str">
        <f aca="true">IF(OR(A173="",C173=""),"",IF(E173&lt;&gt;"",MAX(0,E173-C173),MAX(0,TODAY()-C173)))</f>
        <v/>
      </c>
      <c r="I173" s="49" t="str">
        <f aca="true">IF(OR(A173="",C173=""),"",IF(E173&lt;&gt;"",IF(E173&lt;=C173,"Completed","Completed Late"),IF(TODAY()&gt;C173,"Overdue","On Schedule")))</f>
        <v/>
      </c>
      <c r="J173" s="49" t="str">
        <f aca="true">IF(OR(A173="",C173=""),"",IF(E173&lt;&gt;"",IF(E173&lt;=C173,"Green","Red"),IF(TODAY()&gt;C173,"Red",IF(C173-TODAY()&lt;=Config!$B$30,"Amber","Green"))))</f>
        <v/>
      </c>
      <c r="K173" s="46"/>
    </row>
    <row r="174" customFormat="false" ht="15" hidden="false" customHeight="false" outlineLevel="0" collapsed="false">
      <c r="A174" s="46"/>
      <c r="B174" s="46"/>
      <c r="C174" s="40"/>
      <c r="D174" s="40"/>
      <c r="E174" s="40"/>
      <c r="F174" s="27"/>
      <c r="G174" s="45"/>
      <c r="H174" s="48" t="str">
        <f aca="true">IF(OR(A174="",C174=""),"",IF(E174&lt;&gt;"",MAX(0,E174-C174),MAX(0,TODAY()-C174)))</f>
        <v/>
      </c>
      <c r="I174" s="49" t="str">
        <f aca="true">IF(OR(A174="",C174=""),"",IF(E174&lt;&gt;"",IF(E174&lt;=C174,"Completed","Completed Late"),IF(TODAY()&gt;C174,"Overdue","On Schedule")))</f>
        <v/>
      </c>
      <c r="J174" s="49" t="str">
        <f aca="true">IF(OR(A174="",C174=""),"",IF(E174&lt;&gt;"",IF(E174&lt;=C174,"Green","Red"),IF(TODAY()&gt;C174,"Red",IF(C174-TODAY()&lt;=Config!$B$30,"Amber","Green"))))</f>
        <v/>
      </c>
      <c r="K174" s="46"/>
    </row>
    <row r="175" customFormat="false" ht="15" hidden="false" customHeight="false" outlineLevel="0" collapsed="false">
      <c r="A175" s="46"/>
      <c r="B175" s="46"/>
      <c r="C175" s="40"/>
      <c r="D175" s="40"/>
      <c r="E175" s="40"/>
      <c r="F175" s="27"/>
      <c r="G175" s="45"/>
      <c r="H175" s="48" t="str">
        <f aca="true">IF(OR(A175="",C175=""),"",IF(E175&lt;&gt;"",MAX(0,E175-C175),MAX(0,TODAY()-C175)))</f>
        <v/>
      </c>
      <c r="I175" s="49" t="str">
        <f aca="true">IF(OR(A175="",C175=""),"",IF(E175&lt;&gt;"",IF(E175&lt;=C175,"Completed","Completed Late"),IF(TODAY()&gt;C175,"Overdue","On Schedule")))</f>
        <v/>
      </c>
      <c r="J175" s="49" t="str">
        <f aca="true">IF(OR(A175="",C175=""),"",IF(E175&lt;&gt;"",IF(E175&lt;=C175,"Green","Red"),IF(TODAY()&gt;C175,"Red",IF(C175-TODAY()&lt;=Config!$B$30,"Amber","Green"))))</f>
        <v/>
      </c>
      <c r="K175" s="46"/>
    </row>
    <row r="176" customFormat="false" ht="15" hidden="false" customHeight="false" outlineLevel="0" collapsed="false">
      <c r="A176" s="46"/>
      <c r="B176" s="46"/>
      <c r="C176" s="40"/>
      <c r="D176" s="40"/>
      <c r="E176" s="40"/>
      <c r="F176" s="27"/>
      <c r="G176" s="45"/>
      <c r="H176" s="48" t="str">
        <f aca="true">IF(OR(A176="",C176=""),"",IF(E176&lt;&gt;"",MAX(0,E176-C176),MAX(0,TODAY()-C176)))</f>
        <v/>
      </c>
      <c r="I176" s="49" t="str">
        <f aca="true">IF(OR(A176="",C176=""),"",IF(E176&lt;&gt;"",IF(E176&lt;=C176,"Completed","Completed Late"),IF(TODAY()&gt;C176,"Overdue","On Schedule")))</f>
        <v/>
      </c>
      <c r="J176" s="49" t="str">
        <f aca="true">IF(OR(A176="",C176=""),"",IF(E176&lt;&gt;"",IF(E176&lt;=C176,"Green","Red"),IF(TODAY()&gt;C176,"Red",IF(C176-TODAY()&lt;=Config!$B$30,"Amber","Green"))))</f>
        <v/>
      </c>
      <c r="K176" s="46"/>
    </row>
    <row r="177" customFormat="false" ht="15" hidden="false" customHeight="false" outlineLevel="0" collapsed="false">
      <c r="A177" s="46"/>
      <c r="B177" s="46"/>
      <c r="C177" s="40"/>
      <c r="D177" s="40"/>
      <c r="E177" s="40"/>
      <c r="F177" s="27"/>
      <c r="G177" s="45"/>
      <c r="H177" s="48" t="str">
        <f aca="true">IF(OR(A177="",C177=""),"",IF(E177&lt;&gt;"",MAX(0,E177-C177),MAX(0,TODAY()-C177)))</f>
        <v/>
      </c>
      <c r="I177" s="49" t="str">
        <f aca="true">IF(OR(A177="",C177=""),"",IF(E177&lt;&gt;"",IF(E177&lt;=C177,"Completed","Completed Late"),IF(TODAY()&gt;C177,"Overdue","On Schedule")))</f>
        <v/>
      </c>
      <c r="J177" s="49" t="str">
        <f aca="true">IF(OR(A177="",C177=""),"",IF(E177&lt;&gt;"",IF(E177&lt;=C177,"Green","Red"),IF(TODAY()&gt;C177,"Red",IF(C177-TODAY()&lt;=Config!$B$30,"Amber","Green"))))</f>
        <v/>
      </c>
      <c r="K177" s="46"/>
    </row>
    <row r="178" customFormat="false" ht="15" hidden="false" customHeight="false" outlineLevel="0" collapsed="false">
      <c r="A178" s="46"/>
      <c r="B178" s="46"/>
      <c r="C178" s="40"/>
      <c r="D178" s="40"/>
      <c r="E178" s="40"/>
      <c r="F178" s="27"/>
      <c r="G178" s="45"/>
      <c r="H178" s="48" t="str">
        <f aca="true">IF(OR(A178="",C178=""),"",IF(E178&lt;&gt;"",MAX(0,E178-C178),MAX(0,TODAY()-C178)))</f>
        <v/>
      </c>
      <c r="I178" s="49" t="str">
        <f aca="true">IF(OR(A178="",C178=""),"",IF(E178&lt;&gt;"",IF(E178&lt;=C178,"Completed","Completed Late"),IF(TODAY()&gt;C178,"Overdue","On Schedule")))</f>
        <v/>
      </c>
      <c r="J178" s="49" t="str">
        <f aca="true">IF(OR(A178="",C178=""),"",IF(E178&lt;&gt;"",IF(E178&lt;=C178,"Green","Red"),IF(TODAY()&gt;C178,"Red",IF(C178-TODAY()&lt;=Config!$B$30,"Amber","Green"))))</f>
        <v/>
      </c>
      <c r="K178" s="46"/>
    </row>
    <row r="179" customFormat="false" ht="15" hidden="false" customHeight="false" outlineLevel="0" collapsed="false">
      <c r="A179" s="46"/>
      <c r="B179" s="46"/>
      <c r="C179" s="40"/>
      <c r="D179" s="40"/>
      <c r="E179" s="40"/>
      <c r="F179" s="27"/>
      <c r="G179" s="45"/>
      <c r="H179" s="48" t="str">
        <f aca="true">IF(OR(A179="",C179=""),"",IF(E179&lt;&gt;"",MAX(0,E179-C179),MAX(0,TODAY()-C179)))</f>
        <v/>
      </c>
      <c r="I179" s="49" t="str">
        <f aca="true">IF(OR(A179="",C179=""),"",IF(E179&lt;&gt;"",IF(E179&lt;=C179,"Completed","Completed Late"),IF(TODAY()&gt;C179,"Overdue","On Schedule")))</f>
        <v/>
      </c>
      <c r="J179" s="49" t="str">
        <f aca="true">IF(OR(A179="",C179=""),"",IF(E179&lt;&gt;"",IF(E179&lt;=C179,"Green","Red"),IF(TODAY()&gt;C179,"Red",IF(C179-TODAY()&lt;=Config!$B$30,"Amber","Green"))))</f>
        <v/>
      </c>
      <c r="K179" s="46"/>
    </row>
    <row r="180" customFormat="false" ht="15" hidden="false" customHeight="false" outlineLevel="0" collapsed="false">
      <c r="A180" s="46"/>
      <c r="B180" s="46"/>
      <c r="C180" s="40"/>
      <c r="D180" s="40"/>
      <c r="E180" s="40"/>
      <c r="F180" s="27"/>
      <c r="G180" s="45"/>
      <c r="H180" s="48" t="str">
        <f aca="true">IF(OR(A180="",C180=""),"",IF(E180&lt;&gt;"",MAX(0,E180-C180),MAX(0,TODAY()-C180)))</f>
        <v/>
      </c>
      <c r="I180" s="49" t="str">
        <f aca="true">IF(OR(A180="",C180=""),"",IF(E180&lt;&gt;"",IF(E180&lt;=C180,"Completed","Completed Late"),IF(TODAY()&gt;C180,"Overdue","On Schedule")))</f>
        <v/>
      </c>
      <c r="J180" s="49" t="str">
        <f aca="true">IF(OR(A180="",C180=""),"",IF(E180&lt;&gt;"",IF(E180&lt;=C180,"Green","Red"),IF(TODAY()&gt;C180,"Red",IF(C180-TODAY()&lt;=Config!$B$30,"Amber","Green"))))</f>
        <v/>
      </c>
      <c r="K180" s="46"/>
    </row>
    <row r="181" customFormat="false" ht="15" hidden="false" customHeight="false" outlineLevel="0" collapsed="false">
      <c r="A181" s="46"/>
      <c r="B181" s="46"/>
      <c r="C181" s="40"/>
      <c r="D181" s="40"/>
      <c r="E181" s="40"/>
      <c r="F181" s="27"/>
      <c r="G181" s="45"/>
      <c r="H181" s="48" t="str">
        <f aca="true">IF(OR(A181="",C181=""),"",IF(E181&lt;&gt;"",MAX(0,E181-C181),MAX(0,TODAY()-C181)))</f>
        <v/>
      </c>
      <c r="I181" s="49" t="str">
        <f aca="true">IF(OR(A181="",C181=""),"",IF(E181&lt;&gt;"",IF(E181&lt;=C181,"Completed","Completed Late"),IF(TODAY()&gt;C181,"Overdue","On Schedule")))</f>
        <v/>
      </c>
      <c r="J181" s="49" t="str">
        <f aca="true">IF(OR(A181="",C181=""),"",IF(E181&lt;&gt;"",IF(E181&lt;=C181,"Green","Red"),IF(TODAY()&gt;C181,"Red",IF(C181-TODAY()&lt;=Config!$B$30,"Amber","Green"))))</f>
        <v/>
      </c>
      <c r="K181" s="46"/>
    </row>
    <row r="182" customFormat="false" ht="15" hidden="false" customHeight="false" outlineLevel="0" collapsed="false">
      <c r="A182" s="46"/>
      <c r="B182" s="46"/>
      <c r="C182" s="40"/>
      <c r="D182" s="40"/>
      <c r="E182" s="40"/>
      <c r="F182" s="27"/>
      <c r="G182" s="45"/>
      <c r="H182" s="48" t="str">
        <f aca="true">IF(OR(A182="",C182=""),"",IF(E182&lt;&gt;"",MAX(0,E182-C182),MAX(0,TODAY()-C182)))</f>
        <v/>
      </c>
      <c r="I182" s="49" t="str">
        <f aca="true">IF(OR(A182="",C182=""),"",IF(E182&lt;&gt;"",IF(E182&lt;=C182,"Completed","Completed Late"),IF(TODAY()&gt;C182,"Overdue","On Schedule")))</f>
        <v/>
      </c>
      <c r="J182" s="49" t="str">
        <f aca="true">IF(OR(A182="",C182=""),"",IF(E182&lt;&gt;"",IF(E182&lt;=C182,"Green","Red"),IF(TODAY()&gt;C182,"Red",IF(C182-TODAY()&lt;=Config!$B$30,"Amber","Green"))))</f>
        <v/>
      </c>
      <c r="K182" s="46"/>
    </row>
    <row r="183" customFormat="false" ht="15" hidden="false" customHeight="false" outlineLevel="0" collapsed="false">
      <c r="A183" s="46"/>
      <c r="B183" s="46"/>
      <c r="C183" s="40"/>
      <c r="D183" s="40"/>
      <c r="E183" s="40"/>
      <c r="F183" s="27"/>
      <c r="G183" s="45"/>
      <c r="H183" s="48" t="str">
        <f aca="true">IF(OR(A183="",C183=""),"",IF(E183&lt;&gt;"",MAX(0,E183-C183),MAX(0,TODAY()-C183)))</f>
        <v/>
      </c>
      <c r="I183" s="49" t="str">
        <f aca="true">IF(OR(A183="",C183=""),"",IF(E183&lt;&gt;"",IF(E183&lt;=C183,"Completed","Completed Late"),IF(TODAY()&gt;C183,"Overdue","On Schedule")))</f>
        <v/>
      </c>
      <c r="J183" s="49" t="str">
        <f aca="true">IF(OR(A183="",C183=""),"",IF(E183&lt;&gt;"",IF(E183&lt;=C183,"Green","Red"),IF(TODAY()&gt;C183,"Red",IF(C183-TODAY()&lt;=Config!$B$30,"Amber","Green"))))</f>
        <v/>
      </c>
      <c r="K183" s="46"/>
    </row>
    <row r="184" customFormat="false" ht="15" hidden="false" customHeight="false" outlineLevel="0" collapsed="false">
      <c r="A184" s="46"/>
      <c r="B184" s="46"/>
      <c r="C184" s="40"/>
      <c r="D184" s="40"/>
      <c r="E184" s="40"/>
      <c r="F184" s="27"/>
      <c r="G184" s="45"/>
      <c r="H184" s="48" t="str">
        <f aca="true">IF(OR(A184="",C184=""),"",IF(E184&lt;&gt;"",MAX(0,E184-C184),MAX(0,TODAY()-C184)))</f>
        <v/>
      </c>
      <c r="I184" s="49" t="str">
        <f aca="true">IF(OR(A184="",C184=""),"",IF(E184&lt;&gt;"",IF(E184&lt;=C184,"Completed","Completed Late"),IF(TODAY()&gt;C184,"Overdue","On Schedule")))</f>
        <v/>
      </c>
      <c r="J184" s="49" t="str">
        <f aca="true">IF(OR(A184="",C184=""),"",IF(E184&lt;&gt;"",IF(E184&lt;=C184,"Green","Red"),IF(TODAY()&gt;C184,"Red",IF(C184-TODAY()&lt;=Config!$B$30,"Amber","Green"))))</f>
        <v/>
      </c>
      <c r="K184" s="46"/>
    </row>
    <row r="185" customFormat="false" ht="15" hidden="false" customHeight="false" outlineLevel="0" collapsed="false">
      <c r="A185" s="46"/>
      <c r="B185" s="46"/>
      <c r="C185" s="40"/>
      <c r="D185" s="40"/>
      <c r="E185" s="40"/>
      <c r="F185" s="27"/>
      <c r="G185" s="45"/>
      <c r="H185" s="48" t="str">
        <f aca="true">IF(OR(A185="",C185=""),"",IF(E185&lt;&gt;"",MAX(0,E185-C185),MAX(0,TODAY()-C185)))</f>
        <v/>
      </c>
      <c r="I185" s="49" t="str">
        <f aca="true">IF(OR(A185="",C185=""),"",IF(E185&lt;&gt;"",IF(E185&lt;=C185,"Completed","Completed Late"),IF(TODAY()&gt;C185,"Overdue","On Schedule")))</f>
        <v/>
      </c>
      <c r="J185" s="49" t="str">
        <f aca="true">IF(OR(A185="",C185=""),"",IF(E185&lt;&gt;"",IF(E185&lt;=C185,"Green","Red"),IF(TODAY()&gt;C185,"Red",IF(C185-TODAY()&lt;=Config!$B$30,"Amber","Green"))))</f>
        <v/>
      </c>
      <c r="K185" s="46"/>
    </row>
    <row r="186" customFormat="false" ht="15" hidden="false" customHeight="false" outlineLevel="0" collapsed="false">
      <c r="A186" s="46"/>
      <c r="B186" s="46"/>
      <c r="C186" s="40"/>
      <c r="D186" s="40"/>
      <c r="E186" s="40"/>
      <c r="F186" s="27"/>
      <c r="G186" s="45"/>
      <c r="H186" s="48" t="str">
        <f aca="true">IF(OR(A186="",C186=""),"",IF(E186&lt;&gt;"",MAX(0,E186-C186),MAX(0,TODAY()-C186)))</f>
        <v/>
      </c>
      <c r="I186" s="49" t="str">
        <f aca="true">IF(OR(A186="",C186=""),"",IF(E186&lt;&gt;"",IF(E186&lt;=C186,"Completed","Completed Late"),IF(TODAY()&gt;C186,"Overdue","On Schedule")))</f>
        <v/>
      </c>
      <c r="J186" s="49" t="str">
        <f aca="true">IF(OR(A186="",C186=""),"",IF(E186&lt;&gt;"",IF(E186&lt;=C186,"Green","Red"),IF(TODAY()&gt;C186,"Red",IF(C186-TODAY()&lt;=Config!$B$30,"Amber","Green"))))</f>
        <v/>
      </c>
      <c r="K186" s="46"/>
    </row>
    <row r="187" customFormat="false" ht="15" hidden="false" customHeight="false" outlineLevel="0" collapsed="false">
      <c r="A187" s="46"/>
      <c r="B187" s="46"/>
      <c r="C187" s="40"/>
      <c r="D187" s="40"/>
      <c r="E187" s="40"/>
      <c r="F187" s="27"/>
      <c r="G187" s="45"/>
      <c r="H187" s="48" t="str">
        <f aca="true">IF(OR(A187="",C187=""),"",IF(E187&lt;&gt;"",MAX(0,E187-C187),MAX(0,TODAY()-C187)))</f>
        <v/>
      </c>
      <c r="I187" s="49" t="str">
        <f aca="true">IF(OR(A187="",C187=""),"",IF(E187&lt;&gt;"",IF(E187&lt;=C187,"Completed","Completed Late"),IF(TODAY()&gt;C187,"Overdue","On Schedule")))</f>
        <v/>
      </c>
      <c r="J187" s="49" t="str">
        <f aca="true">IF(OR(A187="",C187=""),"",IF(E187&lt;&gt;"",IF(E187&lt;=C187,"Green","Red"),IF(TODAY()&gt;C187,"Red",IF(C187-TODAY()&lt;=Config!$B$30,"Amber","Green"))))</f>
        <v/>
      </c>
      <c r="K187" s="46"/>
    </row>
    <row r="188" customFormat="false" ht="15" hidden="false" customHeight="false" outlineLevel="0" collapsed="false">
      <c r="A188" s="46"/>
      <c r="B188" s="46"/>
      <c r="C188" s="40"/>
      <c r="D188" s="40"/>
      <c r="E188" s="40"/>
      <c r="F188" s="27"/>
      <c r="G188" s="45"/>
      <c r="H188" s="48" t="str">
        <f aca="true">IF(OR(A188="",C188=""),"",IF(E188&lt;&gt;"",MAX(0,E188-C188),MAX(0,TODAY()-C188)))</f>
        <v/>
      </c>
      <c r="I188" s="49" t="str">
        <f aca="true">IF(OR(A188="",C188=""),"",IF(E188&lt;&gt;"",IF(E188&lt;=C188,"Completed","Completed Late"),IF(TODAY()&gt;C188,"Overdue","On Schedule")))</f>
        <v/>
      </c>
      <c r="J188" s="49" t="str">
        <f aca="true">IF(OR(A188="",C188=""),"",IF(E188&lt;&gt;"",IF(E188&lt;=C188,"Green","Red"),IF(TODAY()&gt;C188,"Red",IF(C188-TODAY()&lt;=Config!$B$30,"Amber","Green"))))</f>
        <v/>
      </c>
      <c r="K188" s="46"/>
    </row>
    <row r="189" customFormat="false" ht="15" hidden="false" customHeight="false" outlineLevel="0" collapsed="false">
      <c r="A189" s="46"/>
      <c r="B189" s="46"/>
      <c r="C189" s="40"/>
      <c r="D189" s="40"/>
      <c r="E189" s="40"/>
      <c r="F189" s="27"/>
      <c r="G189" s="45"/>
      <c r="H189" s="48" t="str">
        <f aca="true">IF(OR(A189="",C189=""),"",IF(E189&lt;&gt;"",MAX(0,E189-C189),MAX(0,TODAY()-C189)))</f>
        <v/>
      </c>
      <c r="I189" s="49" t="str">
        <f aca="true">IF(OR(A189="",C189=""),"",IF(E189&lt;&gt;"",IF(E189&lt;=C189,"Completed","Completed Late"),IF(TODAY()&gt;C189,"Overdue","On Schedule")))</f>
        <v/>
      </c>
      <c r="J189" s="49" t="str">
        <f aca="true">IF(OR(A189="",C189=""),"",IF(E189&lt;&gt;"",IF(E189&lt;=C189,"Green","Red"),IF(TODAY()&gt;C189,"Red",IF(C189-TODAY()&lt;=Config!$B$30,"Amber","Green"))))</f>
        <v/>
      </c>
      <c r="K189" s="46"/>
    </row>
    <row r="190" customFormat="false" ht="15" hidden="false" customHeight="false" outlineLevel="0" collapsed="false">
      <c r="A190" s="46"/>
      <c r="B190" s="46"/>
      <c r="C190" s="40"/>
      <c r="D190" s="40"/>
      <c r="E190" s="40"/>
      <c r="F190" s="27"/>
      <c r="G190" s="45"/>
      <c r="H190" s="48" t="str">
        <f aca="true">IF(OR(A190="",C190=""),"",IF(E190&lt;&gt;"",MAX(0,E190-C190),MAX(0,TODAY()-C190)))</f>
        <v/>
      </c>
      <c r="I190" s="49" t="str">
        <f aca="true">IF(OR(A190="",C190=""),"",IF(E190&lt;&gt;"",IF(E190&lt;=C190,"Completed","Completed Late"),IF(TODAY()&gt;C190,"Overdue","On Schedule")))</f>
        <v/>
      </c>
      <c r="J190" s="49" t="str">
        <f aca="true">IF(OR(A190="",C190=""),"",IF(E190&lt;&gt;"",IF(E190&lt;=C190,"Green","Red"),IF(TODAY()&gt;C190,"Red",IF(C190-TODAY()&lt;=Config!$B$30,"Amber","Green"))))</f>
        <v/>
      </c>
      <c r="K190" s="46"/>
    </row>
    <row r="191" customFormat="false" ht="15" hidden="false" customHeight="false" outlineLevel="0" collapsed="false">
      <c r="A191" s="46"/>
      <c r="B191" s="46"/>
      <c r="C191" s="40"/>
      <c r="D191" s="40"/>
      <c r="E191" s="40"/>
      <c r="F191" s="27"/>
      <c r="G191" s="45"/>
      <c r="H191" s="48" t="str">
        <f aca="true">IF(OR(A191="",C191=""),"",IF(E191&lt;&gt;"",MAX(0,E191-C191),MAX(0,TODAY()-C191)))</f>
        <v/>
      </c>
      <c r="I191" s="49" t="str">
        <f aca="true">IF(OR(A191="",C191=""),"",IF(E191&lt;&gt;"",IF(E191&lt;=C191,"Completed","Completed Late"),IF(TODAY()&gt;C191,"Overdue","On Schedule")))</f>
        <v/>
      </c>
      <c r="J191" s="49" t="str">
        <f aca="true">IF(OR(A191="",C191=""),"",IF(E191&lt;&gt;"",IF(E191&lt;=C191,"Green","Red"),IF(TODAY()&gt;C191,"Red",IF(C191-TODAY()&lt;=Config!$B$30,"Amber","Green"))))</f>
        <v/>
      </c>
      <c r="K191" s="46"/>
    </row>
    <row r="192" customFormat="false" ht="15" hidden="false" customHeight="false" outlineLevel="0" collapsed="false">
      <c r="A192" s="46"/>
      <c r="B192" s="46"/>
      <c r="C192" s="40"/>
      <c r="D192" s="40"/>
      <c r="E192" s="40"/>
      <c r="F192" s="27"/>
      <c r="G192" s="45"/>
      <c r="H192" s="48" t="str">
        <f aca="true">IF(OR(A192="",C192=""),"",IF(E192&lt;&gt;"",MAX(0,E192-C192),MAX(0,TODAY()-C192)))</f>
        <v/>
      </c>
      <c r="I192" s="49" t="str">
        <f aca="true">IF(OR(A192="",C192=""),"",IF(E192&lt;&gt;"",IF(E192&lt;=C192,"Completed","Completed Late"),IF(TODAY()&gt;C192,"Overdue","On Schedule")))</f>
        <v/>
      </c>
      <c r="J192" s="49" t="str">
        <f aca="true">IF(OR(A192="",C192=""),"",IF(E192&lt;&gt;"",IF(E192&lt;=C192,"Green","Red"),IF(TODAY()&gt;C192,"Red",IF(C192-TODAY()&lt;=Config!$B$30,"Amber","Green"))))</f>
        <v/>
      </c>
      <c r="K192" s="46"/>
    </row>
    <row r="193" customFormat="false" ht="15" hidden="false" customHeight="false" outlineLevel="0" collapsed="false">
      <c r="A193" s="46"/>
      <c r="B193" s="46"/>
      <c r="C193" s="40"/>
      <c r="D193" s="40"/>
      <c r="E193" s="40"/>
      <c r="F193" s="27"/>
      <c r="G193" s="45"/>
      <c r="H193" s="48" t="str">
        <f aca="true">IF(OR(A193="",C193=""),"",IF(E193&lt;&gt;"",MAX(0,E193-C193),MAX(0,TODAY()-C193)))</f>
        <v/>
      </c>
      <c r="I193" s="49" t="str">
        <f aca="true">IF(OR(A193="",C193=""),"",IF(E193&lt;&gt;"",IF(E193&lt;=C193,"Completed","Completed Late"),IF(TODAY()&gt;C193,"Overdue","On Schedule")))</f>
        <v/>
      </c>
      <c r="J193" s="49" t="str">
        <f aca="true">IF(OR(A193="",C193=""),"",IF(E193&lt;&gt;"",IF(E193&lt;=C193,"Green","Red"),IF(TODAY()&gt;C193,"Red",IF(C193-TODAY()&lt;=Config!$B$30,"Amber","Green"))))</f>
        <v/>
      </c>
      <c r="K193" s="46"/>
    </row>
    <row r="194" customFormat="false" ht="15" hidden="false" customHeight="false" outlineLevel="0" collapsed="false">
      <c r="A194" s="46"/>
      <c r="B194" s="46"/>
      <c r="C194" s="40"/>
      <c r="D194" s="40"/>
      <c r="E194" s="40"/>
      <c r="F194" s="27"/>
      <c r="G194" s="45"/>
      <c r="H194" s="48" t="str">
        <f aca="true">IF(OR(A194="",C194=""),"",IF(E194&lt;&gt;"",MAX(0,E194-C194),MAX(0,TODAY()-C194)))</f>
        <v/>
      </c>
      <c r="I194" s="49" t="str">
        <f aca="true">IF(OR(A194="",C194=""),"",IF(E194&lt;&gt;"",IF(E194&lt;=C194,"Completed","Completed Late"),IF(TODAY()&gt;C194,"Overdue","On Schedule")))</f>
        <v/>
      </c>
      <c r="J194" s="49" t="str">
        <f aca="true">IF(OR(A194="",C194=""),"",IF(E194&lt;&gt;"",IF(E194&lt;=C194,"Green","Red"),IF(TODAY()&gt;C194,"Red",IF(C194-TODAY()&lt;=Config!$B$30,"Amber","Green"))))</f>
        <v/>
      </c>
      <c r="K194" s="46"/>
    </row>
    <row r="195" customFormat="false" ht="15" hidden="false" customHeight="false" outlineLevel="0" collapsed="false">
      <c r="A195" s="46"/>
      <c r="B195" s="46"/>
      <c r="C195" s="40"/>
      <c r="D195" s="40"/>
      <c r="E195" s="40"/>
      <c r="F195" s="27"/>
      <c r="G195" s="45"/>
      <c r="H195" s="48" t="str">
        <f aca="true">IF(OR(A195="",C195=""),"",IF(E195&lt;&gt;"",MAX(0,E195-C195),MAX(0,TODAY()-C195)))</f>
        <v/>
      </c>
      <c r="I195" s="49" t="str">
        <f aca="true">IF(OR(A195="",C195=""),"",IF(E195&lt;&gt;"",IF(E195&lt;=C195,"Completed","Completed Late"),IF(TODAY()&gt;C195,"Overdue","On Schedule")))</f>
        <v/>
      </c>
      <c r="J195" s="49" t="str">
        <f aca="true">IF(OR(A195="",C195=""),"",IF(E195&lt;&gt;"",IF(E195&lt;=C195,"Green","Red"),IF(TODAY()&gt;C195,"Red",IF(C195-TODAY()&lt;=Config!$B$30,"Amber","Green"))))</f>
        <v/>
      </c>
      <c r="K195" s="46"/>
    </row>
    <row r="196" customFormat="false" ht="15" hidden="false" customHeight="false" outlineLevel="0" collapsed="false">
      <c r="A196" s="46"/>
      <c r="B196" s="46"/>
      <c r="C196" s="40"/>
      <c r="D196" s="40"/>
      <c r="E196" s="40"/>
      <c r="F196" s="27"/>
      <c r="G196" s="45"/>
      <c r="H196" s="48" t="str">
        <f aca="true">IF(OR(A196="",C196=""),"",IF(E196&lt;&gt;"",MAX(0,E196-C196),MAX(0,TODAY()-C196)))</f>
        <v/>
      </c>
      <c r="I196" s="49" t="str">
        <f aca="true">IF(OR(A196="",C196=""),"",IF(E196&lt;&gt;"",IF(E196&lt;=C196,"Completed","Completed Late"),IF(TODAY()&gt;C196,"Overdue","On Schedule")))</f>
        <v/>
      </c>
      <c r="J196" s="49" t="str">
        <f aca="true">IF(OR(A196="",C196=""),"",IF(E196&lt;&gt;"",IF(E196&lt;=C196,"Green","Red"),IF(TODAY()&gt;C196,"Red",IF(C196-TODAY()&lt;=Config!$B$30,"Amber","Green"))))</f>
        <v/>
      </c>
      <c r="K196" s="46"/>
    </row>
    <row r="197" customFormat="false" ht="15" hidden="false" customHeight="false" outlineLevel="0" collapsed="false">
      <c r="A197" s="46"/>
      <c r="B197" s="46"/>
      <c r="C197" s="40"/>
      <c r="D197" s="40"/>
      <c r="E197" s="40"/>
      <c r="F197" s="27"/>
      <c r="G197" s="45"/>
      <c r="H197" s="48" t="str">
        <f aca="true">IF(OR(A197="",C197=""),"",IF(E197&lt;&gt;"",MAX(0,E197-C197),MAX(0,TODAY()-C197)))</f>
        <v/>
      </c>
      <c r="I197" s="49" t="str">
        <f aca="true">IF(OR(A197="",C197=""),"",IF(E197&lt;&gt;"",IF(E197&lt;=C197,"Completed","Completed Late"),IF(TODAY()&gt;C197,"Overdue","On Schedule")))</f>
        <v/>
      </c>
      <c r="J197" s="49" t="str">
        <f aca="true">IF(OR(A197="",C197=""),"",IF(E197&lt;&gt;"",IF(E197&lt;=C197,"Green","Red"),IF(TODAY()&gt;C197,"Red",IF(C197-TODAY()&lt;=Config!$B$30,"Amber","Green"))))</f>
        <v/>
      </c>
      <c r="K197" s="46"/>
    </row>
    <row r="198" customFormat="false" ht="15" hidden="false" customHeight="false" outlineLevel="0" collapsed="false">
      <c r="A198" s="46"/>
      <c r="B198" s="46"/>
      <c r="C198" s="40"/>
      <c r="D198" s="40"/>
      <c r="E198" s="40"/>
      <c r="F198" s="27"/>
      <c r="G198" s="45"/>
      <c r="H198" s="48" t="str">
        <f aca="true">IF(OR(A198="",C198=""),"",IF(E198&lt;&gt;"",MAX(0,E198-C198),MAX(0,TODAY()-C198)))</f>
        <v/>
      </c>
      <c r="I198" s="49" t="str">
        <f aca="true">IF(OR(A198="",C198=""),"",IF(E198&lt;&gt;"",IF(E198&lt;=C198,"Completed","Completed Late"),IF(TODAY()&gt;C198,"Overdue","On Schedule")))</f>
        <v/>
      </c>
      <c r="J198" s="49" t="str">
        <f aca="true">IF(OR(A198="",C198=""),"",IF(E198&lt;&gt;"",IF(E198&lt;=C198,"Green","Red"),IF(TODAY()&gt;C198,"Red",IF(C198-TODAY()&lt;=Config!$B$30,"Amber","Green"))))</f>
        <v/>
      </c>
      <c r="K198" s="46"/>
    </row>
    <row r="199" customFormat="false" ht="15" hidden="false" customHeight="false" outlineLevel="0" collapsed="false">
      <c r="A199" s="46"/>
      <c r="B199" s="46"/>
      <c r="C199" s="40"/>
      <c r="D199" s="40"/>
      <c r="E199" s="40"/>
      <c r="F199" s="27"/>
      <c r="G199" s="45"/>
      <c r="H199" s="48" t="str">
        <f aca="true">IF(OR(A199="",C199=""),"",IF(E199&lt;&gt;"",MAX(0,E199-C199),MAX(0,TODAY()-C199)))</f>
        <v/>
      </c>
      <c r="I199" s="49" t="str">
        <f aca="true">IF(OR(A199="",C199=""),"",IF(E199&lt;&gt;"",IF(E199&lt;=C199,"Completed","Completed Late"),IF(TODAY()&gt;C199,"Overdue","On Schedule")))</f>
        <v/>
      </c>
      <c r="J199" s="49" t="str">
        <f aca="true">IF(OR(A199="",C199=""),"",IF(E199&lt;&gt;"",IF(E199&lt;=C199,"Green","Red"),IF(TODAY()&gt;C199,"Red",IF(C199-TODAY()&lt;=Config!$B$30,"Amber","Green"))))</f>
        <v/>
      </c>
      <c r="K199" s="46"/>
    </row>
    <row r="200" customFormat="false" ht="15" hidden="false" customHeight="false" outlineLevel="0" collapsed="false">
      <c r="A200" s="46"/>
      <c r="B200" s="46"/>
      <c r="C200" s="40"/>
      <c r="D200" s="40"/>
      <c r="E200" s="40"/>
      <c r="F200" s="27"/>
      <c r="G200" s="45"/>
      <c r="H200" s="48" t="str">
        <f aca="true">IF(OR(A200="",C200=""),"",IF(E200&lt;&gt;"",MAX(0,E200-C200),MAX(0,TODAY()-C200)))</f>
        <v/>
      </c>
      <c r="I200" s="49" t="str">
        <f aca="true">IF(OR(A200="",C200=""),"",IF(E200&lt;&gt;"",IF(E200&lt;=C200,"Completed","Completed Late"),IF(TODAY()&gt;C200,"Overdue","On Schedule")))</f>
        <v/>
      </c>
      <c r="J200" s="49" t="str">
        <f aca="true">IF(OR(A200="",C200=""),"",IF(E200&lt;&gt;"",IF(E200&lt;=C200,"Green","Red"),IF(TODAY()&gt;C200,"Red",IF(C200-TODAY()&lt;=Config!$B$30,"Amber","Green"))))</f>
        <v/>
      </c>
      <c r="K200" s="46"/>
    </row>
    <row r="201" customFormat="false" ht="15" hidden="false" customHeight="false" outlineLevel="0" collapsed="false">
      <c r="A201" s="46"/>
      <c r="B201" s="46"/>
      <c r="C201" s="40"/>
      <c r="D201" s="40"/>
      <c r="E201" s="40"/>
      <c r="F201" s="27"/>
      <c r="G201" s="45"/>
      <c r="H201" s="48" t="str">
        <f aca="true">IF(OR(A201="",C201=""),"",IF(E201&lt;&gt;"",MAX(0,E201-C201),MAX(0,TODAY()-C201)))</f>
        <v/>
      </c>
      <c r="I201" s="49" t="str">
        <f aca="true">IF(OR(A201="",C201=""),"",IF(E201&lt;&gt;"",IF(E201&lt;=C201,"Completed","Completed Late"),IF(TODAY()&gt;C201,"Overdue","On Schedule")))</f>
        <v/>
      </c>
      <c r="J201" s="49" t="str">
        <f aca="true">IF(OR(A201="",C201=""),"",IF(E201&lt;&gt;"",IF(E201&lt;=C201,"Green","Red"),IF(TODAY()&gt;C201,"Red",IF(C201-TODAY()&lt;=Config!$B$30,"Amber","Green"))))</f>
        <v/>
      </c>
      <c r="K201" s="46"/>
    </row>
    <row r="202" customFormat="false" ht="15" hidden="false" customHeight="false" outlineLevel="0" collapsed="false">
      <c r="A202" s="46"/>
      <c r="B202" s="46"/>
      <c r="C202" s="40"/>
      <c r="D202" s="40"/>
      <c r="E202" s="40"/>
      <c r="F202" s="27"/>
      <c r="G202" s="45"/>
      <c r="H202" s="48" t="str">
        <f aca="true">IF(OR(A202="",C202=""),"",IF(E202&lt;&gt;"",MAX(0,E202-C202),MAX(0,TODAY()-C202)))</f>
        <v/>
      </c>
      <c r="I202" s="49" t="str">
        <f aca="true">IF(OR(A202="",C202=""),"",IF(E202&lt;&gt;"",IF(E202&lt;=C202,"Completed","Completed Late"),IF(TODAY()&gt;C202,"Overdue","On Schedule")))</f>
        <v/>
      </c>
      <c r="J202" s="49" t="str">
        <f aca="true">IF(OR(A202="",C202=""),"",IF(E202&lt;&gt;"",IF(E202&lt;=C202,"Green","Red"),IF(TODAY()&gt;C202,"Red",IF(C202-TODAY()&lt;=Config!$B$30,"Amber","Green"))))</f>
        <v/>
      </c>
      <c r="K202" s="46"/>
    </row>
    <row r="203" customFormat="false" ht="15" hidden="false" customHeight="false" outlineLevel="0" collapsed="false">
      <c r="A203" s="46"/>
      <c r="B203" s="46"/>
      <c r="C203" s="40"/>
      <c r="D203" s="40"/>
      <c r="E203" s="40"/>
      <c r="F203" s="27"/>
      <c r="G203" s="45"/>
      <c r="H203" s="48" t="str">
        <f aca="true">IF(OR(A203="",C203=""),"",IF(E203&lt;&gt;"",MAX(0,E203-C203),MAX(0,TODAY()-C203)))</f>
        <v/>
      </c>
      <c r="I203" s="49" t="str">
        <f aca="true">IF(OR(A203="",C203=""),"",IF(E203&lt;&gt;"",IF(E203&lt;=C203,"Completed","Completed Late"),IF(TODAY()&gt;C203,"Overdue","On Schedule")))</f>
        <v/>
      </c>
      <c r="J203" s="49" t="str">
        <f aca="true">IF(OR(A203="",C203=""),"",IF(E203&lt;&gt;"",IF(E203&lt;=C203,"Green","Red"),IF(TODAY()&gt;C203,"Red",IF(C203-TODAY()&lt;=Config!$B$30,"Amber","Green"))))</f>
        <v/>
      </c>
      <c r="K203" s="46"/>
    </row>
    <row r="204" customFormat="false" ht="15" hidden="false" customHeight="false" outlineLevel="0" collapsed="false">
      <c r="A204" s="46"/>
      <c r="B204" s="46"/>
      <c r="C204" s="40"/>
      <c r="D204" s="40"/>
      <c r="E204" s="40"/>
      <c r="F204" s="27"/>
      <c r="G204" s="45"/>
      <c r="H204" s="48" t="str">
        <f aca="true">IF(OR(A204="",C204=""),"",IF(E204&lt;&gt;"",MAX(0,E204-C204),MAX(0,TODAY()-C204)))</f>
        <v/>
      </c>
      <c r="I204" s="49" t="str">
        <f aca="true">IF(OR(A204="",C204=""),"",IF(E204&lt;&gt;"",IF(E204&lt;=C204,"Completed","Completed Late"),IF(TODAY()&gt;C204,"Overdue","On Schedule")))</f>
        <v/>
      </c>
      <c r="J204" s="49" t="str">
        <f aca="true">IF(OR(A204="",C204=""),"",IF(E204&lt;&gt;"",IF(E204&lt;=C204,"Green","Red"),IF(TODAY()&gt;C204,"Red",IF(C204-TODAY()&lt;=Config!$B$30,"Amber","Green"))))</f>
        <v/>
      </c>
      <c r="K204" s="46"/>
    </row>
    <row r="205" customFormat="false" ht="15" hidden="false" customHeight="false" outlineLevel="0" collapsed="false">
      <c r="A205" s="46"/>
      <c r="B205" s="46"/>
      <c r="C205" s="40"/>
      <c r="D205" s="40"/>
      <c r="E205" s="40"/>
      <c r="F205" s="27"/>
      <c r="G205" s="45"/>
      <c r="H205" s="48" t="str">
        <f aca="true">IF(OR(A205="",C205=""),"",IF(E205&lt;&gt;"",MAX(0,E205-C205),MAX(0,TODAY()-C205)))</f>
        <v/>
      </c>
      <c r="I205" s="49" t="str">
        <f aca="true">IF(OR(A205="",C205=""),"",IF(E205&lt;&gt;"",IF(E205&lt;=C205,"Completed","Completed Late"),IF(TODAY()&gt;C205,"Overdue","On Schedule")))</f>
        <v/>
      </c>
      <c r="J205" s="49" t="str">
        <f aca="true">IF(OR(A205="",C205=""),"",IF(E205&lt;&gt;"",IF(E205&lt;=C205,"Green","Red"),IF(TODAY()&gt;C205,"Red",IF(C205-TODAY()&lt;=Config!$B$30,"Amber","Green"))))</f>
        <v/>
      </c>
      <c r="K205" s="46"/>
    </row>
    <row r="206" customFormat="false" ht="15" hidden="false" customHeight="false" outlineLevel="0" collapsed="false">
      <c r="A206" s="46"/>
      <c r="B206" s="46"/>
      <c r="C206" s="40"/>
      <c r="D206" s="40"/>
      <c r="E206" s="40"/>
      <c r="F206" s="27"/>
      <c r="G206" s="45"/>
      <c r="H206" s="48" t="str">
        <f aca="true">IF(OR(A206="",C206=""),"",IF(E206&lt;&gt;"",MAX(0,E206-C206),MAX(0,TODAY()-C206)))</f>
        <v/>
      </c>
      <c r="I206" s="49" t="str">
        <f aca="true">IF(OR(A206="",C206=""),"",IF(E206&lt;&gt;"",IF(E206&lt;=C206,"Completed","Completed Late"),IF(TODAY()&gt;C206,"Overdue","On Schedule")))</f>
        <v/>
      </c>
      <c r="J206" s="49" t="str">
        <f aca="true">IF(OR(A206="",C206=""),"",IF(E206&lt;&gt;"",IF(E206&lt;=C206,"Green","Red"),IF(TODAY()&gt;C206,"Red",IF(C206-TODAY()&lt;=Config!$B$30,"Amber","Green"))))</f>
        <v/>
      </c>
      <c r="K206" s="46"/>
    </row>
    <row r="207" customFormat="false" ht="15" hidden="false" customHeight="false" outlineLevel="0" collapsed="false">
      <c r="A207" s="46"/>
      <c r="B207" s="46"/>
      <c r="C207" s="40"/>
      <c r="D207" s="40"/>
      <c r="E207" s="40"/>
      <c r="F207" s="27"/>
      <c r="G207" s="45"/>
      <c r="H207" s="48" t="str">
        <f aca="true">IF(OR(A207="",C207=""),"",IF(E207&lt;&gt;"",MAX(0,E207-C207),MAX(0,TODAY()-C207)))</f>
        <v/>
      </c>
      <c r="I207" s="49" t="str">
        <f aca="true">IF(OR(A207="",C207=""),"",IF(E207&lt;&gt;"",IF(E207&lt;=C207,"Completed","Completed Late"),IF(TODAY()&gt;C207,"Overdue","On Schedule")))</f>
        <v/>
      </c>
      <c r="J207" s="49" t="str">
        <f aca="true">IF(OR(A207="",C207=""),"",IF(E207&lt;&gt;"",IF(E207&lt;=C207,"Green","Red"),IF(TODAY()&gt;C207,"Red",IF(C207-TODAY()&lt;=Config!$B$30,"Amber","Green"))))</f>
        <v/>
      </c>
      <c r="K207" s="46"/>
    </row>
    <row r="208" customFormat="false" ht="15" hidden="false" customHeight="false" outlineLevel="0" collapsed="false">
      <c r="A208" s="46"/>
      <c r="B208" s="46"/>
      <c r="C208" s="40"/>
      <c r="D208" s="40"/>
      <c r="E208" s="40"/>
      <c r="F208" s="27"/>
      <c r="G208" s="45"/>
      <c r="H208" s="48" t="str">
        <f aca="true">IF(OR(A208="",C208=""),"",IF(E208&lt;&gt;"",MAX(0,E208-C208),MAX(0,TODAY()-C208)))</f>
        <v/>
      </c>
      <c r="I208" s="49" t="str">
        <f aca="true">IF(OR(A208="",C208=""),"",IF(E208&lt;&gt;"",IF(E208&lt;=C208,"Completed","Completed Late"),IF(TODAY()&gt;C208,"Overdue","On Schedule")))</f>
        <v/>
      </c>
      <c r="J208" s="49" t="str">
        <f aca="true">IF(OR(A208="",C208=""),"",IF(E208&lt;&gt;"",IF(E208&lt;=C208,"Green","Red"),IF(TODAY()&gt;C208,"Red",IF(C208-TODAY()&lt;=Config!$B$30,"Amber","Green"))))</f>
        <v/>
      </c>
      <c r="K208" s="46"/>
    </row>
    <row r="209" customFormat="false" ht="15" hidden="false" customHeight="false" outlineLevel="0" collapsed="false">
      <c r="A209" s="46"/>
      <c r="B209" s="46"/>
      <c r="C209" s="40"/>
      <c r="D209" s="40"/>
      <c r="E209" s="40"/>
      <c r="F209" s="27"/>
      <c r="G209" s="45"/>
      <c r="H209" s="48" t="str">
        <f aca="true">IF(OR(A209="",C209=""),"",IF(E209&lt;&gt;"",MAX(0,E209-C209),MAX(0,TODAY()-C209)))</f>
        <v/>
      </c>
      <c r="I209" s="49" t="str">
        <f aca="true">IF(OR(A209="",C209=""),"",IF(E209&lt;&gt;"",IF(E209&lt;=C209,"Completed","Completed Late"),IF(TODAY()&gt;C209,"Overdue","On Schedule")))</f>
        <v/>
      </c>
      <c r="J209" s="49" t="str">
        <f aca="true">IF(OR(A209="",C209=""),"",IF(E209&lt;&gt;"",IF(E209&lt;=C209,"Green","Red"),IF(TODAY()&gt;C209,"Red",IF(C209-TODAY()&lt;=Config!$B$30,"Amber","Green"))))</f>
        <v/>
      </c>
      <c r="K209" s="46"/>
    </row>
    <row r="210" customFormat="false" ht="15" hidden="false" customHeight="false" outlineLevel="0" collapsed="false">
      <c r="A210" s="46"/>
      <c r="B210" s="46"/>
      <c r="C210" s="40"/>
      <c r="D210" s="40"/>
      <c r="E210" s="40"/>
      <c r="F210" s="27"/>
      <c r="G210" s="45"/>
      <c r="H210" s="48" t="str">
        <f aca="true">IF(OR(A210="",C210=""),"",IF(E210&lt;&gt;"",MAX(0,E210-C210),MAX(0,TODAY()-C210)))</f>
        <v/>
      </c>
      <c r="I210" s="49" t="str">
        <f aca="true">IF(OR(A210="",C210=""),"",IF(E210&lt;&gt;"",IF(E210&lt;=C210,"Completed","Completed Late"),IF(TODAY()&gt;C210,"Overdue","On Schedule")))</f>
        <v/>
      </c>
      <c r="J210" s="49" t="str">
        <f aca="true">IF(OR(A210="",C210=""),"",IF(E210&lt;&gt;"",IF(E210&lt;=C210,"Green","Red"),IF(TODAY()&gt;C210,"Red",IF(C210-TODAY()&lt;=Config!$B$30,"Amber","Green"))))</f>
        <v/>
      </c>
      <c r="K210" s="46"/>
    </row>
    <row r="211" customFormat="false" ht="15" hidden="false" customHeight="false" outlineLevel="0" collapsed="false">
      <c r="A211" s="46"/>
      <c r="B211" s="46"/>
      <c r="C211" s="40"/>
      <c r="D211" s="40"/>
      <c r="E211" s="40"/>
      <c r="F211" s="27"/>
      <c r="G211" s="45"/>
      <c r="H211" s="48" t="str">
        <f aca="true">IF(OR(A211="",C211=""),"",IF(E211&lt;&gt;"",MAX(0,E211-C211),MAX(0,TODAY()-C211)))</f>
        <v/>
      </c>
      <c r="I211" s="49" t="str">
        <f aca="true">IF(OR(A211="",C211=""),"",IF(E211&lt;&gt;"",IF(E211&lt;=C211,"Completed","Completed Late"),IF(TODAY()&gt;C211,"Overdue","On Schedule")))</f>
        <v/>
      </c>
      <c r="J211" s="49" t="str">
        <f aca="true">IF(OR(A211="",C211=""),"",IF(E211&lt;&gt;"",IF(E211&lt;=C211,"Green","Red"),IF(TODAY()&gt;C211,"Red",IF(C211-TODAY()&lt;=Config!$B$30,"Amber","Green"))))</f>
        <v/>
      </c>
      <c r="K211" s="46"/>
    </row>
    <row r="212" customFormat="false" ht="15" hidden="false" customHeight="false" outlineLevel="0" collapsed="false">
      <c r="A212" s="46"/>
      <c r="B212" s="46"/>
      <c r="C212" s="40"/>
      <c r="D212" s="40"/>
      <c r="E212" s="40"/>
      <c r="F212" s="27"/>
      <c r="G212" s="45"/>
      <c r="H212" s="48" t="str">
        <f aca="true">IF(OR(A212="",C212=""),"",IF(E212&lt;&gt;"",MAX(0,E212-C212),MAX(0,TODAY()-C212)))</f>
        <v/>
      </c>
      <c r="I212" s="49" t="str">
        <f aca="true">IF(OR(A212="",C212=""),"",IF(E212&lt;&gt;"",IF(E212&lt;=C212,"Completed","Completed Late"),IF(TODAY()&gt;C212,"Overdue","On Schedule")))</f>
        <v/>
      </c>
      <c r="J212" s="49" t="str">
        <f aca="true">IF(OR(A212="",C212=""),"",IF(E212&lt;&gt;"",IF(E212&lt;=C212,"Green","Red"),IF(TODAY()&gt;C212,"Red",IF(C212-TODAY()&lt;=Config!$B$30,"Amber","Green"))))</f>
        <v/>
      </c>
      <c r="K212" s="46"/>
    </row>
    <row r="213" customFormat="false" ht="15" hidden="false" customHeight="false" outlineLevel="0" collapsed="false">
      <c r="A213" s="46"/>
      <c r="B213" s="46"/>
      <c r="C213" s="40"/>
      <c r="D213" s="40"/>
      <c r="E213" s="40"/>
      <c r="F213" s="27"/>
      <c r="G213" s="45"/>
      <c r="H213" s="48" t="str">
        <f aca="true">IF(OR(A213="",C213=""),"",IF(E213&lt;&gt;"",MAX(0,E213-C213),MAX(0,TODAY()-C213)))</f>
        <v/>
      </c>
      <c r="I213" s="49" t="str">
        <f aca="true">IF(OR(A213="",C213=""),"",IF(E213&lt;&gt;"",IF(E213&lt;=C213,"Completed","Completed Late"),IF(TODAY()&gt;C213,"Overdue","On Schedule")))</f>
        <v/>
      </c>
      <c r="J213" s="49" t="str">
        <f aca="true">IF(OR(A213="",C213=""),"",IF(E213&lt;&gt;"",IF(E213&lt;=C213,"Green","Red"),IF(TODAY()&gt;C213,"Red",IF(C213-TODAY()&lt;=Config!$B$30,"Amber","Green"))))</f>
        <v/>
      </c>
      <c r="K213" s="46"/>
    </row>
    <row r="214" customFormat="false" ht="15" hidden="false" customHeight="false" outlineLevel="0" collapsed="false">
      <c r="A214" s="46"/>
      <c r="B214" s="46"/>
      <c r="C214" s="40"/>
      <c r="D214" s="40"/>
      <c r="E214" s="40"/>
      <c r="F214" s="27"/>
      <c r="G214" s="45"/>
      <c r="H214" s="48" t="str">
        <f aca="true">IF(OR(A214="",C214=""),"",IF(E214&lt;&gt;"",MAX(0,E214-C214),MAX(0,TODAY()-C214)))</f>
        <v/>
      </c>
      <c r="I214" s="49" t="str">
        <f aca="true">IF(OR(A214="",C214=""),"",IF(E214&lt;&gt;"",IF(E214&lt;=C214,"Completed","Completed Late"),IF(TODAY()&gt;C214,"Overdue","On Schedule")))</f>
        <v/>
      </c>
      <c r="J214" s="49" t="str">
        <f aca="true">IF(OR(A214="",C214=""),"",IF(E214&lt;&gt;"",IF(E214&lt;=C214,"Green","Red"),IF(TODAY()&gt;C214,"Red",IF(C214-TODAY()&lt;=Config!$B$30,"Amber","Green"))))</f>
        <v/>
      </c>
      <c r="K214" s="46"/>
    </row>
    <row r="215" customFormat="false" ht="15" hidden="false" customHeight="false" outlineLevel="0" collapsed="false">
      <c r="A215" s="46"/>
      <c r="B215" s="46"/>
      <c r="C215" s="40"/>
      <c r="D215" s="40"/>
      <c r="E215" s="40"/>
      <c r="F215" s="27"/>
      <c r="G215" s="45"/>
      <c r="H215" s="48" t="str">
        <f aca="true">IF(OR(A215="",C215=""),"",IF(E215&lt;&gt;"",MAX(0,E215-C215),MAX(0,TODAY()-C215)))</f>
        <v/>
      </c>
      <c r="I215" s="49" t="str">
        <f aca="true">IF(OR(A215="",C215=""),"",IF(E215&lt;&gt;"",IF(E215&lt;=C215,"Completed","Completed Late"),IF(TODAY()&gt;C215,"Overdue","On Schedule")))</f>
        <v/>
      </c>
      <c r="J215" s="49" t="str">
        <f aca="true">IF(OR(A215="",C215=""),"",IF(E215&lt;&gt;"",IF(E215&lt;=C215,"Green","Red"),IF(TODAY()&gt;C215,"Red",IF(C215-TODAY()&lt;=Config!$B$30,"Amber","Green"))))</f>
        <v/>
      </c>
      <c r="K215" s="46"/>
    </row>
    <row r="216" customFormat="false" ht="15" hidden="false" customHeight="false" outlineLevel="0" collapsed="false">
      <c r="A216" s="46"/>
      <c r="B216" s="46"/>
      <c r="C216" s="40"/>
      <c r="D216" s="40"/>
      <c r="E216" s="40"/>
      <c r="F216" s="27"/>
      <c r="G216" s="45"/>
      <c r="H216" s="48" t="str">
        <f aca="true">IF(OR(A216="",C216=""),"",IF(E216&lt;&gt;"",MAX(0,E216-C216),MAX(0,TODAY()-C216)))</f>
        <v/>
      </c>
      <c r="I216" s="49" t="str">
        <f aca="true">IF(OR(A216="",C216=""),"",IF(E216&lt;&gt;"",IF(E216&lt;=C216,"Completed","Completed Late"),IF(TODAY()&gt;C216,"Overdue","On Schedule")))</f>
        <v/>
      </c>
      <c r="J216" s="49" t="str">
        <f aca="true">IF(OR(A216="",C216=""),"",IF(E216&lt;&gt;"",IF(E216&lt;=C216,"Green","Red"),IF(TODAY()&gt;C216,"Red",IF(C216-TODAY()&lt;=Config!$B$30,"Amber","Green"))))</f>
        <v/>
      </c>
      <c r="K216" s="46"/>
    </row>
    <row r="217" customFormat="false" ht="15" hidden="false" customHeight="false" outlineLevel="0" collapsed="false">
      <c r="A217" s="46"/>
      <c r="B217" s="46"/>
      <c r="C217" s="40"/>
      <c r="D217" s="40"/>
      <c r="E217" s="40"/>
      <c r="F217" s="27"/>
      <c r="G217" s="45"/>
      <c r="H217" s="48" t="str">
        <f aca="true">IF(OR(A217="",C217=""),"",IF(E217&lt;&gt;"",MAX(0,E217-C217),MAX(0,TODAY()-C217)))</f>
        <v/>
      </c>
      <c r="I217" s="49" t="str">
        <f aca="true">IF(OR(A217="",C217=""),"",IF(E217&lt;&gt;"",IF(E217&lt;=C217,"Completed","Completed Late"),IF(TODAY()&gt;C217,"Overdue","On Schedule")))</f>
        <v/>
      </c>
      <c r="J217" s="49" t="str">
        <f aca="true">IF(OR(A217="",C217=""),"",IF(E217&lt;&gt;"",IF(E217&lt;=C217,"Green","Red"),IF(TODAY()&gt;C217,"Red",IF(C217-TODAY()&lt;=Config!$B$30,"Amber","Green"))))</f>
        <v/>
      </c>
      <c r="K217" s="46"/>
    </row>
    <row r="218" customFormat="false" ht="15" hidden="false" customHeight="false" outlineLevel="0" collapsed="false">
      <c r="A218" s="46"/>
      <c r="B218" s="46"/>
      <c r="C218" s="40"/>
      <c r="D218" s="40"/>
      <c r="E218" s="40"/>
      <c r="F218" s="27"/>
      <c r="G218" s="45"/>
      <c r="H218" s="48" t="str">
        <f aca="true">IF(OR(A218="",C218=""),"",IF(E218&lt;&gt;"",MAX(0,E218-C218),MAX(0,TODAY()-C218)))</f>
        <v/>
      </c>
      <c r="I218" s="49" t="str">
        <f aca="true">IF(OR(A218="",C218=""),"",IF(E218&lt;&gt;"",IF(E218&lt;=C218,"Completed","Completed Late"),IF(TODAY()&gt;C218,"Overdue","On Schedule")))</f>
        <v/>
      </c>
      <c r="J218" s="49" t="str">
        <f aca="true">IF(OR(A218="",C218=""),"",IF(E218&lt;&gt;"",IF(E218&lt;=C218,"Green","Red"),IF(TODAY()&gt;C218,"Red",IF(C218-TODAY()&lt;=Config!$B$30,"Amber","Green"))))</f>
        <v/>
      </c>
      <c r="K218" s="46"/>
    </row>
    <row r="219" customFormat="false" ht="15" hidden="false" customHeight="false" outlineLevel="0" collapsed="false">
      <c r="A219" s="46"/>
      <c r="B219" s="46"/>
      <c r="C219" s="40"/>
      <c r="D219" s="40"/>
      <c r="E219" s="40"/>
      <c r="F219" s="27"/>
      <c r="G219" s="45"/>
      <c r="H219" s="48" t="str">
        <f aca="true">IF(OR(A219="",C219=""),"",IF(E219&lt;&gt;"",MAX(0,E219-C219),MAX(0,TODAY()-C219)))</f>
        <v/>
      </c>
      <c r="I219" s="49" t="str">
        <f aca="true">IF(OR(A219="",C219=""),"",IF(E219&lt;&gt;"",IF(E219&lt;=C219,"Completed","Completed Late"),IF(TODAY()&gt;C219,"Overdue","On Schedule")))</f>
        <v/>
      </c>
      <c r="J219" s="49" t="str">
        <f aca="true">IF(OR(A219="",C219=""),"",IF(E219&lt;&gt;"",IF(E219&lt;=C219,"Green","Red"),IF(TODAY()&gt;C219,"Red",IF(C219-TODAY()&lt;=Config!$B$30,"Amber","Green"))))</f>
        <v/>
      </c>
      <c r="K219" s="46"/>
    </row>
    <row r="220" customFormat="false" ht="15" hidden="false" customHeight="false" outlineLevel="0" collapsed="false">
      <c r="A220" s="46"/>
      <c r="B220" s="46"/>
      <c r="C220" s="40"/>
      <c r="D220" s="40"/>
      <c r="E220" s="40"/>
      <c r="F220" s="27"/>
      <c r="G220" s="45"/>
      <c r="H220" s="48" t="str">
        <f aca="true">IF(OR(A220="",C220=""),"",IF(E220&lt;&gt;"",MAX(0,E220-C220),MAX(0,TODAY()-C220)))</f>
        <v/>
      </c>
      <c r="I220" s="49" t="str">
        <f aca="true">IF(OR(A220="",C220=""),"",IF(E220&lt;&gt;"",IF(E220&lt;=C220,"Completed","Completed Late"),IF(TODAY()&gt;C220,"Overdue","On Schedule")))</f>
        <v/>
      </c>
      <c r="J220" s="49" t="str">
        <f aca="true">IF(OR(A220="",C220=""),"",IF(E220&lt;&gt;"",IF(E220&lt;=C220,"Green","Red"),IF(TODAY()&gt;C220,"Red",IF(C220-TODAY()&lt;=Config!$B$30,"Amber","Green"))))</f>
        <v/>
      </c>
      <c r="K220" s="46"/>
    </row>
    <row r="221" customFormat="false" ht="15" hidden="false" customHeight="false" outlineLevel="0" collapsed="false">
      <c r="A221" s="46"/>
      <c r="B221" s="46"/>
      <c r="C221" s="40"/>
      <c r="D221" s="40"/>
      <c r="E221" s="40"/>
      <c r="F221" s="27"/>
      <c r="G221" s="45"/>
      <c r="H221" s="48" t="str">
        <f aca="true">IF(OR(A221="",C221=""),"",IF(E221&lt;&gt;"",MAX(0,E221-C221),MAX(0,TODAY()-C221)))</f>
        <v/>
      </c>
      <c r="I221" s="49" t="str">
        <f aca="true">IF(OR(A221="",C221=""),"",IF(E221&lt;&gt;"",IF(E221&lt;=C221,"Completed","Completed Late"),IF(TODAY()&gt;C221,"Overdue","On Schedule")))</f>
        <v/>
      </c>
      <c r="J221" s="49" t="str">
        <f aca="true">IF(OR(A221="",C221=""),"",IF(E221&lt;&gt;"",IF(E221&lt;=C221,"Green","Red"),IF(TODAY()&gt;C221,"Red",IF(C221-TODAY()&lt;=Config!$B$30,"Amber","Green"))))</f>
        <v/>
      </c>
      <c r="K221" s="46"/>
    </row>
    <row r="222" customFormat="false" ht="15" hidden="false" customHeight="false" outlineLevel="0" collapsed="false">
      <c r="A222" s="46"/>
      <c r="B222" s="46"/>
      <c r="C222" s="40"/>
      <c r="D222" s="40"/>
      <c r="E222" s="40"/>
      <c r="F222" s="27"/>
      <c r="G222" s="45"/>
      <c r="H222" s="48" t="str">
        <f aca="true">IF(OR(A222="",C222=""),"",IF(E222&lt;&gt;"",MAX(0,E222-C222),MAX(0,TODAY()-C222)))</f>
        <v/>
      </c>
      <c r="I222" s="49" t="str">
        <f aca="true">IF(OR(A222="",C222=""),"",IF(E222&lt;&gt;"",IF(E222&lt;=C222,"Completed","Completed Late"),IF(TODAY()&gt;C222,"Overdue","On Schedule")))</f>
        <v/>
      </c>
      <c r="J222" s="49" t="str">
        <f aca="true">IF(OR(A222="",C222=""),"",IF(E222&lt;&gt;"",IF(E222&lt;=C222,"Green","Red"),IF(TODAY()&gt;C222,"Red",IF(C222-TODAY()&lt;=Config!$B$30,"Amber","Green"))))</f>
        <v/>
      </c>
      <c r="K222" s="46"/>
    </row>
    <row r="223" customFormat="false" ht="15" hidden="false" customHeight="false" outlineLevel="0" collapsed="false">
      <c r="A223" s="46"/>
      <c r="B223" s="46"/>
      <c r="C223" s="40"/>
      <c r="D223" s="40"/>
      <c r="E223" s="40"/>
      <c r="F223" s="27"/>
      <c r="G223" s="45"/>
      <c r="H223" s="48" t="str">
        <f aca="true">IF(OR(A223="",C223=""),"",IF(E223&lt;&gt;"",MAX(0,E223-C223),MAX(0,TODAY()-C223)))</f>
        <v/>
      </c>
      <c r="I223" s="49" t="str">
        <f aca="true">IF(OR(A223="",C223=""),"",IF(E223&lt;&gt;"",IF(E223&lt;=C223,"Completed","Completed Late"),IF(TODAY()&gt;C223,"Overdue","On Schedule")))</f>
        <v/>
      </c>
      <c r="J223" s="49" t="str">
        <f aca="true">IF(OR(A223="",C223=""),"",IF(E223&lt;&gt;"",IF(E223&lt;=C223,"Green","Red"),IF(TODAY()&gt;C223,"Red",IF(C223-TODAY()&lt;=Config!$B$30,"Amber","Green"))))</f>
        <v/>
      </c>
      <c r="K223" s="46"/>
    </row>
    <row r="224" customFormat="false" ht="15" hidden="false" customHeight="false" outlineLevel="0" collapsed="false">
      <c r="A224" s="46"/>
      <c r="B224" s="46"/>
      <c r="C224" s="40"/>
      <c r="D224" s="40"/>
      <c r="E224" s="40"/>
      <c r="F224" s="27"/>
      <c r="G224" s="45"/>
      <c r="H224" s="48" t="str">
        <f aca="true">IF(OR(A224="",C224=""),"",IF(E224&lt;&gt;"",MAX(0,E224-C224),MAX(0,TODAY()-C224)))</f>
        <v/>
      </c>
      <c r="I224" s="49" t="str">
        <f aca="true">IF(OR(A224="",C224=""),"",IF(E224&lt;&gt;"",IF(E224&lt;=C224,"Completed","Completed Late"),IF(TODAY()&gt;C224,"Overdue","On Schedule")))</f>
        <v/>
      </c>
      <c r="J224" s="49" t="str">
        <f aca="true">IF(OR(A224="",C224=""),"",IF(E224&lt;&gt;"",IF(E224&lt;=C224,"Green","Red"),IF(TODAY()&gt;C224,"Red",IF(C224-TODAY()&lt;=Config!$B$30,"Amber","Green"))))</f>
        <v/>
      </c>
      <c r="K224" s="46"/>
    </row>
    <row r="225" customFormat="false" ht="15" hidden="false" customHeight="false" outlineLevel="0" collapsed="false">
      <c r="A225" s="46"/>
      <c r="B225" s="46"/>
      <c r="C225" s="40"/>
      <c r="D225" s="40"/>
      <c r="E225" s="40"/>
      <c r="F225" s="27"/>
      <c r="G225" s="45"/>
      <c r="H225" s="48" t="str">
        <f aca="true">IF(OR(A225="",C225=""),"",IF(E225&lt;&gt;"",MAX(0,E225-C225),MAX(0,TODAY()-C225)))</f>
        <v/>
      </c>
      <c r="I225" s="49" t="str">
        <f aca="true">IF(OR(A225="",C225=""),"",IF(E225&lt;&gt;"",IF(E225&lt;=C225,"Completed","Completed Late"),IF(TODAY()&gt;C225,"Overdue","On Schedule")))</f>
        <v/>
      </c>
      <c r="J225" s="49" t="str">
        <f aca="true">IF(OR(A225="",C225=""),"",IF(E225&lt;&gt;"",IF(E225&lt;=C225,"Green","Red"),IF(TODAY()&gt;C225,"Red",IF(C225-TODAY()&lt;=Config!$B$30,"Amber","Green"))))</f>
        <v/>
      </c>
      <c r="K225" s="46"/>
    </row>
    <row r="226" customFormat="false" ht="15" hidden="false" customHeight="false" outlineLevel="0" collapsed="false">
      <c r="A226" s="46"/>
      <c r="B226" s="46"/>
      <c r="C226" s="40"/>
      <c r="D226" s="40"/>
      <c r="E226" s="40"/>
      <c r="F226" s="27"/>
      <c r="G226" s="45"/>
      <c r="H226" s="48" t="str">
        <f aca="true">IF(OR(A226="",C226=""),"",IF(E226&lt;&gt;"",MAX(0,E226-C226),MAX(0,TODAY()-C226)))</f>
        <v/>
      </c>
      <c r="I226" s="49" t="str">
        <f aca="true">IF(OR(A226="",C226=""),"",IF(E226&lt;&gt;"",IF(E226&lt;=C226,"Completed","Completed Late"),IF(TODAY()&gt;C226,"Overdue","On Schedule")))</f>
        <v/>
      </c>
      <c r="J226" s="49" t="str">
        <f aca="true">IF(OR(A226="",C226=""),"",IF(E226&lt;&gt;"",IF(E226&lt;=C226,"Green","Red"),IF(TODAY()&gt;C226,"Red",IF(C226-TODAY()&lt;=Config!$B$30,"Amber","Green"))))</f>
        <v/>
      </c>
      <c r="K226" s="46"/>
    </row>
    <row r="227" customFormat="false" ht="15" hidden="false" customHeight="false" outlineLevel="0" collapsed="false">
      <c r="A227" s="46"/>
      <c r="B227" s="46"/>
      <c r="C227" s="40"/>
      <c r="D227" s="40"/>
      <c r="E227" s="40"/>
      <c r="F227" s="27"/>
      <c r="G227" s="45"/>
      <c r="H227" s="48" t="str">
        <f aca="true">IF(OR(A227="",C227=""),"",IF(E227&lt;&gt;"",MAX(0,E227-C227),MAX(0,TODAY()-C227)))</f>
        <v/>
      </c>
      <c r="I227" s="49" t="str">
        <f aca="true">IF(OR(A227="",C227=""),"",IF(E227&lt;&gt;"",IF(E227&lt;=C227,"Completed","Completed Late"),IF(TODAY()&gt;C227,"Overdue","On Schedule")))</f>
        <v/>
      </c>
      <c r="J227" s="49" t="str">
        <f aca="true">IF(OR(A227="",C227=""),"",IF(E227&lt;&gt;"",IF(E227&lt;=C227,"Green","Red"),IF(TODAY()&gt;C227,"Red",IF(C227-TODAY()&lt;=Config!$B$30,"Amber","Green"))))</f>
        <v/>
      </c>
      <c r="K227" s="46"/>
    </row>
    <row r="228" customFormat="false" ht="15" hidden="false" customHeight="false" outlineLevel="0" collapsed="false">
      <c r="A228" s="46"/>
      <c r="B228" s="46"/>
      <c r="C228" s="40"/>
      <c r="D228" s="40"/>
      <c r="E228" s="40"/>
      <c r="F228" s="27"/>
      <c r="G228" s="45"/>
      <c r="H228" s="48" t="str">
        <f aca="true">IF(OR(A228="",C228=""),"",IF(E228&lt;&gt;"",MAX(0,E228-C228),MAX(0,TODAY()-C228)))</f>
        <v/>
      </c>
      <c r="I228" s="49" t="str">
        <f aca="true">IF(OR(A228="",C228=""),"",IF(E228&lt;&gt;"",IF(E228&lt;=C228,"Completed","Completed Late"),IF(TODAY()&gt;C228,"Overdue","On Schedule")))</f>
        <v/>
      </c>
      <c r="J228" s="49" t="str">
        <f aca="true">IF(OR(A228="",C228=""),"",IF(E228&lt;&gt;"",IF(E228&lt;=C228,"Green","Red"),IF(TODAY()&gt;C228,"Red",IF(C228-TODAY()&lt;=Config!$B$30,"Amber","Green"))))</f>
        <v/>
      </c>
      <c r="K228" s="46"/>
    </row>
    <row r="229" customFormat="false" ht="15" hidden="false" customHeight="false" outlineLevel="0" collapsed="false">
      <c r="A229" s="46"/>
      <c r="B229" s="46"/>
      <c r="C229" s="40"/>
      <c r="D229" s="40"/>
      <c r="E229" s="40"/>
      <c r="F229" s="27"/>
      <c r="G229" s="45"/>
      <c r="H229" s="48" t="str">
        <f aca="true">IF(OR(A229="",C229=""),"",IF(E229&lt;&gt;"",MAX(0,E229-C229),MAX(0,TODAY()-C229)))</f>
        <v/>
      </c>
      <c r="I229" s="49" t="str">
        <f aca="true">IF(OR(A229="",C229=""),"",IF(E229&lt;&gt;"",IF(E229&lt;=C229,"Completed","Completed Late"),IF(TODAY()&gt;C229,"Overdue","On Schedule")))</f>
        <v/>
      </c>
      <c r="J229" s="49" t="str">
        <f aca="true">IF(OR(A229="",C229=""),"",IF(E229&lt;&gt;"",IF(E229&lt;=C229,"Green","Red"),IF(TODAY()&gt;C229,"Red",IF(C229-TODAY()&lt;=Config!$B$30,"Amber","Green"))))</f>
        <v/>
      </c>
      <c r="K229" s="46"/>
    </row>
    <row r="230" customFormat="false" ht="15" hidden="false" customHeight="false" outlineLevel="0" collapsed="false">
      <c r="A230" s="46"/>
      <c r="B230" s="46"/>
      <c r="C230" s="40"/>
      <c r="D230" s="40"/>
      <c r="E230" s="40"/>
      <c r="F230" s="27"/>
      <c r="G230" s="45"/>
      <c r="H230" s="48" t="str">
        <f aca="true">IF(OR(A230="",C230=""),"",IF(E230&lt;&gt;"",MAX(0,E230-C230),MAX(0,TODAY()-C230)))</f>
        <v/>
      </c>
      <c r="I230" s="49" t="str">
        <f aca="true">IF(OR(A230="",C230=""),"",IF(E230&lt;&gt;"",IF(E230&lt;=C230,"Completed","Completed Late"),IF(TODAY()&gt;C230,"Overdue","On Schedule")))</f>
        <v/>
      </c>
      <c r="J230" s="49" t="str">
        <f aca="true">IF(OR(A230="",C230=""),"",IF(E230&lt;&gt;"",IF(E230&lt;=C230,"Green","Red"),IF(TODAY()&gt;C230,"Red",IF(C230-TODAY()&lt;=Config!$B$30,"Amber","Green"))))</f>
        <v/>
      </c>
      <c r="K230" s="46"/>
    </row>
    <row r="231" customFormat="false" ht="15" hidden="false" customHeight="false" outlineLevel="0" collapsed="false">
      <c r="A231" s="46"/>
      <c r="B231" s="46"/>
      <c r="C231" s="40"/>
      <c r="D231" s="40"/>
      <c r="E231" s="40"/>
      <c r="F231" s="27"/>
      <c r="G231" s="45"/>
      <c r="H231" s="48" t="str">
        <f aca="true">IF(OR(A231="",C231=""),"",IF(E231&lt;&gt;"",MAX(0,E231-C231),MAX(0,TODAY()-C231)))</f>
        <v/>
      </c>
      <c r="I231" s="49" t="str">
        <f aca="true">IF(OR(A231="",C231=""),"",IF(E231&lt;&gt;"",IF(E231&lt;=C231,"Completed","Completed Late"),IF(TODAY()&gt;C231,"Overdue","On Schedule")))</f>
        <v/>
      </c>
      <c r="J231" s="49" t="str">
        <f aca="true">IF(OR(A231="",C231=""),"",IF(E231&lt;&gt;"",IF(E231&lt;=C231,"Green","Red"),IF(TODAY()&gt;C231,"Red",IF(C231-TODAY()&lt;=Config!$B$30,"Amber","Green"))))</f>
        <v/>
      </c>
      <c r="K231" s="46"/>
    </row>
    <row r="232" customFormat="false" ht="15" hidden="false" customHeight="false" outlineLevel="0" collapsed="false">
      <c r="A232" s="46"/>
      <c r="B232" s="46"/>
      <c r="C232" s="40"/>
      <c r="D232" s="40"/>
      <c r="E232" s="40"/>
      <c r="F232" s="27"/>
      <c r="G232" s="45"/>
      <c r="H232" s="48" t="str">
        <f aca="true">IF(OR(A232="",C232=""),"",IF(E232&lt;&gt;"",MAX(0,E232-C232),MAX(0,TODAY()-C232)))</f>
        <v/>
      </c>
      <c r="I232" s="49" t="str">
        <f aca="true">IF(OR(A232="",C232=""),"",IF(E232&lt;&gt;"",IF(E232&lt;=C232,"Completed","Completed Late"),IF(TODAY()&gt;C232,"Overdue","On Schedule")))</f>
        <v/>
      </c>
      <c r="J232" s="49" t="str">
        <f aca="true">IF(OR(A232="",C232=""),"",IF(E232&lt;&gt;"",IF(E232&lt;=C232,"Green","Red"),IF(TODAY()&gt;C232,"Red",IF(C232-TODAY()&lt;=Config!$B$30,"Amber","Green"))))</f>
        <v/>
      </c>
      <c r="K232" s="46"/>
    </row>
    <row r="233" customFormat="false" ht="15" hidden="false" customHeight="false" outlineLevel="0" collapsed="false">
      <c r="A233" s="46"/>
      <c r="B233" s="46"/>
      <c r="C233" s="40"/>
      <c r="D233" s="40"/>
      <c r="E233" s="40"/>
      <c r="F233" s="27"/>
      <c r="G233" s="45"/>
      <c r="H233" s="48" t="str">
        <f aca="true">IF(OR(A233="",C233=""),"",IF(E233&lt;&gt;"",MAX(0,E233-C233),MAX(0,TODAY()-C233)))</f>
        <v/>
      </c>
      <c r="I233" s="49" t="str">
        <f aca="true">IF(OR(A233="",C233=""),"",IF(E233&lt;&gt;"",IF(E233&lt;=C233,"Completed","Completed Late"),IF(TODAY()&gt;C233,"Overdue","On Schedule")))</f>
        <v/>
      </c>
      <c r="J233" s="49" t="str">
        <f aca="true">IF(OR(A233="",C233=""),"",IF(E233&lt;&gt;"",IF(E233&lt;=C233,"Green","Red"),IF(TODAY()&gt;C233,"Red",IF(C233-TODAY()&lt;=Config!$B$30,"Amber","Green"))))</f>
        <v/>
      </c>
      <c r="K233" s="46"/>
    </row>
    <row r="234" customFormat="false" ht="15" hidden="false" customHeight="false" outlineLevel="0" collapsed="false">
      <c r="A234" s="46"/>
      <c r="B234" s="46"/>
      <c r="C234" s="40"/>
      <c r="D234" s="40"/>
      <c r="E234" s="40"/>
      <c r="F234" s="27"/>
      <c r="G234" s="45"/>
      <c r="H234" s="48" t="str">
        <f aca="true">IF(OR(A234="",C234=""),"",IF(E234&lt;&gt;"",MAX(0,E234-C234),MAX(0,TODAY()-C234)))</f>
        <v/>
      </c>
      <c r="I234" s="49" t="str">
        <f aca="true">IF(OR(A234="",C234=""),"",IF(E234&lt;&gt;"",IF(E234&lt;=C234,"Completed","Completed Late"),IF(TODAY()&gt;C234,"Overdue","On Schedule")))</f>
        <v/>
      </c>
      <c r="J234" s="49" t="str">
        <f aca="true">IF(OR(A234="",C234=""),"",IF(E234&lt;&gt;"",IF(E234&lt;=C234,"Green","Red"),IF(TODAY()&gt;C234,"Red",IF(C234-TODAY()&lt;=Config!$B$30,"Amber","Green"))))</f>
        <v/>
      </c>
      <c r="K234" s="46"/>
    </row>
    <row r="235" customFormat="false" ht="15" hidden="false" customHeight="false" outlineLevel="0" collapsed="false">
      <c r="A235" s="46"/>
      <c r="B235" s="46"/>
      <c r="C235" s="40"/>
      <c r="D235" s="40"/>
      <c r="E235" s="40"/>
      <c r="F235" s="27"/>
      <c r="G235" s="45"/>
      <c r="H235" s="48" t="str">
        <f aca="true">IF(OR(A235="",C235=""),"",IF(E235&lt;&gt;"",MAX(0,E235-C235),MAX(0,TODAY()-C235)))</f>
        <v/>
      </c>
      <c r="I235" s="49" t="str">
        <f aca="true">IF(OR(A235="",C235=""),"",IF(E235&lt;&gt;"",IF(E235&lt;=C235,"Completed","Completed Late"),IF(TODAY()&gt;C235,"Overdue","On Schedule")))</f>
        <v/>
      </c>
      <c r="J235" s="49" t="str">
        <f aca="true">IF(OR(A235="",C235=""),"",IF(E235&lt;&gt;"",IF(E235&lt;=C235,"Green","Red"),IF(TODAY()&gt;C235,"Red",IF(C235-TODAY()&lt;=Config!$B$30,"Amber","Green"))))</f>
        <v/>
      </c>
      <c r="K235" s="46"/>
    </row>
    <row r="236" customFormat="false" ht="15" hidden="false" customHeight="false" outlineLevel="0" collapsed="false">
      <c r="A236" s="46"/>
      <c r="B236" s="46"/>
      <c r="C236" s="40"/>
      <c r="D236" s="40"/>
      <c r="E236" s="40"/>
      <c r="F236" s="27"/>
      <c r="G236" s="45"/>
      <c r="H236" s="48" t="str">
        <f aca="true">IF(OR(A236="",C236=""),"",IF(E236&lt;&gt;"",MAX(0,E236-C236),MAX(0,TODAY()-C236)))</f>
        <v/>
      </c>
      <c r="I236" s="49" t="str">
        <f aca="true">IF(OR(A236="",C236=""),"",IF(E236&lt;&gt;"",IF(E236&lt;=C236,"Completed","Completed Late"),IF(TODAY()&gt;C236,"Overdue","On Schedule")))</f>
        <v/>
      </c>
      <c r="J236" s="49" t="str">
        <f aca="true">IF(OR(A236="",C236=""),"",IF(E236&lt;&gt;"",IF(E236&lt;=C236,"Green","Red"),IF(TODAY()&gt;C236,"Red",IF(C236-TODAY()&lt;=Config!$B$30,"Amber","Green"))))</f>
        <v/>
      </c>
      <c r="K236" s="46"/>
    </row>
    <row r="237" customFormat="false" ht="15" hidden="false" customHeight="false" outlineLevel="0" collapsed="false">
      <c r="A237" s="46"/>
      <c r="B237" s="46"/>
      <c r="C237" s="40"/>
      <c r="D237" s="40"/>
      <c r="E237" s="40"/>
      <c r="F237" s="27"/>
      <c r="G237" s="45"/>
      <c r="H237" s="48" t="str">
        <f aca="true">IF(OR(A237="",C237=""),"",IF(E237&lt;&gt;"",MAX(0,E237-C237),MAX(0,TODAY()-C237)))</f>
        <v/>
      </c>
      <c r="I237" s="49" t="str">
        <f aca="true">IF(OR(A237="",C237=""),"",IF(E237&lt;&gt;"",IF(E237&lt;=C237,"Completed","Completed Late"),IF(TODAY()&gt;C237,"Overdue","On Schedule")))</f>
        <v/>
      </c>
      <c r="J237" s="49" t="str">
        <f aca="true">IF(OR(A237="",C237=""),"",IF(E237&lt;&gt;"",IF(E237&lt;=C237,"Green","Red"),IF(TODAY()&gt;C237,"Red",IF(C237-TODAY()&lt;=Config!$B$30,"Amber","Green"))))</f>
        <v/>
      </c>
      <c r="K237" s="46"/>
    </row>
    <row r="238" customFormat="false" ht="15" hidden="false" customHeight="false" outlineLevel="0" collapsed="false">
      <c r="A238" s="46"/>
      <c r="B238" s="46"/>
      <c r="C238" s="40"/>
      <c r="D238" s="40"/>
      <c r="E238" s="40"/>
      <c r="F238" s="27"/>
      <c r="G238" s="45"/>
      <c r="H238" s="48" t="str">
        <f aca="true">IF(OR(A238="",C238=""),"",IF(E238&lt;&gt;"",MAX(0,E238-C238),MAX(0,TODAY()-C238)))</f>
        <v/>
      </c>
      <c r="I238" s="49" t="str">
        <f aca="true">IF(OR(A238="",C238=""),"",IF(E238&lt;&gt;"",IF(E238&lt;=C238,"Completed","Completed Late"),IF(TODAY()&gt;C238,"Overdue","On Schedule")))</f>
        <v/>
      </c>
      <c r="J238" s="49" t="str">
        <f aca="true">IF(OR(A238="",C238=""),"",IF(E238&lt;&gt;"",IF(E238&lt;=C238,"Green","Red"),IF(TODAY()&gt;C238,"Red",IF(C238-TODAY()&lt;=Config!$B$30,"Amber","Green"))))</f>
        <v/>
      </c>
      <c r="K238" s="46"/>
    </row>
    <row r="239" customFormat="false" ht="15" hidden="false" customHeight="false" outlineLevel="0" collapsed="false">
      <c r="A239" s="46"/>
      <c r="B239" s="46"/>
      <c r="C239" s="40"/>
      <c r="D239" s="40"/>
      <c r="E239" s="40"/>
      <c r="F239" s="27"/>
      <c r="G239" s="45"/>
      <c r="H239" s="48" t="str">
        <f aca="true">IF(OR(A239="",C239=""),"",IF(E239&lt;&gt;"",MAX(0,E239-C239),MAX(0,TODAY()-C239)))</f>
        <v/>
      </c>
      <c r="I239" s="49" t="str">
        <f aca="true">IF(OR(A239="",C239=""),"",IF(E239&lt;&gt;"",IF(E239&lt;=C239,"Completed","Completed Late"),IF(TODAY()&gt;C239,"Overdue","On Schedule")))</f>
        <v/>
      </c>
      <c r="J239" s="49" t="str">
        <f aca="true">IF(OR(A239="",C239=""),"",IF(E239&lt;&gt;"",IF(E239&lt;=C239,"Green","Red"),IF(TODAY()&gt;C239,"Red",IF(C239-TODAY()&lt;=Config!$B$30,"Amber","Green"))))</f>
        <v/>
      </c>
      <c r="K239" s="46"/>
    </row>
    <row r="240" customFormat="false" ht="15" hidden="false" customHeight="false" outlineLevel="0" collapsed="false">
      <c r="A240" s="46"/>
      <c r="B240" s="46"/>
      <c r="C240" s="40"/>
      <c r="D240" s="40"/>
      <c r="E240" s="40"/>
      <c r="F240" s="27"/>
      <c r="G240" s="45"/>
      <c r="H240" s="48" t="str">
        <f aca="true">IF(OR(A240="",C240=""),"",IF(E240&lt;&gt;"",MAX(0,E240-C240),MAX(0,TODAY()-C240)))</f>
        <v/>
      </c>
      <c r="I240" s="49" t="str">
        <f aca="true">IF(OR(A240="",C240=""),"",IF(E240&lt;&gt;"",IF(E240&lt;=C240,"Completed","Completed Late"),IF(TODAY()&gt;C240,"Overdue","On Schedule")))</f>
        <v/>
      </c>
      <c r="J240" s="49" t="str">
        <f aca="true">IF(OR(A240="",C240=""),"",IF(E240&lt;&gt;"",IF(E240&lt;=C240,"Green","Red"),IF(TODAY()&gt;C240,"Red",IF(C240-TODAY()&lt;=Config!$B$30,"Amber","Green"))))</f>
        <v/>
      </c>
      <c r="K240" s="46"/>
    </row>
    <row r="241" customFormat="false" ht="15" hidden="false" customHeight="false" outlineLevel="0" collapsed="false">
      <c r="A241" s="46"/>
      <c r="B241" s="46"/>
      <c r="C241" s="40"/>
      <c r="D241" s="40"/>
      <c r="E241" s="40"/>
      <c r="F241" s="27"/>
      <c r="G241" s="45"/>
      <c r="H241" s="48" t="str">
        <f aca="true">IF(OR(A241="",C241=""),"",IF(E241&lt;&gt;"",MAX(0,E241-C241),MAX(0,TODAY()-C241)))</f>
        <v/>
      </c>
      <c r="I241" s="49" t="str">
        <f aca="true">IF(OR(A241="",C241=""),"",IF(E241&lt;&gt;"",IF(E241&lt;=C241,"Completed","Completed Late"),IF(TODAY()&gt;C241,"Overdue","On Schedule")))</f>
        <v/>
      </c>
      <c r="J241" s="49" t="str">
        <f aca="true">IF(OR(A241="",C241=""),"",IF(E241&lt;&gt;"",IF(E241&lt;=C241,"Green","Red"),IF(TODAY()&gt;C241,"Red",IF(C241-TODAY()&lt;=Config!$B$30,"Amber","Green"))))</f>
        <v/>
      </c>
      <c r="K241" s="46"/>
    </row>
    <row r="242" customFormat="false" ht="15" hidden="false" customHeight="false" outlineLevel="0" collapsed="false">
      <c r="A242" s="46"/>
      <c r="B242" s="46"/>
      <c r="C242" s="40"/>
      <c r="D242" s="40"/>
      <c r="E242" s="40"/>
      <c r="F242" s="27"/>
      <c r="G242" s="45"/>
      <c r="H242" s="48" t="str">
        <f aca="true">IF(OR(A242="",C242=""),"",IF(E242&lt;&gt;"",MAX(0,E242-C242),MAX(0,TODAY()-C242)))</f>
        <v/>
      </c>
      <c r="I242" s="49" t="str">
        <f aca="true">IF(OR(A242="",C242=""),"",IF(E242&lt;&gt;"",IF(E242&lt;=C242,"Completed","Completed Late"),IF(TODAY()&gt;C242,"Overdue","On Schedule")))</f>
        <v/>
      </c>
      <c r="J242" s="49" t="str">
        <f aca="true">IF(OR(A242="",C242=""),"",IF(E242&lt;&gt;"",IF(E242&lt;=C242,"Green","Red"),IF(TODAY()&gt;C242,"Red",IF(C242-TODAY()&lt;=Config!$B$30,"Amber","Green"))))</f>
        <v/>
      </c>
      <c r="K242" s="46"/>
    </row>
    <row r="243" customFormat="false" ht="15" hidden="false" customHeight="false" outlineLevel="0" collapsed="false">
      <c r="A243" s="46"/>
      <c r="B243" s="46"/>
      <c r="C243" s="40"/>
      <c r="D243" s="40"/>
      <c r="E243" s="40"/>
      <c r="F243" s="27"/>
      <c r="G243" s="45"/>
      <c r="H243" s="48" t="str">
        <f aca="true">IF(OR(A243="",C243=""),"",IF(E243&lt;&gt;"",MAX(0,E243-C243),MAX(0,TODAY()-C243)))</f>
        <v/>
      </c>
      <c r="I243" s="49" t="str">
        <f aca="true">IF(OR(A243="",C243=""),"",IF(E243&lt;&gt;"",IF(E243&lt;=C243,"Completed","Completed Late"),IF(TODAY()&gt;C243,"Overdue","On Schedule")))</f>
        <v/>
      </c>
      <c r="J243" s="49" t="str">
        <f aca="true">IF(OR(A243="",C243=""),"",IF(E243&lt;&gt;"",IF(E243&lt;=C243,"Green","Red"),IF(TODAY()&gt;C243,"Red",IF(C243-TODAY()&lt;=Config!$B$30,"Amber","Green"))))</f>
        <v/>
      </c>
      <c r="K243" s="46"/>
    </row>
    <row r="244" customFormat="false" ht="15" hidden="false" customHeight="false" outlineLevel="0" collapsed="false">
      <c r="A244" s="46"/>
      <c r="B244" s="46"/>
      <c r="C244" s="40"/>
      <c r="D244" s="40"/>
      <c r="E244" s="40"/>
      <c r="F244" s="27"/>
      <c r="G244" s="45"/>
      <c r="H244" s="48" t="str">
        <f aca="true">IF(OR(A244="",C244=""),"",IF(E244&lt;&gt;"",MAX(0,E244-C244),MAX(0,TODAY()-C244)))</f>
        <v/>
      </c>
      <c r="I244" s="49" t="str">
        <f aca="true">IF(OR(A244="",C244=""),"",IF(E244&lt;&gt;"",IF(E244&lt;=C244,"Completed","Completed Late"),IF(TODAY()&gt;C244,"Overdue","On Schedule")))</f>
        <v/>
      </c>
      <c r="J244" s="49" t="str">
        <f aca="true">IF(OR(A244="",C244=""),"",IF(E244&lt;&gt;"",IF(E244&lt;=C244,"Green","Red"),IF(TODAY()&gt;C244,"Red",IF(C244-TODAY()&lt;=Config!$B$30,"Amber","Green"))))</f>
        <v/>
      </c>
      <c r="K244" s="46"/>
    </row>
    <row r="245" customFormat="false" ht="15" hidden="false" customHeight="false" outlineLevel="0" collapsed="false">
      <c r="A245" s="46"/>
      <c r="B245" s="46"/>
      <c r="C245" s="40"/>
      <c r="D245" s="40"/>
      <c r="E245" s="40"/>
      <c r="F245" s="27"/>
      <c r="G245" s="45"/>
      <c r="H245" s="48" t="str">
        <f aca="true">IF(OR(A245="",C245=""),"",IF(E245&lt;&gt;"",MAX(0,E245-C245),MAX(0,TODAY()-C245)))</f>
        <v/>
      </c>
      <c r="I245" s="49" t="str">
        <f aca="true">IF(OR(A245="",C245=""),"",IF(E245&lt;&gt;"",IF(E245&lt;=C245,"Completed","Completed Late"),IF(TODAY()&gt;C245,"Overdue","On Schedule")))</f>
        <v/>
      </c>
      <c r="J245" s="49" t="str">
        <f aca="true">IF(OR(A245="",C245=""),"",IF(E245&lt;&gt;"",IF(E245&lt;=C245,"Green","Red"),IF(TODAY()&gt;C245,"Red",IF(C245-TODAY()&lt;=Config!$B$30,"Amber","Green"))))</f>
        <v/>
      </c>
      <c r="K245" s="46"/>
    </row>
    <row r="246" customFormat="false" ht="15" hidden="false" customHeight="false" outlineLevel="0" collapsed="false">
      <c r="A246" s="46"/>
      <c r="B246" s="46"/>
      <c r="C246" s="40"/>
      <c r="D246" s="40"/>
      <c r="E246" s="40"/>
      <c r="F246" s="27"/>
      <c r="G246" s="45"/>
      <c r="H246" s="48" t="str">
        <f aca="true">IF(OR(A246="",C246=""),"",IF(E246&lt;&gt;"",MAX(0,E246-C246),MAX(0,TODAY()-C246)))</f>
        <v/>
      </c>
      <c r="I246" s="49" t="str">
        <f aca="true">IF(OR(A246="",C246=""),"",IF(E246&lt;&gt;"",IF(E246&lt;=C246,"Completed","Completed Late"),IF(TODAY()&gt;C246,"Overdue","On Schedule")))</f>
        <v/>
      </c>
      <c r="J246" s="49" t="str">
        <f aca="true">IF(OR(A246="",C246=""),"",IF(E246&lt;&gt;"",IF(E246&lt;=C246,"Green","Red"),IF(TODAY()&gt;C246,"Red",IF(C246-TODAY()&lt;=Config!$B$30,"Amber","Green"))))</f>
        <v/>
      </c>
      <c r="K246" s="46"/>
    </row>
    <row r="247" customFormat="false" ht="15" hidden="false" customHeight="false" outlineLevel="0" collapsed="false">
      <c r="A247" s="46"/>
      <c r="B247" s="46"/>
      <c r="C247" s="40"/>
      <c r="D247" s="40"/>
      <c r="E247" s="40"/>
      <c r="F247" s="27"/>
      <c r="G247" s="45"/>
      <c r="H247" s="48" t="str">
        <f aca="true">IF(OR(A247="",C247=""),"",IF(E247&lt;&gt;"",MAX(0,E247-C247),MAX(0,TODAY()-C247)))</f>
        <v/>
      </c>
      <c r="I247" s="49" t="str">
        <f aca="true">IF(OR(A247="",C247=""),"",IF(E247&lt;&gt;"",IF(E247&lt;=C247,"Completed","Completed Late"),IF(TODAY()&gt;C247,"Overdue","On Schedule")))</f>
        <v/>
      </c>
      <c r="J247" s="49" t="str">
        <f aca="true">IF(OR(A247="",C247=""),"",IF(E247&lt;&gt;"",IF(E247&lt;=C247,"Green","Red"),IF(TODAY()&gt;C247,"Red",IF(C247-TODAY()&lt;=Config!$B$30,"Amber","Green"))))</f>
        <v/>
      </c>
      <c r="K247" s="46"/>
    </row>
    <row r="248" customFormat="false" ht="15" hidden="false" customHeight="false" outlineLevel="0" collapsed="false">
      <c r="A248" s="46"/>
      <c r="B248" s="46"/>
      <c r="C248" s="40"/>
      <c r="D248" s="40"/>
      <c r="E248" s="40"/>
      <c r="F248" s="27"/>
      <c r="G248" s="45"/>
      <c r="H248" s="48" t="str">
        <f aca="true">IF(OR(A248="",C248=""),"",IF(E248&lt;&gt;"",MAX(0,E248-C248),MAX(0,TODAY()-C248)))</f>
        <v/>
      </c>
      <c r="I248" s="49" t="str">
        <f aca="true">IF(OR(A248="",C248=""),"",IF(E248&lt;&gt;"",IF(E248&lt;=C248,"Completed","Completed Late"),IF(TODAY()&gt;C248,"Overdue","On Schedule")))</f>
        <v/>
      </c>
      <c r="J248" s="49" t="str">
        <f aca="true">IF(OR(A248="",C248=""),"",IF(E248&lt;&gt;"",IF(E248&lt;=C248,"Green","Red"),IF(TODAY()&gt;C248,"Red",IF(C248-TODAY()&lt;=Config!$B$30,"Amber","Green"))))</f>
        <v/>
      </c>
      <c r="K248" s="46"/>
    </row>
    <row r="249" customFormat="false" ht="15" hidden="false" customHeight="false" outlineLevel="0" collapsed="false">
      <c r="A249" s="46"/>
      <c r="B249" s="46"/>
      <c r="C249" s="40"/>
      <c r="D249" s="40"/>
      <c r="E249" s="40"/>
      <c r="F249" s="27"/>
      <c r="G249" s="45"/>
      <c r="H249" s="48" t="str">
        <f aca="true">IF(OR(A249="",C249=""),"",IF(E249&lt;&gt;"",MAX(0,E249-C249),MAX(0,TODAY()-C249)))</f>
        <v/>
      </c>
      <c r="I249" s="49" t="str">
        <f aca="true">IF(OR(A249="",C249=""),"",IF(E249&lt;&gt;"",IF(E249&lt;=C249,"Completed","Completed Late"),IF(TODAY()&gt;C249,"Overdue","On Schedule")))</f>
        <v/>
      </c>
      <c r="J249" s="49" t="str">
        <f aca="true">IF(OR(A249="",C249=""),"",IF(E249&lt;&gt;"",IF(E249&lt;=C249,"Green","Red"),IF(TODAY()&gt;C249,"Red",IF(C249-TODAY()&lt;=Config!$B$30,"Amber","Green"))))</f>
        <v/>
      </c>
      <c r="K249" s="46"/>
    </row>
    <row r="250" customFormat="false" ht="15" hidden="false" customHeight="false" outlineLevel="0" collapsed="false">
      <c r="A250" s="46"/>
      <c r="B250" s="46"/>
      <c r="C250" s="40"/>
      <c r="D250" s="40"/>
      <c r="E250" s="40"/>
      <c r="F250" s="27"/>
      <c r="G250" s="45"/>
      <c r="H250" s="48" t="str">
        <f aca="true">IF(OR(A250="",C250=""),"",IF(E250&lt;&gt;"",MAX(0,E250-C250),MAX(0,TODAY()-C250)))</f>
        <v/>
      </c>
      <c r="I250" s="49" t="str">
        <f aca="true">IF(OR(A250="",C250=""),"",IF(E250&lt;&gt;"",IF(E250&lt;=C250,"Completed","Completed Late"),IF(TODAY()&gt;C250,"Overdue","On Schedule")))</f>
        <v/>
      </c>
      <c r="J250" s="49" t="str">
        <f aca="true">IF(OR(A250="",C250=""),"",IF(E250&lt;&gt;"",IF(E250&lt;=C250,"Green","Red"),IF(TODAY()&gt;C250,"Red",IF(C250-TODAY()&lt;=Config!$B$30,"Amber","Green"))))</f>
        <v/>
      </c>
      <c r="K250" s="46"/>
    </row>
    <row r="251" customFormat="false" ht="15" hidden="false" customHeight="false" outlineLevel="0" collapsed="false">
      <c r="A251" s="46"/>
      <c r="B251" s="46"/>
      <c r="C251" s="40"/>
      <c r="D251" s="40"/>
      <c r="E251" s="40"/>
      <c r="F251" s="27"/>
      <c r="G251" s="45"/>
      <c r="H251" s="48" t="str">
        <f aca="true">IF(OR(A251="",C251=""),"",IF(E251&lt;&gt;"",MAX(0,E251-C251),MAX(0,TODAY()-C251)))</f>
        <v/>
      </c>
      <c r="I251" s="49" t="str">
        <f aca="true">IF(OR(A251="",C251=""),"",IF(E251&lt;&gt;"",IF(E251&lt;=C251,"Completed","Completed Late"),IF(TODAY()&gt;C251,"Overdue","On Schedule")))</f>
        <v/>
      </c>
      <c r="J251" s="49" t="str">
        <f aca="true">IF(OR(A251="",C251=""),"",IF(E251&lt;&gt;"",IF(E251&lt;=C251,"Green","Red"),IF(TODAY()&gt;C251,"Red",IF(C251-TODAY()&lt;=Config!$B$30,"Amber","Green"))))</f>
        <v/>
      </c>
      <c r="K251" s="46"/>
    </row>
    <row r="252" customFormat="false" ht="15" hidden="false" customHeight="false" outlineLevel="0" collapsed="false">
      <c r="A252" s="46"/>
      <c r="B252" s="46"/>
      <c r="C252" s="40"/>
      <c r="D252" s="40"/>
      <c r="E252" s="40"/>
      <c r="F252" s="27"/>
      <c r="G252" s="45"/>
      <c r="H252" s="48" t="str">
        <f aca="true">IF(OR(A252="",C252=""),"",IF(E252&lt;&gt;"",MAX(0,E252-C252),MAX(0,TODAY()-C252)))</f>
        <v/>
      </c>
      <c r="I252" s="49" t="str">
        <f aca="true">IF(OR(A252="",C252=""),"",IF(E252&lt;&gt;"",IF(E252&lt;=C252,"Completed","Completed Late"),IF(TODAY()&gt;C252,"Overdue","On Schedule")))</f>
        <v/>
      </c>
      <c r="J252" s="49" t="str">
        <f aca="true">IF(OR(A252="",C252=""),"",IF(E252&lt;&gt;"",IF(E252&lt;=C252,"Green","Red"),IF(TODAY()&gt;C252,"Red",IF(C252-TODAY()&lt;=Config!$B$30,"Amber","Green"))))</f>
        <v/>
      </c>
      <c r="K252" s="46"/>
    </row>
    <row r="253" customFormat="false" ht="15" hidden="false" customHeight="false" outlineLevel="0" collapsed="false">
      <c r="A253" s="46"/>
      <c r="B253" s="46"/>
      <c r="C253" s="40"/>
      <c r="D253" s="40"/>
      <c r="E253" s="40"/>
      <c r="F253" s="27"/>
      <c r="G253" s="45"/>
      <c r="H253" s="48" t="str">
        <f aca="true">IF(OR(A253="",C253=""),"",IF(E253&lt;&gt;"",MAX(0,E253-C253),MAX(0,TODAY()-C253)))</f>
        <v/>
      </c>
      <c r="I253" s="49" t="str">
        <f aca="true">IF(OR(A253="",C253=""),"",IF(E253&lt;&gt;"",IF(E253&lt;=C253,"Completed","Completed Late"),IF(TODAY()&gt;C253,"Overdue","On Schedule")))</f>
        <v/>
      </c>
      <c r="J253" s="49" t="str">
        <f aca="true">IF(OR(A253="",C253=""),"",IF(E253&lt;&gt;"",IF(E253&lt;=C253,"Green","Red"),IF(TODAY()&gt;C253,"Red",IF(C253-TODAY()&lt;=Config!$B$30,"Amber","Green"))))</f>
        <v/>
      </c>
      <c r="K253" s="46"/>
    </row>
    <row r="254" customFormat="false" ht="15" hidden="false" customHeight="false" outlineLevel="0" collapsed="false">
      <c r="A254" s="46"/>
      <c r="B254" s="46"/>
      <c r="C254" s="40"/>
      <c r="D254" s="40"/>
      <c r="E254" s="40"/>
      <c r="F254" s="27"/>
      <c r="G254" s="45"/>
      <c r="H254" s="48" t="str">
        <f aca="true">IF(OR(A254="",C254=""),"",IF(E254&lt;&gt;"",MAX(0,E254-C254),MAX(0,TODAY()-C254)))</f>
        <v/>
      </c>
      <c r="I254" s="49" t="str">
        <f aca="true">IF(OR(A254="",C254=""),"",IF(E254&lt;&gt;"",IF(E254&lt;=C254,"Completed","Completed Late"),IF(TODAY()&gt;C254,"Overdue","On Schedule")))</f>
        <v/>
      </c>
      <c r="J254" s="49" t="str">
        <f aca="true">IF(OR(A254="",C254=""),"",IF(E254&lt;&gt;"",IF(E254&lt;=C254,"Green","Red"),IF(TODAY()&gt;C254,"Red",IF(C254-TODAY()&lt;=Config!$B$30,"Amber","Green"))))</f>
        <v/>
      </c>
      <c r="K254" s="46"/>
    </row>
    <row r="255" customFormat="false" ht="15" hidden="false" customHeight="false" outlineLevel="0" collapsed="false">
      <c r="A255" s="46"/>
      <c r="B255" s="46"/>
      <c r="C255" s="40"/>
      <c r="D255" s="40"/>
      <c r="E255" s="40"/>
      <c r="F255" s="27"/>
      <c r="G255" s="45"/>
      <c r="H255" s="48" t="str">
        <f aca="true">IF(OR(A255="",C255=""),"",IF(E255&lt;&gt;"",MAX(0,E255-C255),MAX(0,TODAY()-C255)))</f>
        <v/>
      </c>
      <c r="I255" s="49" t="str">
        <f aca="true">IF(OR(A255="",C255=""),"",IF(E255&lt;&gt;"",IF(E255&lt;=C255,"Completed","Completed Late"),IF(TODAY()&gt;C255,"Overdue","On Schedule")))</f>
        <v/>
      </c>
      <c r="J255" s="49" t="str">
        <f aca="true">IF(OR(A255="",C255=""),"",IF(E255&lt;&gt;"",IF(E255&lt;=C255,"Green","Red"),IF(TODAY()&gt;C255,"Red",IF(C255-TODAY()&lt;=Config!$B$30,"Amber","Green"))))</f>
        <v/>
      </c>
      <c r="K255" s="46"/>
    </row>
    <row r="256" customFormat="false" ht="15" hidden="false" customHeight="false" outlineLevel="0" collapsed="false">
      <c r="A256" s="46"/>
      <c r="B256" s="46"/>
      <c r="C256" s="40"/>
      <c r="D256" s="40"/>
      <c r="E256" s="40"/>
      <c r="F256" s="27"/>
      <c r="G256" s="45"/>
      <c r="H256" s="48" t="str">
        <f aca="true">IF(OR(A256="",C256=""),"",IF(E256&lt;&gt;"",MAX(0,E256-C256),MAX(0,TODAY()-C256)))</f>
        <v/>
      </c>
      <c r="I256" s="49" t="str">
        <f aca="true">IF(OR(A256="",C256=""),"",IF(E256&lt;&gt;"",IF(E256&lt;=C256,"Completed","Completed Late"),IF(TODAY()&gt;C256,"Overdue","On Schedule")))</f>
        <v/>
      </c>
      <c r="J256" s="49" t="str">
        <f aca="true">IF(OR(A256="",C256=""),"",IF(E256&lt;&gt;"",IF(E256&lt;=C256,"Green","Red"),IF(TODAY()&gt;C256,"Red",IF(C256-TODAY()&lt;=Config!$B$30,"Amber","Green"))))</f>
        <v/>
      </c>
      <c r="K256" s="46"/>
    </row>
    <row r="257" customFormat="false" ht="15" hidden="false" customHeight="false" outlineLevel="0" collapsed="false">
      <c r="A257" s="46"/>
      <c r="B257" s="46"/>
      <c r="C257" s="40"/>
      <c r="D257" s="40"/>
      <c r="E257" s="40"/>
      <c r="F257" s="27"/>
      <c r="G257" s="45"/>
      <c r="H257" s="48" t="str">
        <f aca="true">IF(OR(A257="",C257=""),"",IF(E257&lt;&gt;"",MAX(0,E257-C257),MAX(0,TODAY()-C257)))</f>
        <v/>
      </c>
      <c r="I257" s="49" t="str">
        <f aca="true">IF(OR(A257="",C257=""),"",IF(E257&lt;&gt;"",IF(E257&lt;=C257,"Completed","Completed Late"),IF(TODAY()&gt;C257,"Overdue","On Schedule")))</f>
        <v/>
      </c>
      <c r="J257" s="49" t="str">
        <f aca="true">IF(OR(A257="",C257=""),"",IF(E257&lt;&gt;"",IF(E257&lt;=C257,"Green","Red"),IF(TODAY()&gt;C257,"Red",IF(C257-TODAY()&lt;=Config!$B$30,"Amber","Green"))))</f>
        <v/>
      </c>
      <c r="K257" s="46"/>
    </row>
    <row r="258" customFormat="false" ht="15" hidden="false" customHeight="false" outlineLevel="0" collapsed="false">
      <c r="A258" s="46"/>
      <c r="B258" s="46"/>
      <c r="C258" s="40"/>
      <c r="D258" s="40"/>
      <c r="E258" s="40"/>
      <c r="F258" s="27"/>
      <c r="G258" s="45"/>
      <c r="H258" s="48" t="str">
        <f aca="true">IF(OR(A258="",C258=""),"",IF(E258&lt;&gt;"",MAX(0,E258-C258),MAX(0,TODAY()-C258)))</f>
        <v/>
      </c>
      <c r="I258" s="49" t="str">
        <f aca="true">IF(OR(A258="",C258=""),"",IF(E258&lt;&gt;"",IF(E258&lt;=C258,"Completed","Completed Late"),IF(TODAY()&gt;C258,"Overdue","On Schedule")))</f>
        <v/>
      </c>
      <c r="J258" s="49" t="str">
        <f aca="true">IF(OR(A258="",C258=""),"",IF(E258&lt;&gt;"",IF(E258&lt;=C258,"Green","Red"),IF(TODAY()&gt;C258,"Red",IF(C258-TODAY()&lt;=Config!$B$30,"Amber","Green"))))</f>
        <v/>
      </c>
      <c r="K258" s="46"/>
    </row>
    <row r="259" customFormat="false" ht="15" hidden="false" customHeight="false" outlineLevel="0" collapsed="false">
      <c r="A259" s="46"/>
      <c r="B259" s="46"/>
      <c r="C259" s="40"/>
      <c r="D259" s="40"/>
      <c r="E259" s="40"/>
      <c r="F259" s="27"/>
      <c r="G259" s="45"/>
      <c r="H259" s="48" t="str">
        <f aca="true">IF(OR(A259="",C259=""),"",IF(E259&lt;&gt;"",MAX(0,E259-C259),MAX(0,TODAY()-C259)))</f>
        <v/>
      </c>
      <c r="I259" s="49" t="str">
        <f aca="true">IF(OR(A259="",C259=""),"",IF(E259&lt;&gt;"",IF(E259&lt;=C259,"Completed","Completed Late"),IF(TODAY()&gt;C259,"Overdue","On Schedule")))</f>
        <v/>
      </c>
      <c r="J259" s="49" t="str">
        <f aca="true">IF(OR(A259="",C259=""),"",IF(E259&lt;&gt;"",IF(E259&lt;=C259,"Green","Red"),IF(TODAY()&gt;C259,"Red",IF(C259-TODAY()&lt;=Config!$B$30,"Amber","Green"))))</f>
        <v/>
      </c>
      <c r="K259" s="46"/>
    </row>
    <row r="260" customFormat="false" ht="15" hidden="false" customHeight="false" outlineLevel="0" collapsed="false">
      <c r="A260" s="46"/>
      <c r="B260" s="46"/>
      <c r="C260" s="40"/>
      <c r="D260" s="40"/>
      <c r="E260" s="40"/>
      <c r="F260" s="27"/>
      <c r="G260" s="45"/>
      <c r="H260" s="48" t="str">
        <f aca="true">IF(OR(A260="",C260=""),"",IF(E260&lt;&gt;"",MAX(0,E260-C260),MAX(0,TODAY()-C260)))</f>
        <v/>
      </c>
      <c r="I260" s="49" t="str">
        <f aca="true">IF(OR(A260="",C260=""),"",IF(E260&lt;&gt;"",IF(E260&lt;=C260,"Completed","Completed Late"),IF(TODAY()&gt;C260,"Overdue","On Schedule")))</f>
        <v/>
      </c>
      <c r="J260" s="49" t="str">
        <f aca="true">IF(OR(A260="",C260=""),"",IF(E260&lt;&gt;"",IF(E260&lt;=C260,"Green","Red"),IF(TODAY()&gt;C260,"Red",IF(C260-TODAY()&lt;=Config!$B$30,"Amber","Green"))))</f>
        <v/>
      </c>
      <c r="K260" s="46"/>
    </row>
    <row r="261" customFormat="false" ht="15" hidden="false" customHeight="false" outlineLevel="0" collapsed="false">
      <c r="A261" s="46"/>
      <c r="B261" s="46"/>
      <c r="C261" s="40"/>
      <c r="D261" s="40"/>
      <c r="E261" s="40"/>
      <c r="F261" s="27"/>
      <c r="G261" s="45"/>
      <c r="H261" s="48" t="str">
        <f aca="true">IF(OR(A261="",C261=""),"",IF(E261&lt;&gt;"",MAX(0,E261-C261),MAX(0,TODAY()-C261)))</f>
        <v/>
      </c>
      <c r="I261" s="49" t="str">
        <f aca="true">IF(OR(A261="",C261=""),"",IF(E261&lt;&gt;"",IF(E261&lt;=C261,"Completed","Completed Late"),IF(TODAY()&gt;C261,"Overdue","On Schedule")))</f>
        <v/>
      </c>
      <c r="J261" s="49" t="str">
        <f aca="true">IF(OR(A261="",C261=""),"",IF(E261&lt;&gt;"",IF(E261&lt;=C261,"Green","Red"),IF(TODAY()&gt;C261,"Red",IF(C261-TODAY()&lt;=Config!$B$30,"Amber","Green"))))</f>
        <v/>
      </c>
      <c r="K261" s="46"/>
    </row>
    <row r="262" customFormat="false" ht="15" hidden="false" customHeight="false" outlineLevel="0" collapsed="false">
      <c r="A262" s="46"/>
      <c r="B262" s="46"/>
      <c r="C262" s="40"/>
      <c r="D262" s="40"/>
      <c r="E262" s="40"/>
      <c r="F262" s="27"/>
      <c r="G262" s="45"/>
      <c r="H262" s="48" t="str">
        <f aca="true">IF(OR(A262="",C262=""),"",IF(E262&lt;&gt;"",MAX(0,E262-C262),MAX(0,TODAY()-C262)))</f>
        <v/>
      </c>
      <c r="I262" s="49" t="str">
        <f aca="true">IF(OR(A262="",C262=""),"",IF(E262&lt;&gt;"",IF(E262&lt;=C262,"Completed","Completed Late"),IF(TODAY()&gt;C262,"Overdue","On Schedule")))</f>
        <v/>
      </c>
      <c r="J262" s="49" t="str">
        <f aca="true">IF(OR(A262="",C262=""),"",IF(E262&lt;&gt;"",IF(E262&lt;=C262,"Green","Red"),IF(TODAY()&gt;C262,"Red",IF(C262-TODAY()&lt;=Config!$B$30,"Amber","Green"))))</f>
        <v/>
      </c>
      <c r="K262" s="46"/>
    </row>
    <row r="263" customFormat="false" ht="15" hidden="false" customHeight="false" outlineLevel="0" collapsed="false">
      <c r="A263" s="46"/>
      <c r="B263" s="46"/>
      <c r="C263" s="40"/>
      <c r="D263" s="40"/>
      <c r="E263" s="40"/>
      <c r="F263" s="27"/>
      <c r="G263" s="45"/>
      <c r="H263" s="48" t="str">
        <f aca="true">IF(OR(A263="",C263=""),"",IF(E263&lt;&gt;"",MAX(0,E263-C263),MAX(0,TODAY()-C263)))</f>
        <v/>
      </c>
      <c r="I263" s="49" t="str">
        <f aca="true">IF(OR(A263="",C263=""),"",IF(E263&lt;&gt;"",IF(E263&lt;=C263,"Completed","Completed Late"),IF(TODAY()&gt;C263,"Overdue","On Schedule")))</f>
        <v/>
      </c>
      <c r="J263" s="49" t="str">
        <f aca="true">IF(OR(A263="",C263=""),"",IF(E263&lt;&gt;"",IF(E263&lt;=C263,"Green","Red"),IF(TODAY()&gt;C263,"Red",IF(C263-TODAY()&lt;=Config!$B$30,"Amber","Green"))))</f>
        <v/>
      </c>
      <c r="K263" s="46"/>
    </row>
    <row r="264" customFormat="false" ht="15" hidden="false" customHeight="false" outlineLevel="0" collapsed="false">
      <c r="A264" s="46"/>
      <c r="B264" s="46"/>
      <c r="C264" s="40"/>
      <c r="D264" s="40"/>
      <c r="E264" s="40"/>
      <c r="F264" s="27"/>
      <c r="G264" s="45"/>
      <c r="H264" s="48" t="str">
        <f aca="true">IF(OR(A264="",C264=""),"",IF(E264&lt;&gt;"",MAX(0,E264-C264),MAX(0,TODAY()-C264)))</f>
        <v/>
      </c>
      <c r="I264" s="49" t="str">
        <f aca="true">IF(OR(A264="",C264=""),"",IF(E264&lt;&gt;"",IF(E264&lt;=C264,"Completed","Completed Late"),IF(TODAY()&gt;C264,"Overdue","On Schedule")))</f>
        <v/>
      </c>
      <c r="J264" s="49" t="str">
        <f aca="true">IF(OR(A264="",C264=""),"",IF(E264&lt;&gt;"",IF(E264&lt;=C264,"Green","Red"),IF(TODAY()&gt;C264,"Red",IF(C264-TODAY()&lt;=Config!$B$30,"Amber","Green"))))</f>
        <v/>
      </c>
      <c r="K264" s="46"/>
    </row>
    <row r="265" customFormat="false" ht="15" hidden="false" customHeight="false" outlineLevel="0" collapsed="false">
      <c r="A265" s="46"/>
      <c r="B265" s="46"/>
      <c r="C265" s="40"/>
      <c r="D265" s="40"/>
      <c r="E265" s="40"/>
      <c r="F265" s="27"/>
      <c r="G265" s="45"/>
      <c r="H265" s="48" t="str">
        <f aca="true">IF(OR(A265="",C265=""),"",IF(E265&lt;&gt;"",MAX(0,E265-C265),MAX(0,TODAY()-C265)))</f>
        <v/>
      </c>
      <c r="I265" s="49" t="str">
        <f aca="true">IF(OR(A265="",C265=""),"",IF(E265&lt;&gt;"",IF(E265&lt;=C265,"Completed","Completed Late"),IF(TODAY()&gt;C265,"Overdue","On Schedule")))</f>
        <v/>
      </c>
      <c r="J265" s="49" t="str">
        <f aca="true">IF(OR(A265="",C265=""),"",IF(E265&lt;&gt;"",IF(E265&lt;=C265,"Green","Red"),IF(TODAY()&gt;C265,"Red",IF(C265-TODAY()&lt;=Config!$B$30,"Amber","Green"))))</f>
        <v/>
      </c>
      <c r="K265" s="46"/>
    </row>
    <row r="266" customFormat="false" ht="15" hidden="false" customHeight="false" outlineLevel="0" collapsed="false">
      <c r="A266" s="46"/>
      <c r="B266" s="46"/>
      <c r="C266" s="40"/>
      <c r="D266" s="40"/>
      <c r="E266" s="40"/>
      <c r="F266" s="27"/>
      <c r="G266" s="45"/>
      <c r="H266" s="48" t="str">
        <f aca="true">IF(OR(A266="",C266=""),"",IF(E266&lt;&gt;"",MAX(0,E266-C266),MAX(0,TODAY()-C266)))</f>
        <v/>
      </c>
      <c r="I266" s="49" t="str">
        <f aca="true">IF(OR(A266="",C266=""),"",IF(E266&lt;&gt;"",IF(E266&lt;=C266,"Completed","Completed Late"),IF(TODAY()&gt;C266,"Overdue","On Schedule")))</f>
        <v/>
      </c>
      <c r="J266" s="49" t="str">
        <f aca="true">IF(OR(A266="",C266=""),"",IF(E266&lt;&gt;"",IF(E266&lt;=C266,"Green","Red"),IF(TODAY()&gt;C266,"Red",IF(C266-TODAY()&lt;=Config!$B$30,"Amber","Green"))))</f>
        <v/>
      </c>
      <c r="K266" s="46"/>
    </row>
    <row r="267" customFormat="false" ht="15" hidden="false" customHeight="false" outlineLevel="0" collapsed="false">
      <c r="A267" s="46"/>
      <c r="B267" s="46"/>
      <c r="C267" s="40"/>
      <c r="D267" s="40"/>
      <c r="E267" s="40"/>
      <c r="F267" s="27"/>
      <c r="G267" s="45"/>
      <c r="H267" s="48" t="str">
        <f aca="true">IF(OR(A267="",C267=""),"",IF(E267&lt;&gt;"",MAX(0,E267-C267),MAX(0,TODAY()-C267)))</f>
        <v/>
      </c>
      <c r="I267" s="49" t="str">
        <f aca="true">IF(OR(A267="",C267=""),"",IF(E267&lt;&gt;"",IF(E267&lt;=C267,"Completed","Completed Late"),IF(TODAY()&gt;C267,"Overdue","On Schedule")))</f>
        <v/>
      </c>
      <c r="J267" s="49" t="str">
        <f aca="true">IF(OR(A267="",C267=""),"",IF(E267&lt;&gt;"",IF(E267&lt;=C267,"Green","Red"),IF(TODAY()&gt;C267,"Red",IF(C267-TODAY()&lt;=Config!$B$30,"Amber","Green"))))</f>
        <v/>
      </c>
      <c r="K267" s="46"/>
    </row>
    <row r="268" customFormat="false" ht="15" hidden="false" customHeight="false" outlineLevel="0" collapsed="false">
      <c r="A268" s="46"/>
      <c r="B268" s="46"/>
      <c r="C268" s="40"/>
      <c r="D268" s="40"/>
      <c r="E268" s="40"/>
      <c r="F268" s="27"/>
      <c r="G268" s="45"/>
      <c r="H268" s="48" t="str">
        <f aca="true">IF(OR(A268="",C268=""),"",IF(E268&lt;&gt;"",MAX(0,E268-C268),MAX(0,TODAY()-C268)))</f>
        <v/>
      </c>
      <c r="I268" s="49" t="str">
        <f aca="true">IF(OR(A268="",C268=""),"",IF(E268&lt;&gt;"",IF(E268&lt;=C268,"Completed","Completed Late"),IF(TODAY()&gt;C268,"Overdue","On Schedule")))</f>
        <v/>
      </c>
      <c r="J268" s="49" t="str">
        <f aca="true">IF(OR(A268="",C268=""),"",IF(E268&lt;&gt;"",IF(E268&lt;=C268,"Green","Red"),IF(TODAY()&gt;C268,"Red",IF(C268-TODAY()&lt;=Config!$B$30,"Amber","Green"))))</f>
        <v/>
      </c>
      <c r="K268" s="46"/>
    </row>
    <row r="269" customFormat="false" ht="15" hidden="false" customHeight="false" outlineLevel="0" collapsed="false">
      <c r="A269" s="46"/>
      <c r="B269" s="46"/>
      <c r="C269" s="40"/>
      <c r="D269" s="40"/>
      <c r="E269" s="40"/>
      <c r="F269" s="27"/>
      <c r="G269" s="45"/>
      <c r="H269" s="48" t="str">
        <f aca="true">IF(OR(A269="",C269=""),"",IF(E269&lt;&gt;"",MAX(0,E269-C269),MAX(0,TODAY()-C269)))</f>
        <v/>
      </c>
      <c r="I269" s="49" t="str">
        <f aca="true">IF(OR(A269="",C269=""),"",IF(E269&lt;&gt;"",IF(E269&lt;=C269,"Completed","Completed Late"),IF(TODAY()&gt;C269,"Overdue","On Schedule")))</f>
        <v/>
      </c>
      <c r="J269" s="49" t="str">
        <f aca="true">IF(OR(A269="",C269=""),"",IF(E269&lt;&gt;"",IF(E269&lt;=C269,"Green","Red"),IF(TODAY()&gt;C269,"Red",IF(C269-TODAY()&lt;=Config!$B$30,"Amber","Green"))))</f>
        <v/>
      </c>
      <c r="K269" s="46"/>
    </row>
    <row r="270" customFormat="false" ht="15" hidden="false" customHeight="false" outlineLevel="0" collapsed="false">
      <c r="A270" s="46"/>
      <c r="B270" s="46"/>
      <c r="C270" s="40"/>
      <c r="D270" s="40"/>
      <c r="E270" s="40"/>
      <c r="F270" s="27"/>
      <c r="G270" s="45"/>
      <c r="H270" s="48" t="str">
        <f aca="true">IF(OR(A270="",C270=""),"",IF(E270&lt;&gt;"",MAX(0,E270-C270),MAX(0,TODAY()-C270)))</f>
        <v/>
      </c>
      <c r="I270" s="49" t="str">
        <f aca="true">IF(OR(A270="",C270=""),"",IF(E270&lt;&gt;"",IF(E270&lt;=C270,"Completed","Completed Late"),IF(TODAY()&gt;C270,"Overdue","On Schedule")))</f>
        <v/>
      </c>
      <c r="J270" s="49" t="str">
        <f aca="true">IF(OR(A270="",C270=""),"",IF(E270&lt;&gt;"",IF(E270&lt;=C270,"Green","Red"),IF(TODAY()&gt;C270,"Red",IF(C270-TODAY()&lt;=Config!$B$30,"Amber","Green"))))</f>
        <v/>
      </c>
      <c r="K270" s="46"/>
    </row>
    <row r="271" customFormat="false" ht="15" hidden="false" customHeight="false" outlineLevel="0" collapsed="false">
      <c r="A271" s="46"/>
      <c r="B271" s="46"/>
      <c r="C271" s="40"/>
      <c r="D271" s="40"/>
      <c r="E271" s="40"/>
      <c r="F271" s="27"/>
      <c r="G271" s="45"/>
      <c r="H271" s="48" t="str">
        <f aca="true">IF(OR(A271="",C271=""),"",IF(E271&lt;&gt;"",MAX(0,E271-C271),MAX(0,TODAY()-C271)))</f>
        <v/>
      </c>
      <c r="I271" s="49" t="str">
        <f aca="true">IF(OR(A271="",C271=""),"",IF(E271&lt;&gt;"",IF(E271&lt;=C271,"Completed","Completed Late"),IF(TODAY()&gt;C271,"Overdue","On Schedule")))</f>
        <v/>
      </c>
      <c r="J271" s="49" t="str">
        <f aca="true">IF(OR(A271="",C271=""),"",IF(E271&lt;&gt;"",IF(E271&lt;=C271,"Green","Red"),IF(TODAY()&gt;C271,"Red",IF(C271-TODAY()&lt;=Config!$B$30,"Amber","Green"))))</f>
        <v/>
      </c>
      <c r="K271" s="46"/>
    </row>
    <row r="272" customFormat="false" ht="15" hidden="false" customHeight="false" outlineLevel="0" collapsed="false">
      <c r="A272" s="46"/>
      <c r="B272" s="46"/>
      <c r="C272" s="40"/>
      <c r="D272" s="40"/>
      <c r="E272" s="40"/>
      <c r="F272" s="27"/>
      <c r="G272" s="45"/>
      <c r="H272" s="48" t="str">
        <f aca="true">IF(OR(A272="",C272=""),"",IF(E272&lt;&gt;"",MAX(0,E272-C272),MAX(0,TODAY()-C272)))</f>
        <v/>
      </c>
      <c r="I272" s="49" t="str">
        <f aca="true">IF(OR(A272="",C272=""),"",IF(E272&lt;&gt;"",IF(E272&lt;=C272,"Completed","Completed Late"),IF(TODAY()&gt;C272,"Overdue","On Schedule")))</f>
        <v/>
      </c>
      <c r="J272" s="49" t="str">
        <f aca="true">IF(OR(A272="",C272=""),"",IF(E272&lt;&gt;"",IF(E272&lt;=C272,"Green","Red"),IF(TODAY()&gt;C272,"Red",IF(C272-TODAY()&lt;=Config!$B$30,"Amber","Green"))))</f>
        <v/>
      </c>
      <c r="K272" s="46"/>
    </row>
    <row r="273" customFormat="false" ht="15" hidden="false" customHeight="false" outlineLevel="0" collapsed="false">
      <c r="A273" s="46"/>
      <c r="B273" s="46"/>
      <c r="C273" s="40"/>
      <c r="D273" s="40"/>
      <c r="E273" s="40"/>
      <c r="F273" s="27"/>
      <c r="G273" s="45"/>
      <c r="H273" s="48" t="str">
        <f aca="true">IF(OR(A273="",C273=""),"",IF(E273&lt;&gt;"",MAX(0,E273-C273),MAX(0,TODAY()-C273)))</f>
        <v/>
      </c>
      <c r="I273" s="49" t="str">
        <f aca="true">IF(OR(A273="",C273=""),"",IF(E273&lt;&gt;"",IF(E273&lt;=C273,"Completed","Completed Late"),IF(TODAY()&gt;C273,"Overdue","On Schedule")))</f>
        <v/>
      </c>
      <c r="J273" s="49" t="str">
        <f aca="true">IF(OR(A273="",C273=""),"",IF(E273&lt;&gt;"",IF(E273&lt;=C273,"Green","Red"),IF(TODAY()&gt;C273,"Red",IF(C273-TODAY()&lt;=Config!$B$30,"Amber","Green"))))</f>
        <v/>
      </c>
      <c r="K273" s="46"/>
    </row>
    <row r="274" customFormat="false" ht="15" hidden="false" customHeight="false" outlineLevel="0" collapsed="false">
      <c r="A274" s="46"/>
      <c r="B274" s="46"/>
      <c r="C274" s="40"/>
      <c r="D274" s="40"/>
      <c r="E274" s="40"/>
      <c r="F274" s="27"/>
      <c r="G274" s="45"/>
      <c r="H274" s="48" t="str">
        <f aca="true">IF(OR(A274="",C274=""),"",IF(E274&lt;&gt;"",MAX(0,E274-C274),MAX(0,TODAY()-C274)))</f>
        <v/>
      </c>
      <c r="I274" s="49" t="str">
        <f aca="true">IF(OR(A274="",C274=""),"",IF(E274&lt;&gt;"",IF(E274&lt;=C274,"Completed","Completed Late"),IF(TODAY()&gt;C274,"Overdue","On Schedule")))</f>
        <v/>
      </c>
      <c r="J274" s="49" t="str">
        <f aca="true">IF(OR(A274="",C274=""),"",IF(E274&lt;&gt;"",IF(E274&lt;=C274,"Green","Red"),IF(TODAY()&gt;C274,"Red",IF(C274-TODAY()&lt;=Config!$B$30,"Amber","Green"))))</f>
        <v/>
      </c>
      <c r="K274" s="46"/>
    </row>
    <row r="275" customFormat="false" ht="15" hidden="false" customHeight="false" outlineLevel="0" collapsed="false">
      <c r="A275" s="46"/>
      <c r="B275" s="46"/>
      <c r="C275" s="40"/>
      <c r="D275" s="40"/>
      <c r="E275" s="40"/>
      <c r="F275" s="27"/>
      <c r="G275" s="45"/>
      <c r="H275" s="48" t="str">
        <f aca="true">IF(OR(A275="",C275=""),"",IF(E275&lt;&gt;"",MAX(0,E275-C275),MAX(0,TODAY()-C275)))</f>
        <v/>
      </c>
      <c r="I275" s="49" t="str">
        <f aca="true">IF(OR(A275="",C275=""),"",IF(E275&lt;&gt;"",IF(E275&lt;=C275,"Completed","Completed Late"),IF(TODAY()&gt;C275,"Overdue","On Schedule")))</f>
        <v/>
      </c>
      <c r="J275" s="49" t="str">
        <f aca="true">IF(OR(A275="",C275=""),"",IF(E275&lt;&gt;"",IF(E275&lt;=C275,"Green","Red"),IF(TODAY()&gt;C275,"Red",IF(C275-TODAY()&lt;=Config!$B$30,"Amber","Green"))))</f>
        <v/>
      </c>
      <c r="K275" s="46"/>
    </row>
    <row r="276" customFormat="false" ht="15" hidden="false" customHeight="false" outlineLevel="0" collapsed="false">
      <c r="A276" s="46"/>
      <c r="B276" s="46"/>
      <c r="C276" s="40"/>
      <c r="D276" s="40"/>
      <c r="E276" s="40"/>
      <c r="F276" s="27"/>
      <c r="G276" s="45"/>
      <c r="H276" s="48" t="str">
        <f aca="true">IF(OR(A276="",C276=""),"",IF(E276&lt;&gt;"",MAX(0,E276-C276),MAX(0,TODAY()-C276)))</f>
        <v/>
      </c>
      <c r="I276" s="49" t="str">
        <f aca="true">IF(OR(A276="",C276=""),"",IF(E276&lt;&gt;"",IF(E276&lt;=C276,"Completed","Completed Late"),IF(TODAY()&gt;C276,"Overdue","On Schedule")))</f>
        <v/>
      </c>
      <c r="J276" s="49" t="str">
        <f aca="true">IF(OR(A276="",C276=""),"",IF(E276&lt;&gt;"",IF(E276&lt;=C276,"Green","Red"),IF(TODAY()&gt;C276,"Red",IF(C276-TODAY()&lt;=Config!$B$30,"Amber","Green"))))</f>
        <v/>
      </c>
      <c r="K276" s="46"/>
    </row>
    <row r="277" customFormat="false" ht="15" hidden="false" customHeight="false" outlineLevel="0" collapsed="false">
      <c r="A277" s="46"/>
      <c r="B277" s="46"/>
      <c r="C277" s="40"/>
      <c r="D277" s="40"/>
      <c r="E277" s="40"/>
      <c r="F277" s="27"/>
      <c r="G277" s="45"/>
      <c r="H277" s="48" t="str">
        <f aca="true">IF(OR(A277="",C277=""),"",IF(E277&lt;&gt;"",MAX(0,E277-C277),MAX(0,TODAY()-C277)))</f>
        <v/>
      </c>
      <c r="I277" s="49" t="str">
        <f aca="true">IF(OR(A277="",C277=""),"",IF(E277&lt;&gt;"",IF(E277&lt;=C277,"Completed","Completed Late"),IF(TODAY()&gt;C277,"Overdue","On Schedule")))</f>
        <v/>
      </c>
      <c r="J277" s="49" t="str">
        <f aca="true">IF(OR(A277="",C277=""),"",IF(E277&lt;&gt;"",IF(E277&lt;=C277,"Green","Red"),IF(TODAY()&gt;C277,"Red",IF(C277-TODAY()&lt;=Config!$B$30,"Amber","Green"))))</f>
        <v/>
      </c>
      <c r="K277" s="46"/>
    </row>
    <row r="278" customFormat="false" ht="15" hidden="false" customHeight="false" outlineLevel="0" collapsed="false">
      <c r="A278" s="46"/>
      <c r="B278" s="46"/>
      <c r="C278" s="40"/>
      <c r="D278" s="40"/>
      <c r="E278" s="40"/>
      <c r="F278" s="27"/>
      <c r="G278" s="45"/>
      <c r="H278" s="48" t="str">
        <f aca="true">IF(OR(A278="",C278=""),"",IF(E278&lt;&gt;"",MAX(0,E278-C278),MAX(0,TODAY()-C278)))</f>
        <v/>
      </c>
      <c r="I278" s="49" t="str">
        <f aca="true">IF(OR(A278="",C278=""),"",IF(E278&lt;&gt;"",IF(E278&lt;=C278,"Completed","Completed Late"),IF(TODAY()&gt;C278,"Overdue","On Schedule")))</f>
        <v/>
      </c>
      <c r="J278" s="49" t="str">
        <f aca="true">IF(OR(A278="",C278=""),"",IF(E278&lt;&gt;"",IF(E278&lt;=C278,"Green","Red"),IF(TODAY()&gt;C278,"Red",IF(C278-TODAY()&lt;=Config!$B$30,"Amber","Green"))))</f>
        <v/>
      </c>
      <c r="K278" s="46"/>
    </row>
    <row r="279" customFormat="false" ht="15" hidden="false" customHeight="false" outlineLevel="0" collapsed="false">
      <c r="A279" s="46"/>
      <c r="B279" s="46"/>
      <c r="C279" s="40"/>
      <c r="D279" s="40"/>
      <c r="E279" s="40"/>
      <c r="F279" s="27"/>
      <c r="G279" s="45"/>
      <c r="H279" s="48" t="str">
        <f aca="true">IF(OR(A279="",C279=""),"",IF(E279&lt;&gt;"",MAX(0,E279-C279),MAX(0,TODAY()-C279)))</f>
        <v/>
      </c>
      <c r="I279" s="49" t="str">
        <f aca="true">IF(OR(A279="",C279=""),"",IF(E279&lt;&gt;"",IF(E279&lt;=C279,"Completed","Completed Late"),IF(TODAY()&gt;C279,"Overdue","On Schedule")))</f>
        <v/>
      </c>
      <c r="J279" s="49" t="str">
        <f aca="true">IF(OR(A279="",C279=""),"",IF(E279&lt;&gt;"",IF(E279&lt;=C279,"Green","Red"),IF(TODAY()&gt;C279,"Red",IF(C279-TODAY()&lt;=Config!$B$30,"Amber","Green"))))</f>
        <v/>
      </c>
      <c r="K279" s="46"/>
    </row>
    <row r="280" customFormat="false" ht="15" hidden="false" customHeight="false" outlineLevel="0" collapsed="false">
      <c r="A280" s="46"/>
      <c r="B280" s="46"/>
      <c r="C280" s="40"/>
      <c r="D280" s="40"/>
      <c r="E280" s="40"/>
      <c r="F280" s="27"/>
      <c r="G280" s="45"/>
      <c r="H280" s="48" t="str">
        <f aca="true">IF(OR(A280="",C280=""),"",IF(E280&lt;&gt;"",MAX(0,E280-C280),MAX(0,TODAY()-C280)))</f>
        <v/>
      </c>
      <c r="I280" s="49" t="str">
        <f aca="true">IF(OR(A280="",C280=""),"",IF(E280&lt;&gt;"",IF(E280&lt;=C280,"Completed","Completed Late"),IF(TODAY()&gt;C280,"Overdue","On Schedule")))</f>
        <v/>
      </c>
      <c r="J280" s="49" t="str">
        <f aca="true">IF(OR(A280="",C280=""),"",IF(E280&lt;&gt;"",IF(E280&lt;=C280,"Green","Red"),IF(TODAY()&gt;C280,"Red",IF(C280-TODAY()&lt;=Config!$B$30,"Amber","Green"))))</f>
        <v/>
      </c>
      <c r="K280" s="46"/>
    </row>
    <row r="281" customFormat="false" ht="15" hidden="false" customHeight="false" outlineLevel="0" collapsed="false">
      <c r="A281" s="46"/>
      <c r="B281" s="46"/>
      <c r="C281" s="40"/>
      <c r="D281" s="40"/>
      <c r="E281" s="40"/>
      <c r="F281" s="27"/>
      <c r="G281" s="45"/>
      <c r="H281" s="48" t="str">
        <f aca="true">IF(OR(A281="",C281=""),"",IF(E281&lt;&gt;"",MAX(0,E281-C281),MAX(0,TODAY()-C281)))</f>
        <v/>
      </c>
      <c r="I281" s="49" t="str">
        <f aca="true">IF(OR(A281="",C281=""),"",IF(E281&lt;&gt;"",IF(E281&lt;=C281,"Completed","Completed Late"),IF(TODAY()&gt;C281,"Overdue","On Schedule")))</f>
        <v/>
      </c>
      <c r="J281" s="49" t="str">
        <f aca="true">IF(OR(A281="",C281=""),"",IF(E281&lt;&gt;"",IF(E281&lt;=C281,"Green","Red"),IF(TODAY()&gt;C281,"Red",IF(C281-TODAY()&lt;=Config!$B$30,"Amber","Green"))))</f>
        <v/>
      </c>
      <c r="K281" s="46"/>
    </row>
    <row r="282" customFormat="false" ht="15" hidden="false" customHeight="false" outlineLevel="0" collapsed="false">
      <c r="A282" s="46"/>
      <c r="B282" s="46"/>
      <c r="C282" s="40"/>
      <c r="D282" s="40"/>
      <c r="E282" s="40"/>
      <c r="F282" s="27"/>
      <c r="G282" s="45"/>
      <c r="H282" s="48" t="str">
        <f aca="true">IF(OR(A282="",C282=""),"",IF(E282&lt;&gt;"",MAX(0,E282-C282),MAX(0,TODAY()-C282)))</f>
        <v/>
      </c>
      <c r="I282" s="49" t="str">
        <f aca="true">IF(OR(A282="",C282=""),"",IF(E282&lt;&gt;"",IF(E282&lt;=C282,"Completed","Completed Late"),IF(TODAY()&gt;C282,"Overdue","On Schedule")))</f>
        <v/>
      </c>
      <c r="J282" s="49" t="str">
        <f aca="true">IF(OR(A282="",C282=""),"",IF(E282&lt;&gt;"",IF(E282&lt;=C282,"Green","Red"),IF(TODAY()&gt;C282,"Red",IF(C282-TODAY()&lt;=Config!$B$30,"Amber","Green"))))</f>
        <v/>
      </c>
      <c r="K282" s="46"/>
    </row>
    <row r="283" customFormat="false" ht="15" hidden="false" customHeight="false" outlineLevel="0" collapsed="false">
      <c r="A283" s="46"/>
      <c r="B283" s="46"/>
      <c r="C283" s="40"/>
      <c r="D283" s="40"/>
      <c r="E283" s="40"/>
      <c r="F283" s="27"/>
      <c r="G283" s="45"/>
      <c r="H283" s="48" t="str">
        <f aca="true">IF(OR(A283="",C283=""),"",IF(E283&lt;&gt;"",MAX(0,E283-C283),MAX(0,TODAY()-C283)))</f>
        <v/>
      </c>
      <c r="I283" s="49" t="str">
        <f aca="true">IF(OR(A283="",C283=""),"",IF(E283&lt;&gt;"",IF(E283&lt;=C283,"Completed","Completed Late"),IF(TODAY()&gt;C283,"Overdue","On Schedule")))</f>
        <v/>
      </c>
      <c r="J283" s="49" t="str">
        <f aca="true">IF(OR(A283="",C283=""),"",IF(E283&lt;&gt;"",IF(E283&lt;=C283,"Green","Red"),IF(TODAY()&gt;C283,"Red",IF(C283-TODAY()&lt;=Config!$B$30,"Amber","Green"))))</f>
        <v/>
      </c>
      <c r="K283" s="46"/>
    </row>
    <row r="284" customFormat="false" ht="15" hidden="false" customHeight="false" outlineLevel="0" collapsed="false">
      <c r="A284" s="46"/>
      <c r="B284" s="46"/>
      <c r="C284" s="40"/>
      <c r="D284" s="40"/>
      <c r="E284" s="40"/>
      <c r="F284" s="27"/>
      <c r="G284" s="45"/>
      <c r="H284" s="48" t="str">
        <f aca="true">IF(OR(A284="",C284=""),"",IF(E284&lt;&gt;"",MAX(0,E284-C284),MAX(0,TODAY()-C284)))</f>
        <v/>
      </c>
      <c r="I284" s="49" t="str">
        <f aca="true">IF(OR(A284="",C284=""),"",IF(E284&lt;&gt;"",IF(E284&lt;=C284,"Completed","Completed Late"),IF(TODAY()&gt;C284,"Overdue","On Schedule")))</f>
        <v/>
      </c>
      <c r="J284" s="49" t="str">
        <f aca="true">IF(OR(A284="",C284=""),"",IF(E284&lt;&gt;"",IF(E284&lt;=C284,"Green","Red"),IF(TODAY()&gt;C284,"Red",IF(C284-TODAY()&lt;=Config!$B$30,"Amber","Green"))))</f>
        <v/>
      </c>
      <c r="K284" s="46"/>
    </row>
    <row r="285" customFormat="false" ht="15" hidden="false" customHeight="false" outlineLevel="0" collapsed="false">
      <c r="A285" s="46"/>
      <c r="B285" s="46"/>
      <c r="C285" s="40"/>
      <c r="D285" s="40"/>
      <c r="E285" s="40"/>
      <c r="F285" s="27"/>
      <c r="G285" s="45"/>
      <c r="H285" s="48" t="str">
        <f aca="true">IF(OR(A285="",C285=""),"",IF(E285&lt;&gt;"",MAX(0,E285-C285),MAX(0,TODAY()-C285)))</f>
        <v/>
      </c>
      <c r="I285" s="49" t="str">
        <f aca="true">IF(OR(A285="",C285=""),"",IF(E285&lt;&gt;"",IF(E285&lt;=C285,"Completed","Completed Late"),IF(TODAY()&gt;C285,"Overdue","On Schedule")))</f>
        <v/>
      </c>
      <c r="J285" s="49" t="str">
        <f aca="true">IF(OR(A285="",C285=""),"",IF(E285&lt;&gt;"",IF(E285&lt;=C285,"Green","Red"),IF(TODAY()&gt;C285,"Red",IF(C285-TODAY()&lt;=Config!$B$30,"Amber","Green"))))</f>
        <v/>
      </c>
      <c r="K285" s="46"/>
    </row>
    <row r="286" customFormat="false" ht="15" hidden="false" customHeight="false" outlineLevel="0" collapsed="false">
      <c r="A286" s="46"/>
      <c r="B286" s="46"/>
      <c r="C286" s="40"/>
      <c r="D286" s="40"/>
      <c r="E286" s="40"/>
      <c r="F286" s="27"/>
      <c r="G286" s="45"/>
      <c r="H286" s="48" t="str">
        <f aca="true">IF(OR(A286="",C286=""),"",IF(E286&lt;&gt;"",MAX(0,E286-C286),MAX(0,TODAY()-C286)))</f>
        <v/>
      </c>
      <c r="I286" s="49" t="str">
        <f aca="true">IF(OR(A286="",C286=""),"",IF(E286&lt;&gt;"",IF(E286&lt;=C286,"Completed","Completed Late"),IF(TODAY()&gt;C286,"Overdue","On Schedule")))</f>
        <v/>
      </c>
      <c r="J286" s="49" t="str">
        <f aca="true">IF(OR(A286="",C286=""),"",IF(E286&lt;&gt;"",IF(E286&lt;=C286,"Green","Red"),IF(TODAY()&gt;C286,"Red",IF(C286-TODAY()&lt;=Config!$B$30,"Amber","Green"))))</f>
        <v/>
      </c>
      <c r="K286" s="46"/>
    </row>
    <row r="287" customFormat="false" ht="15" hidden="false" customHeight="false" outlineLevel="0" collapsed="false">
      <c r="A287" s="46"/>
      <c r="B287" s="46"/>
      <c r="C287" s="40"/>
      <c r="D287" s="40"/>
      <c r="E287" s="40"/>
      <c r="F287" s="27"/>
      <c r="G287" s="45"/>
      <c r="H287" s="48" t="str">
        <f aca="true">IF(OR(A287="",C287=""),"",IF(E287&lt;&gt;"",MAX(0,E287-C287),MAX(0,TODAY()-C287)))</f>
        <v/>
      </c>
      <c r="I287" s="49" t="str">
        <f aca="true">IF(OR(A287="",C287=""),"",IF(E287&lt;&gt;"",IF(E287&lt;=C287,"Completed","Completed Late"),IF(TODAY()&gt;C287,"Overdue","On Schedule")))</f>
        <v/>
      </c>
      <c r="J287" s="49" t="str">
        <f aca="true">IF(OR(A287="",C287=""),"",IF(E287&lt;&gt;"",IF(E287&lt;=C287,"Green","Red"),IF(TODAY()&gt;C287,"Red",IF(C287-TODAY()&lt;=Config!$B$30,"Amber","Green"))))</f>
        <v/>
      </c>
      <c r="K287" s="46"/>
    </row>
    <row r="288" customFormat="false" ht="15" hidden="false" customHeight="false" outlineLevel="0" collapsed="false">
      <c r="A288" s="46"/>
      <c r="B288" s="46"/>
      <c r="C288" s="40"/>
      <c r="D288" s="40"/>
      <c r="E288" s="40"/>
      <c r="F288" s="27"/>
      <c r="G288" s="45"/>
      <c r="H288" s="48" t="str">
        <f aca="true">IF(OR(A288="",C288=""),"",IF(E288&lt;&gt;"",MAX(0,E288-C288),MAX(0,TODAY()-C288)))</f>
        <v/>
      </c>
      <c r="I288" s="49" t="str">
        <f aca="true">IF(OR(A288="",C288=""),"",IF(E288&lt;&gt;"",IF(E288&lt;=C288,"Completed","Completed Late"),IF(TODAY()&gt;C288,"Overdue","On Schedule")))</f>
        <v/>
      </c>
      <c r="J288" s="49" t="str">
        <f aca="true">IF(OR(A288="",C288=""),"",IF(E288&lt;&gt;"",IF(E288&lt;=C288,"Green","Red"),IF(TODAY()&gt;C288,"Red",IF(C288-TODAY()&lt;=Config!$B$30,"Amber","Green"))))</f>
        <v/>
      </c>
      <c r="K288" s="46"/>
    </row>
    <row r="289" customFormat="false" ht="15" hidden="false" customHeight="false" outlineLevel="0" collapsed="false">
      <c r="A289" s="46"/>
      <c r="B289" s="46"/>
      <c r="C289" s="40"/>
      <c r="D289" s="40"/>
      <c r="E289" s="40"/>
      <c r="F289" s="27"/>
      <c r="G289" s="45"/>
      <c r="H289" s="48" t="str">
        <f aca="true">IF(OR(A289="",C289=""),"",IF(E289&lt;&gt;"",MAX(0,E289-C289),MAX(0,TODAY()-C289)))</f>
        <v/>
      </c>
      <c r="I289" s="49" t="str">
        <f aca="true">IF(OR(A289="",C289=""),"",IF(E289&lt;&gt;"",IF(E289&lt;=C289,"Completed","Completed Late"),IF(TODAY()&gt;C289,"Overdue","On Schedule")))</f>
        <v/>
      </c>
      <c r="J289" s="49" t="str">
        <f aca="true">IF(OR(A289="",C289=""),"",IF(E289&lt;&gt;"",IF(E289&lt;=C289,"Green","Red"),IF(TODAY()&gt;C289,"Red",IF(C289-TODAY()&lt;=Config!$B$30,"Amber","Green"))))</f>
        <v/>
      </c>
      <c r="K289" s="46"/>
    </row>
    <row r="290" customFormat="false" ht="15" hidden="false" customHeight="false" outlineLevel="0" collapsed="false">
      <c r="A290" s="46"/>
      <c r="B290" s="46"/>
      <c r="C290" s="40"/>
      <c r="D290" s="40"/>
      <c r="E290" s="40"/>
      <c r="F290" s="27"/>
      <c r="G290" s="45"/>
      <c r="H290" s="48" t="str">
        <f aca="true">IF(OR(A290="",C290=""),"",IF(E290&lt;&gt;"",MAX(0,E290-C290),MAX(0,TODAY()-C290)))</f>
        <v/>
      </c>
      <c r="I290" s="49" t="str">
        <f aca="true">IF(OR(A290="",C290=""),"",IF(E290&lt;&gt;"",IF(E290&lt;=C290,"Completed","Completed Late"),IF(TODAY()&gt;C290,"Overdue","On Schedule")))</f>
        <v/>
      </c>
      <c r="J290" s="49" t="str">
        <f aca="true">IF(OR(A290="",C290=""),"",IF(E290&lt;&gt;"",IF(E290&lt;=C290,"Green","Red"),IF(TODAY()&gt;C290,"Red",IF(C290-TODAY()&lt;=Config!$B$30,"Amber","Green"))))</f>
        <v/>
      </c>
      <c r="K290" s="46"/>
    </row>
    <row r="291" customFormat="false" ht="15" hidden="false" customHeight="false" outlineLevel="0" collapsed="false">
      <c r="A291" s="46"/>
      <c r="B291" s="46"/>
      <c r="C291" s="40"/>
      <c r="D291" s="40"/>
      <c r="E291" s="40"/>
      <c r="F291" s="27"/>
      <c r="G291" s="45"/>
      <c r="H291" s="48" t="str">
        <f aca="true">IF(OR(A291="",C291=""),"",IF(E291&lt;&gt;"",MAX(0,E291-C291),MAX(0,TODAY()-C291)))</f>
        <v/>
      </c>
      <c r="I291" s="49" t="str">
        <f aca="true">IF(OR(A291="",C291=""),"",IF(E291&lt;&gt;"",IF(E291&lt;=C291,"Completed","Completed Late"),IF(TODAY()&gt;C291,"Overdue","On Schedule")))</f>
        <v/>
      </c>
      <c r="J291" s="49" t="str">
        <f aca="true">IF(OR(A291="",C291=""),"",IF(E291&lt;&gt;"",IF(E291&lt;=C291,"Green","Red"),IF(TODAY()&gt;C291,"Red",IF(C291-TODAY()&lt;=Config!$B$30,"Amber","Green"))))</f>
        <v/>
      </c>
      <c r="K291" s="46"/>
    </row>
    <row r="292" customFormat="false" ht="15" hidden="false" customHeight="false" outlineLevel="0" collapsed="false">
      <c r="A292" s="46"/>
      <c r="B292" s="46"/>
      <c r="C292" s="40"/>
      <c r="D292" s="40"/>
      <c r="E292" s="40"/>
      <c r="F292" s="27"/>
      <c r="G292" s="45"/>
      <c r="H292" s="48" t="str">
        <f aca="true">IF(OR(A292="",C292=""),"",IF(E292&lt;&gt;"",MAX(0,E292-C292),MAX(0,TODAY()-C292)))</f>
        <v/>
      </c>
      <c r="I292" s="49" t="str">
        <f aca="true">IF(OR(A292="",C292=""),"",IF(E292&lt;&gt;"",IF(E292&lt;=C292,"Completed","Completed Late"),IF(TODAY()&gt;C292,"Overdue","On Schedule")))</f>
        <v/>
      </c>
      <c r="J292" s="49" t="str">
        <f aca="true">IF(OR(A292="",C292=""),"",IF(E292&lt;&gt;"",IF(E292&lt;=C292,"Green","Red"),IF(TODAY()&gt;C292,"Red",IF(C292-TODAY()&lt;=Config!$B$30,"Amber","Green"))))</f>
        <v/>
      </c>
      <c r="K292" s="46"/>
    </row>
    <row r="293" customFormat="false" ht="15" hidden="false" customHeight="false" outlineLevel="0" collapsed="false">
      <c r="A293" s="46"/>
      <c r="B293" s="46"/>
      <c r="C293" s="40"/>
      <c r="D293" s="40"/>
      <c r="E293" s="40"/>
      <c r="F293" s="27"/>
      <c r="G293" s="45"/>
      <c r="H293" s="48" t="str">
        <f aca="true">IF(OR(A293="",C293=""),"",IF(E293&lt;&gt;"",MAX(0,E293-C293),MAX(0,TODAY()-C293)))</f>
        <v/>
      </c>
      <c r="I293" s="49" t="str">
        <f aca="true">IF(OR(A293="",C293=""),"",IF(E293&lt;&gt;"",IF(E293&lt;=C293,"Completed","Completed Late"),IF(TODAY()&gt;C293,"Overdue","On Schedule")))</f>
        <v/>
      </c>
      <c r="J293" s="49" t="str">
        <f aca="true">IF(OR(A293="",C293=""),"",IF(E293&lt;&gt;"",IF(E293&lt;=C293,"Green","Red"),IF(TODAY()&gt;C293,"Red",IF(C293-TODAY()&lt;=Config!$B$30,"Amber","Green"))))</f>
        <v/>
      </c>
      <c r="K293" s="46"/>
    </row>
    <row r="294" customFormat="false" ht="15" hidden="false" customHeight="false" outlineLevel="0" collapsed="false">
      <c r="A294" s="46"/>
      <c r="B294" s="46"/>
      <c r="C294" s="40"/>
      <c r="D294" s="40"/>
      <c r="E294" s="40"/>
      <c r="F294" s="27"/>
      <c r="G294" s="45"/>
      <c r="H294" s="48" t="str">
        <f aca="true">IF(OR(A294="",C294=""),"",IF(E294&lt;&gt;"",MAX(0,E294-C294),MAX(0,TODAY()-C294)))</f>
        <v/>
      </c>
      <c r="I294" s="49" t="str">
        <f aca="true">IF(OR(A294="",C294=""),"",IF(E294&lt;&gt;"",IF(E294&lt;=C294,"Completed","Completed Late"),IF(TODAY()&gt;C294,"Overdue","On Schedule")))</f>
        <v/>
      </c>
      <c r="J294" s="49" t="str">
        <f aca="true">IF(OR(A294="",C294=""),"",IF(E294&lt;&gt;"",IF(E294&lt;=C294,"Green","Red"),IF(TODAY()&gt;C294,"Red",IF(C294-TODAY()&lt;=Config!$B$30,"Amber","Green"))))</f>
        <v/>
      </c>
      <c r="K294" s="46"/>
    </row>
    <row r="295" customFormat="false" ht="15" hidden="false" customHeight="false" outlineLevel="0" collapsed="false">
      <c r="A295" s="46"/>
      <c r="B295" s="46"/>
      <c r="C295" s="40"/>
      <c r="D295" s="40"/>
      <c r="E295" s="40"/>
      <c r="F295" s="27"/>
      <c r="G295" s="45"/>
      <c r="H295" s="48" t="str">
        <f aca="true">IF(OR(A295="",C295=""),"",IF(E295&lt;&gt;"",MAX(0,E295-C295),MAX(0,TODAY()-C295)))</f>
        <v/>
      </c>
      <c r="I295" s="49" t="str">
        <f aca="true">IF(OR(A295="",C295=""),"",IF(E295&lt;&gt;"",IF(E295&lt;=C295,"Completed","Completed Late"),IF(TODAY()&gt;C295,"Overdue","On Schedule")))</f>
        <v/>
      </c>
      <c r="J295" s="49" t="str">
        <f aca="true">IF(OR(A295="",C295=""),"",IF(E295&lt;&gt;"",IF(E295&lt;=C295,"Green","Red"),IF(TODAY()&gt;C295,"Red",IF(C295-TODAY()&lt;=Config!$B$30,"Amber","Green"))))</f>
        <v/>
      </c>
      <c r="K295" s="46"/>
    </row>
    <row r="296" customFormat="false" ht="15" hidden="false" customHeight="false" outlineLevel="0" collapsed="false">
      <c r="A296" s="46"/>
      <c r="B296" s="46"/>
      <c r="C296" s="40"/>
      <c r="D296" s="40"/>
      <c r="E296" s="40"/>
      <c r="F296" s="27"/>
      <c r="G296" s="45"/>
      <c r="H296" s="48" t="str">
        <f aca="true">IF(OR(A296="",C296=""),"",IF(E296&lt;&gt;"",MAX(0,E296-C296),MAX(0,TODAY()-C296)))</f>
        <v/>
      </c>
      <c r="I296" s="49" t="str">
        <f aca="true">IF(OR(A296="",C296=""),"",IF(E296&lt;&gt;"",IF(E296&lt;=C296,"Completed","Completed Late"),IF(TODAY()&gt;C296,"Overdue","On Schedule")))</f>
        <v/>
      </c>
      <c r="J296" s="49" t="str">
        <f aca="true">IF(OR(A296="",C296=""),"",IF(E296&lt;&gt;"",IF(E296&lt;=C296,"Green","Red"),IF(TODAY()&gt;C296,"Red",IF(C296-TODAY()&lt;=Config!$B$30,"Amber","Green"))))</f>
        <v/>
      </c>
      <c r="K296" s="46"/>
    </row>
    <row r="297" customFormat="false" ht="15" hidden="false" customHeight="false" outlineLevel="0" collapsed="false">
      <c r="A297" s="46"/>
      <c r="B297" s="46"/>
      <c r="C297" s="40"/>
      <c r="D297" s="40"/>
      <c r="E297" s="40"/>
      <c r="F297" s="27"/>
      <c r="G297" s="45"/>
      <c r="H297" s="48" t="str">
        <f aca="true">IF(OR(A297="",C297=""),"",IF(E297&lt;&gt;"",MAX(0,E297-C297),MAX(0,TODAY()-C297)))</f>
        <v/>
      </c>
      <c r="I297" s="49" t="str">
        <f aca="true">IF(OR(A297="",C297=""),"",IF(E297&lt;&gt;"",IF(E297&lt;=C297,"Completed","Completed Late"),IF(TODAY()&gt;C297,"Overdue","On Schedule")))</f>
        <v/>
      </c>
      <c r="J297" s="49" t="str">
        <f aca="true">IF(OR(A297="",C297=""),"",IF(E297&lt;&gt;"",IF(E297&lt;=C297,"Green","Red"),IF(TODAY()&gt;C297,"Red",IF(C297-TODAY()&lt;=Config!$B$30,"Amber","Green"))))</f>
        <v/>
      </c>
      <c r="K297" s="46"/>
    </row>
    <row r="298" customFormat="false" ht="15" hidden="false" customHeight="false" outlineLevel="0" collapsed="false">
      <c r="A298" s="46"/>
      <c r="B298" s="46"/>
      <c r="C298" s="40"/>
      <c r="D298" s="40"/>
      <c r="E298" s="40"/>
      <c r="F298" s="27"/>
      <c r="G298" s="45"/>
      <c r="H298" s="48" t="str">
        <f aca="true">IF(OR(A298="",C298=""),"",IF(E298&lt;&gt;"",MAX(0,E298-C298),MAX(0,TODAY()-C298)))</f>
        <v/>
      </c>
      <c r="I298" s="49" t="str">
        <f aca="true">IF(OR(A298="",C298=""),"",IF(E298&lt;&gt;"",IF(E298&lt;=C298,"Completed","Completed Late"),IF(TODAY()&gt;C298,"Overdue","On Schedule")))</f>
        <v/>
      </c>
      <c r="J298" s="49" t="str">
        <f aca="true">IF(OR(A298="",C298=""),"",IF(E298&lt;&gt;"",IF(E298&lt;=C298,"Green","Red"),IF(TODAY()&gt;C298,"Red",IF(C298-TODAY()&lt;=Config!$B$30,"Amber","Green"))))</f>
        <v/>
      </c>
      <c r="K298" s="46"/>
    </row>
    <row r="299" customFormat="false" ht="15" hidden="false" customHeight="false" outlineLevel="0" collapsed="false">
      <c r="A299" s="46"/>
      <c r="B299" s="46"/>
      <c r="C299" s="40"/>
      <c r="D299" s="40"/>
      <c r="E299" s="40"/>
      <c r="F299" s="27"/>
      <c r="G299" s="45"/>
      <c r="H299" s="48" t="str">
        <f aca="true">IF(OR(A299="",C299=""),"",IF(E299&lt;&gt;"",MAX(0,E299-C299),MAX(0,TODAY()-C299)))</f>
        <v/>
      </c>
      <c r="I299" s="49" t="str">
        <f aca="true">IF(OR(A299="",C299=""),"",IF(E299&lt;&gt;"",IF(E299&lt;=C299,"Completed","Completed Late"),IF(TODAY()&gt;C299,"Overdue","On Schedule")))</f>
        <v/>
      </c>
      <c r="J299" s="49" t="str">
        <f aca="true">IF(OR(A299="",C299=""),"",IF(E299&lt;&gt;"",IF(E299&lt;=C299,"Green","Red"),IF(TODAY()&gt;C299,"Red",IF(C299-TODAY()&lt;=Config!$B$30,"Amber","Green"))))</f>
        <v/>
      </c>
      <c r="K299" s="46"/>
    </row>
    <row r="300" customFormat="false" ht="15" hidden="false" customHeight="false" outlineLevel="0" collapsed="false">
      <c r="A300" s="46"/>
      <c r="B300" s="46"/>
      <c r="C300" s="40"/>
      <c r="D300" s="40"/>
      <c r="E300" s="40"/>
      <c r="F300" s="27"/>
      <c r="G300" s="45"/>
      <c r="H300" s="48" t="str">
        <f aca="true">IF(OR(A300="",C300=""),"",IF(E300&lt;&gt;"",MAX(0,E300-C300),MAX(0,TODAY()-C300)))</f>
        <v/>
      </c>
      <c r="I300" s="49" t="str">
        <f aca="true">IF(OR(A300="",C300=""),"",IF(E300&lt;&gt;"",IF(E300&lt;=C300,"Completed","Completed Late"),IF(TODAY()&gt;C300,"Overdue","On Schedule")))</f>
        <v/>
      </c>
      <c r="J300" s="49" t="str">
        <f aca="true">IF(OR(A300="",C300=""),"",IF(E300&lt;&gt;"",IF(E300&lt;=C300,"Green","Red"),IF(TODAY()&gt;C300,"Red",IF(C300-TODAY()&lt;=Config!$B$30,"Amber","Green"))))</f>
        <v/>
      </c>
      <c r="K300" s="46"/>
    </row>
    <row r="301" customFormat="false" ht="15" hidden="false" customHeight="false" outlineLevel="0" collapsed="false">
      <c r="A301" s="46"/>
      <c r="B301" s="46"/>
      <c r="C301" s="40"/>
      <c r="D301" s="40"/>
      <c r="E301" s="40"/>
      <c r="F301" s="27"/>
      <c r="G301" s="45"/>
      <c r="H301" s="48" t="str">
        <f aca="true">IF(OR(A301="",C301=""),"",IF(E301&lt;&gt;"",MAX(0,E301-C301),MAX(0,TODAY()-C301)))</f>
        <v/>
      </c>
      <c r="I301" s="49" t="str">
        <f aca="true">IF(OR(A301="",C301=""),"",IF(E301&lt;&gt;"",IF(E301&lt;=C301,"Completed","Completed Late"),IF(TODAY()&gt;C301,"Overdue","On Schedule")))</f>
        <v/>
      </c>
      <c r="J301" s="49" t="str">
        <f aca="true">IF(OR(A301="",C301=""),"",IF(E301&lt;&gt;"",IF(E301&lt;=C301,"Green","Red"),IF(TODAY()&gt;C301,"Red",IF(C301-TODAY()&lt;=Config!$B$30,"Amber","Green"))))</f>
        <v/>
      </c>
      <c r="K301" s="46"/>
    </row>
    <row r="302" customFormat="false" ht="15" hidden="false" customHeight="false" outlineLevel="0" collapsed="false">
      <c r="A302" s="46"/>
      <c r="B302" s="46"/>
      <c r="C302" s="40"/>
      <c r="D302" s="40"/>
      <c r="E302" s="40"/>
      <c r="F302" s="27"/>
      <c r="G302" s="45"/>
      <c r="H302" s="48" t="str">
        <f aca="true">IF(OR(A302="",C302=""),"",IF(E302&lt;&gt;"",MAX(0,E302-C302),MAX(0,TODAY()-C302)))</f>
        <v/>
      </c>
      <c r="I302" s="49" t="str">
        <f aca="true">IF(OR(A302="",C302=""),"",IF(E302&lt;&gt;"",IF(E302&lt;=C302,"Completed","Completed Late"),IF(TODAY()&gt;C302,"Overdue","On Schedule")))</f>
        <v/>
      </c>
      <c r="J302" s="49" t="str">
        <f aca="true">IF(OR(A302="",C302=""),"",IF(E302&lt;&gt;"",IF(E302&lt;=C302,"Green","Red"),IF(TODAY()&gt;C302,"Red",IF(C302-TODAY()&lt;=Config!$B$30,"Amber","Green"))))</f>
        <v/>
      </c>
      <c r="K302" s="46"/>
    </row>
    <row r="303" customFormat="false" ht="15" hidden="false" customHeight="false" outlineLevel="0" collapsed="false">
      <c r="A303" s="46"/>
      <c r="B303" s="46"/>
      <c r="C303" s="40"/>
      <c r="D303" s="40"/>
      <c r="E303" s="40"/>
      <c r="F303" s="27"/>
      <c r="G303" s="45"/>
      <c r="H303" s="48" t="str">
        <f aca="true">IF(OR(A303="",C303=""),"",IF(E303&lt;&gt;"",MAX(0,E303-C303),MAX(0,TODAY()-C303)))</f>
        <v/>
      </c>
      <c r="I303" s="49" t="str">
        <f aca="true">IF(OR(A303="",C303=""),"",IF(E303&lt;&gt;"",IF(E303&lt;=C303,"Completed","Completed Late"),IF(TODAY()&gt;C303,"Overdue","On Schedule")))</f>
        <v/>
      </c>
      <c r="J303" s="49" t="str">
        <f aca="true">IF(OR(A303="",C303=""),"",IF(E303&lt;&gt;"",IF(E303&lt;=C303,"Green","Red"),IF(TODAY()&gt;C303,"Red",IF(C303-TODAY()&lt;=Config!$B$30,"Amber","Green"))))</f>
        <v/>
      </c>
      <c r="K303" s="46"/>
    </row>
    <row r="304" customFormat="false" ht="15" hidden="false" customHeight="false" outlineLevel="0" collapsed="false">
      <c r="A304" s="46"/>
      <c r="B304" s="46"/>
      <c r="C304" s="40"/>
      <c r="D304" s="40"/>
      <c r="E304" s="40"/>
      <c r="F304" s="27"/>
      <c r="G304" s="45"/>
      <c r="H304" s="48" t="str">
        <f aca="true">IF(OR(A304="",C304=""),"",IF(E304&lt;&gt;"",MAX(0,E304-C304),MAX(0,TODAY()-C304)))</f>
        <v/>
      </c>
      <c r="I304" s="49" t="str">
        <f aca="true">IF(OR(A304="",C304=""),"",IF(E304&lt;&gt;"",IF(E304&lt;=C304,"Completed","Completed Late"),IF(TODAY()&gt;C304,"Overdue","On Schedule")))</f>
        <v/>
      </c>
      <c r="J304" s="49" t="str">
        <f aca="true">IF(OR(A304="",C304=""),"",IF(E304&lt;&gt;"",IF(E304&lt;=C304,"Green","Red"),IF(TODAY()&gt;C304,"Red",IF(C304-TODAY()&lt;=Config!$B$30,"Amber","Green"))))</f>
        <v/>
      </c>
      <c r="K304" s="46"/>
    </row>
    <row r="305" customFormat="false" ht="15" hidden="false" customHeight="false" outlineLevel="0" collapsed="false">
      <c r="A305" s="46"/>
      <c r="B305" s="46"/>
      <c r="C305" s="40"/>
      <c r="D305" s="40"/>
      <c r="E305" s="40"/>
      <c r="F305" s="27"/>
      <c r="G305" s="45"/>
      <c r="H305" s="48" t="str">
        <f aca="true">IF(OR(A305="",C305=""),"",IF(E305&lt;&gt;"",MAX(0,E305-C305),MAX(0,TODAY()-C305)))</f>
        <v/>
      </c>
      <c r="I305" s="49" t="str">
        <f aca="true">IF(OR(A305="",C305=""),"",IF(E305&lt;&gt;"",IF(E305&lt;=C305,"Completed","Completed Late"),IF(TODAY()&gt;C305,"Overdue","On Schedule")))</f>
        <v/>
      </c>
      <c r="J305" s="49" t="str">
        <f aca="true">IF(OR(A305="",C305=""),"",IF(E305&lt;&gt;"",IF(E305&lt;=C305,"Green","Red"),IF(TODAY()&gt;C305,"Red",IF(C305-TODAY()&lt;=Config!$B$30,"Amber","Green"))))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conditionalFormatting sqref="I6:I305">
    <cfRule type="cellIs" priority="5" operator="equal" aboveAverage="0" equalAverage="0" bottom="0" percent="0" rank="0" text="" dxfId="10">
      <formula>"Overdue"</formula>
    </cfRule>
    <cfRule type="cellIs" priority="6" operator="equal" aboveAverage="0" equalAverage="0" bottom="0" percent="0" rank="0" text="" dxfId="9">
      <formula>"Completed Late"</formula>
    </cfRule>
    <cfRule type="cellIs" priority="7" operator="equal" aboveAverage="0" equalAverage="0" bottom="0" percent="0" rank="0" text="" dxfId="8">
      <formula>"Completed"</formula>
    </cfRule>
  </conditionalFormatting>
  <dataValidations count="5"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false" error="Please choose a value from the dropdown (list 'Yes/No' on the Lists sheet)." errorStyle="stop" errorTitle="Pick from the list" operator="between" showDropDown="false" showErrorMessage="true" showInputMessage="false" sqref="G6:G305" type="list">
      <formula1>Lists!$H$2:$H$40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R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36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1"/>
    <col collapsed="false" customWidth="true" hidden="false" outlineLevel="0" max="10" min="10" style="1" width="36"/>
    <col collapsed="false" customWidth="true" hidden="false" outlineLevel="0" max="11" min="11" style="1" width="11"/>
    <col collapsed="false" customWidth="true" hidden="false" outlineLevel="0" max="12" min="12" style="1" width="36"/>
    <col collapsed="false" customWidth="true" hidden="false" outlineLevel="0" max="13" min="13" style="1" width="11"/>
    <col collapsed="false" customWidth="true" hidden="false" outlineLevel="0" max="14" min="14" style="1" width="36"/>
    <col collapsed="false" customWidth="true" hidden="false" outlineLevel="0" max="15" min="15" style="1" width="11"/>
    <col collapsed="false" customWidth="true" hidden="false" outlineLevel="0" max="16" min="16" style="1" width="36"/>
    <col collapsed="false" customWidth="true" hidden="false" outlineLevel="0" max="17" min="17" style="1" width="44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2" t="s">
        <v>443</v>
      </c>
    </row>
    <row r="2" customFormat="false" ht="15" hidden="false" customHeight="true" outlineLevel="0" collapsed="false">
      <c r="A2" s="23" t="s">
        <v>444</v>
      </c>
    </row>
    <row r="3" customFormat="false" ht="15" hidden="false" customHeight="true" outlineLevel="0" collapsed="false">
      <c r="A3" s="35" t="s">
        <v>445</v>
      </c>
    </row>
    <row r="5" customFormat="false" ht="43.5" hidden="false" customHeight="true" outlineLevel="0" collapsed="false">
      <c r="A5" s="39" t="s">
        <v>232</v>
      </c>
      <c r="B5" s="39" t="s">
        <v>281</v>
      </c>
      <c r="C5" s="39" t="s">
        <v>446</v>
      </c>
      <c r="D5" s="39" t="s">
        <v>260</v>
      </c>
      <c r="E5" s="39" t="s">
        <v>447</v>
      </c>
      <c r="F5" s="39" t="s">
        <v>448</v>
      </c>
      <c r="G5" s="39" t="s">
        <v>449</v>
      </c>
      <c r="H5" s="39" t="s">
        <v>450</v>
      </c>
      <c r="I5" s="39" t="s">
        <v>451</v>
      </c>
      <c r="J5" s="39" t="s">
        <v>452</v>
      </c>
      <c r="K5" s="39" t="s">
        <v>453</v>
      </c>
      <c r="L5" s="39" t="s">
        <v>454</v>
      </c>
      <c r="M5" s="39" t="s">
        <v>455</v>
      </c>
      <c r="N5" s="39" t="s">
        <v>456</v>
      </c>
      <c r="O5" s="39" t="s">
        <v>457</v>
      </c>
      <c r="P5" s="39" t="s">
        <v>458</v>
      </c>
      <c r="Q5" s="39" t="s">
        <v>459</v>
      </c>
      <c r="R5" s="39" t="s">
        <v>262</v>
      </c>
    </row>
    <row r="6" customFormat="false" ht="15" hidden="false" customHeight="false" outlineLevel="0" collapsed="false">
      <c r="A6" s="40" t="n">
        <v>46276</v>
      </c>
      <c r="B6" s="46" t="s">
        <v>322</v>
      </c>
      <c r="C6" s="40" t="n">
        <v>46328</v>
      </c>
      <c r="D6" s="45" t="s">
        <v>63</v>
      </c>
      <c r="E6" s="45" t="s">
        <v>63</v>
      </c>
      <c r="F6" s="46" t="s">
        <v>460</v>
      </c>
      <c r="G6" s="45" t="s">
        <v>63</v>
      </c>
      <c r="H6" s="46" t="s">
        <v>461</v>
      </c>
      <c r="I6" s="45" t="s">
        <v>63</v>
      </c>
      <c r="J6" s="46" t="s">
        <v>462</v>
      </c>
      <c r="K6" s="45" t="s">
        <v>63</v>
      </c>
      <c r="L6" s="46" t="s">
        <v>463</v>
      </c>
      <c r="M6" s="45" t="s">
        <v>63</v>
      </c>
      <c r="N6" s="46" t="s">
        <v>464</v>
      </c>
      <c r="O6" s="45" t="s">
        <v>63</v>
      </c>
      <c r="P6" s="46" t="s">
        <v>465</v>
      </c>
      <c r="Q6" s="46"/>
      <c r="R6" s="46"/>
    </row>
    <row r="7" customFormat="false" ht="15" hidden="false" customHeight="false" outlineLevel="0" collapsed="false">
      <c r="A7" s="40" t="n">
        <v>46276</v>
      </c>
      <c r="B7" s="46" t="s">
        <v>333</v>
      </c>
      <c r="C7" s="40" t="n">
        <v>46349</v>
      </c>
      <c r="D7" s="45" t="s">
        <v>63</v>
      </c>
      <c r="E7" s="45" t="s">
        <v>63</v>
      </c>
      <c r="F7" s="46" t="s">
        <v>460</v>
      </c>
      <c r="G7" s="45" t="s">
        <v>63</v>
      </c>
      <c r="H7" s="46" t="s">
        <v>461</v>
      </c>
      <c r="I7" s="45" t="s">
        <v>63</v>
      </c>
      <c r="J7" s="46" t="s">
        <v>462</v>
      </c>
      <c r="K7" s="45" t="s">
        <v>63</v>
      </c>
      <c r="L7" s="46" t="s">
        <v>463</v>
      </c>
      <c r="M7" s="45" t="s">
        <v>63</v>
      </c>
      <c r="N7" s="46" t="s">
        <v>464</v>
      </c>
      <c r="O7" s="45" t="s">
        <v>63</v>
      </c>
      <c r="P7" s="46" t="s">
        <v>465</v>
      </c>
      <c r="Q7" s="46"/>
      <c r="R7" s="46"/>
    </row>
    <row r="8" customFormat="false" ht="15" hidden="false" customHeight="false" outlineLevel="0" collapsed="false">
      <c r="A8" s="40" t="n">
        <v>46283</v>
      </c>
      <c r="B8" s="46" t="s">
        <v>322</v>
      </c>
      <c r="C8" s="40" t="n">
        <v>46328</v>
      </c>
      <c r="D8" s="45" t="s">
        <v>63</v>
      </c>
      <c r="E8" s="45" t="s">
        <v>63</v>
      </c>
      <c r="F8" s="46" t="s">
        <v>460</v>
      </c>
      <c r="G8" s="45" t="s">
        <v>63</v>
      </c>
      <c r="H8" s="46" t="s">
        <v>461</v>
      </c>
      <c r="I8" s="45" t="s">
        <v>63</v>
      </c>
      <c r="J8" s="46" t="s">
        <v>462</v>
      </c>
      <c r="K8" s="45" t="s">
        <v>63</v>
      </c>
      <c r="L8" s="46" t="s">
        <v>463</v>
      </c>
      <c r="M8" s="45" t="s">
        <v>63</v>
      </c>
      <c r="N8" s="46" t="s">
        <v>464</v>
      </c>
      <c r="O8" s="45" t="s">
        <v>63</v>
      </c>
      <c r="P8" s="46" t="s">
        <v>465</v>
      </c>
      <c r="Q8" s="46"/>
      <c r="R8" s="46"/>
    </row>
    <row r="9" customFormat="false" ht="15" hidden="false" customHeight="false" outlineLevel="0" collapsed="false">
      <c r="A9" s="40" t="n">
        <v>46283</v>
      </c>
      <c r="B9" s="46" t="s">
        <v>333</v>
      </c>
      <c r="C9" s="40" t="n">
        <v>46349</v>
      </c>
      <c r="D9" s="45" t="s">
        <v>63</v>
      </c>
      <c r="E9" s="45" t="s">
        <v>63</v>
      </c>
      <c r="F9" s="46" t="s">
        <v>460</v>
      </c>
      <c r="G9" s="45" t="s">
        <v>63</v>
      </c>
      <c r="H9" s="46" t="s">
        <v>461</v>
      </c>
      <c r="I9" s="45" t="s">
        <v>63</v>
      </c>
      <c r="J9" s="46" t="s">
        <v>462</v>
      </c>
      <c r="K9" s="45" t="s">
        <v>63</v>
      </c>
      <c r="L9" s="46" t="s">
        <v>463</v>
      </c>
      <c r="M9" s="45" t="s">
        <v>63</v>
      </c>
      <c r="N9" s="46" t="s">
        <v>464</v>
      </c>
      <c r="O9" s="45" t="s">
        <v>63</v>
      </c>
      <c r="P9" s="46" t="s">
        <v>465</v>
      </c>
      <c r="Q9" s="46"/>
      <c r="R9" s="46"/>
    </row>
    <row r="10" customFormat="false" ht="15" hidden="false" customHeight="false" outlineLevel="0" collapsed="false">
      <c r="A10" s="40" t="n">
        <v>46290</v>
      </c>
      <c r="B10" s="46" t="s">
        <v>322</v>
      </c>
      <c r="C10" s="40" t="n">
        <v>46328</v>
      </c>
      <c r="D10" s="45" t="s">
        <v>63</v>
      </c>
      <c r="E10" s="45" t="s">
        <v>63</v>
      </c>
      <c r="F10" s="46" t="s">
        <v>460</v>
      </c>
      <c r="G10" s="45" t="s">
        <v>63</v>
      </c>
      <c r="H10" s="46" t="s">
        <v>461</v>
      </c>
      <c r="I10" s="45" t="s">
        <v>63</v>
      </c>
      <c r="J10" s="46" t="s">
        <v>462</v>
      </c>
      <c r="K10" s="45" t="s">
        <v>63</v>
      </c>
      <c r="L10" s="46" t="s">
        <v>463</v>
      </c>
      <c r="M10" s="45" t="s">
        <v>63</v>
      </c>
      <c r="N10" s="46" t="s">
        <v>464</v>
      </c>
      <c r="O10" s="45" t="s">
        <v>63</v>
      </c>
      <c r="P10" s="46" t="s">
        <v>465</v>
      </c>
      <c r="Q10" s="46"/>
      <c r="R10" s="46"/>
    </row>
    <row r="11" customFormat="false" ht="15" hidden="false" customHeight="false" outlineLevel="0" collapsed="false">
      <c r="A11" s="40" t="n">
        <v>46290</v>
      </c>
      <c r="B11" s="46" t="s">
        <v>333</v>
      </c>
      <c r="C11" s="40" t="n">
        <v>46349</v>
      </c>
      <c r="D11" s="45" t="s">
        <v>63</v>
      </c>
      <c r="E11" s="45" t="s">
        <v>63</v>
      </c>
      <c r="F11" s="46" t="s">
        <v>460</v>
      </c>
      <c r="G11" s="45" t="s">
        <v>63</v>
      </c>
      <c r="H11" s="46" t="s">
        <v>461</v>
      </c>
      <c r="I11" s="45" t="s">
        <v>63</v>
      </c>
      <c r="J11" s="46" t="s">
        <v>462</v>
      </c>
      <c r="K11" s="45" t="s">
        <v>63</v>
      </c>
      <c r="L11" s="46" t="s">
        <v>463</v>
      </c>
      <c r="M11" s="45" t="s">
        <v>63</v>
      </c>
      <c r="N11" s="46" t="s">
        <v>464</v>
      </c>
      <c r="O11" s="45" t="s">
        <v>63</v>
      </c>
      <c r="P11" s="46" t="s">
        <v>465</v>
      </c>
      <c r="Q11" s="46"/>
      <c r="R11" s="46"/>
    </row>
    <row r="12" customFormat="false" ht="15" hidden="false" customHeight="false" outlineLevel="0" collapsed="false">
      <c r="A12" s="40" t="n">
        <v>46297</v>
      </c>
      <c r="B12" s="46" t="s">
        <v>322</v>
      </c>
      <c r="C12" s="40" t="n">
        <v>46328</v>
      </c>
      <c r="D12" s="45" t="s">
        <v>63</v>
      </c>
      <c r="E12" s="45" t="s">
        <v>63</v>
      </c>
      <c r="F12" s="46" t="s">
        <v>460</v>
      </c>
      <c r="G12" s="45" t="s">
        <v>63</v>
      </c>
      <c r="H12" s="46" t="s">
        <v>461</v>
      </c>
      <c r="I12" s="45" t="s">
        <v>63</v>
      </c>
      <c r="J12" s="46" t="s">
        <v>462</v>
      </c>
      <c r="K12" s="45" t="s">
        <v>63</v>
      </c>
      <c r="L12" s="46" t="s">
        <v>463</v>
      </c>
      <c r="M12" s="45" t="s">
        <v>63</v>
      </c>
      <c r="N12" s="46" t="s">
        <v>464</v>
      </c>
      <c r="O12" s="45" t="s">
        <v>63</v>
      </c>
      <c r="P12" s="46" t="s">
        <v>465</v>
      </c>
      <c r="Q12" s="46"/>
      <c r="R12" s="46"/>
    </row>
    <row r="13" customFormat="false" ht="15" hidden="false" customHeight="false" outlineLevel="0" collapsed="false">
      <c r="A13" s="40" t="n">
        <v>46297</v>
      </c>
      <c r="B13" s="46" t="s">
        <v>333</v>
      </c>
      <c r="C13" s="40" t="n">
        <v>46349</v>
      </c>
      <c r="D13" s="45" t="s">
        <v>63</v>
      </c>
      <c r="E13" s="45" t="s">
        <v>63</v>
      </c>
      <c r="F13" s="46" t="s">
        <v>460</v>
      </c>
      <c r="G13" s="45" t="s">
        <v>63</v>
      </c>
      <c r="H13" s="46" t="s">
        <v>461</v>
      </c>
      <c r="I13" s="45" t="s">
        <v>63</v>
      </c>
      <c r="J13" s="46" t="s">
        <v>462</v>
      </c>
      <c r="K13" s="45" t="s">
        <v>63</v>
      </c>
      <c r="L13" s="46" t="s">
        <v>463</v>
      </c>
      <c r="M13" s="45" t="s">
        <v>63</v>
      </c>
      <c r="N13" s="46" t="s">
        <v>464</v>
      </c>
      <c r="O13" s="45" t="s">
        <v>63</v>
      </c>
      <c r="P13" s="46" t="s">
        <v>465</v>
      </c>
      <c r="Q13" s="46"/>
      <c r="R13" s="46"/>
    </row>
    <row r="14" customFormat="false" ht="15" hidden="false" customHeight="false" outlineLevel="0" collapsed="false">
      <c r="A14" s="40"/>
      <c r="B14" s="46"/>
      <c r="C14" s="40"/>
      <c r="D14" s="45"/>
      <c r="E14" s="45"/>
      <c r="F14" s="46"/>
      <c r="G14" s="45"/>
      <c r="H14" s="46"/>
      <c r="I14" s="45"/>
      <c r="J14" s="46"/>
      <c r="K14" s="45"/>
      <c r="L14" s="46"/>
      <c r="M14" s="45"/>
      <c r="N14" s="46"/>
      <c r="O14" s="45"/>
      <c r="P14" s="46"/>
      <c r="Q14" s="46"/>
      <c r="R14" s="46"/>
    </row>
    <row r="15" customFormat="false" ht="15" hidden="false" customHeight="false" outlineLevel="0" collapsed="false">
      <c r="A15" s="40"/>
      <c r="B15" s="46"/>
      <c r="C15" s="40"/>
      <c r="D15" s="45"/>
      <c r="E15" s="45"/>
      <c r="F15" s="46"/>
      <c r="G15" s="45"/>
      <c r="H15" s="46"/>
      <c r="I15" s="45"/>
      <c r="J15" s="46"/>
      <c r="K15" s="45"/>
      <c r="L15" s="46"/>
      <c r="M15" s="45"/>
      <c r="N15" s="46"/>
      <c r="O15" s="45"/>
      <c r="P15" s="46"/>
      <c r="Q15" s="46"/>
      <c r="R15" s="46"/>
    </row>
    <row r="16" customFormat="false" ht="15" hidden="false" customHeight="false" outlineLevel="0" collapsed="false">
      <c r="A16" s="40"/>
      <c r="B16" s="46"/>
      <c r="C16" s="40"/>
      <c r="D16" s="45"/>
      <c r="E16" s="45"/>
      <c r="F16" s="46"/>
      <c r="G16" s="45"/>
      <c r="H16" s="46"/>
      <c r="I16" s="45"/>
      <c r="J16" s="46"/>
      <c r="K16" s="45"/>
      <c r="L16" s="46"/>
      <c r="M16" s="45"/>
      <c r="N16" s="46"/>
      <c r="O16" s="45"/>
      <c r="P16" s="46"/>
      <c r="Q16" s="46"/>
      <c r="R16" s="46"/>
    </row>
    <row r="17" customFormat="false" ht="15" hidden="false" customHeight="false" outlineLevel="0" collapsed="false">
      <c r="A17" s="40"/>
      <c r="B17" s="46"/>
      <c r="C17" s="40"/>
      <c r="D17" s="45"/>
      <c r="E17" s="45"/>
      <c r="F17" s="46"/>
      <c r="G17" s="45"/>
      <c r="H17" s="46"/>
      <c r="I17" s="45"/>
      <c r="J17" s="46"/>
      <c r="K17" s="45"/>
      <c r="L17" s="46"/>
      <c r="M17" s="45"/>
      <c r="N17" s="46"/>
      <c r="O17" s="45"/>
      <c r="P17" s="46"/>
      <c r="Q17" s="46"/>
      <c r="R17" s="46"/>
    </row>
    <row r="18" customFormat="false" ht="15" hidden="false" customHeight="false" outlineLevel="0" collapsed="false">
      <c r="A18" s="40"/>
      <c r="B18" s="46"/>
      <c r="C18" s="40"/>
      <c r="D18" s="45"/>
      <c r="E18" s="45"/>
      <c r="F18" s="46"/>
      <c r="G18" s="45"/>
      <c r="H18" s="46"/>
      <c r="I18" s="45"/>
      <c r="J18" s="46"/>
      <c r="K18" s="45"/>
      <c r="L18" s="46"/>
      <c r="M18" s="45"/>
      <c r="N18" s="46"/>
      <c r="O18" s="45"/>
      <c r="P18" s="46"/>
      <c r="Q18" s="46"/>
      <c r="R18" s="46"/>
    </row>
    <row r="19" customFormat="false" ht="15" hidden="false" customHeight="false" outlineLevel="0" collapsed="false">
      <c r="A19" s="40"/>
      <c r="B19" s="46"/>
      <c r="C19" s="40"/>
      <c r="D19" s="45"/>
      <c r="E19" s="45"/>
      <c r="F19" s="46"/>
      <c r="G19" s="45"/>
      <c r="H19" s="46"/>
      <c r="I19" s="45"/>
      <c r="J19" s="46"/>
      <c r="K19" s="45"/>
      <c r="L19" s="46"/>
      <c r="M19" s="45"/>
      <c r="N19" s="46"/>
      <c r="O19" s="45"/>
      <c r="P19" s="46"/>
      <c r="Q19" s="46"/>
      <c r="R19" s="46"/>
    </row>
    <row r="20" customFormat="false" ht="15" hidden="false" customHeight="false" outlineLevel="0" collapsed="false">
      <c r="A20" s="40"/>
      <c r="B20" s="46"/>
      <c r="C20" s="40"/>
      <c r="D20" s="45"/>
      <c r="E20" s="45"/>
      <c r="F20" s="46"/>
      <c r="G20" s="45"/>
      <c r="H20" s="46"/>
      <c r="I20" s="45"/>
      <c r="J20" s="46"/>
      <c r="K20" s="45"/>
      <c r="L20" s="46"/>
      <c r="M20" s="45"/>
      <c r="N20" s="46"/>
      <c r="O20" s="45"/>
      <c r="P20" s="46"/>
      <c r="Q20" s="46"/>
      <c r="R20" s="46"/>
    </row>
    <row r="21" customFormat="false" ht="15" hidden="false" customHeight="false" outlineLevel="0" collapsed="false">
      <c r="A21" s="40"/>
      <c r="B21" s="46"/>
      <c r="C21" s="40"/>
      <c r="D21" s="45"/>
      <c r="E21" s="45"/>
      <c r="F21" s="46"/>
      <c r="G21" s="45"/>
      <c r="H21" s="46"/>
      <c r="I21" s="45"/>
      <c r="J21" s="46"/>
      <c r="K21" s="45"/>
      <c r="L21" s="46"/>
      <c r="M21" s="45"/>
      <c r="N21" s="46"/>
      <c r="O21" s="45"/>
      <c r="P21" s="46"/>
      <c r="Q21" s="46"/>
      <c r="R21" s="46"/>
    </row>
    <row r="22" customFormat="false" ht="15" hidden="false" customHeight="false" outlineLevel="0" collapsed="false">
      <c r="A22" s="40"/>
      <c r="B22" s="46"/>
      <c r="C22" s="40"/>
      <c r="D22" s="45"/>
      <c r="E22" s="45"/>
      <c r="F22" s="46"/>
      <c r="G22" s="45"/>
      <c r="H22" s="46"/>
      <c r="I22" s="45"/>
      <c r="J22" s="46"/>
      <c r="K22" s="45"/>
      <c r="L22" s="46"/>
      <c r="M22" s="45"/>
      <c r="N22" s="46"/>
      <c r="O22" s="45"/>
      <c r="P22" s="46"/>
      <c r="Q22" s="46"/>
      <c r="R22" s="46"/>
    </row>
    <row r="23" customFormat="false" ht="15" hidden="false" customHeight="false" outlineLevel="0" collapsed="false">
      <c r="A23" s="40"/>
      <c r="B23" s="46"/>
      <c r="C23" s="40"/>
      <c r="D23" s="45"/>
      <c r="E23" s="45"/>
      <c r="F23" s="46"/>
      <c r="G23" s="45"/>
      <c r="H23" s="46"/>
      <c r="I23" s="45"/>
      <c r="J23" s="46"/>
      <c r="K23" s="45"/>
      <c r="L23" s="46"/>
      <c r="M23" s="45"/>
      <c r="N23" s="46"/>
      <c r="O23" s="45"/>
      <c r="P23" s="46"/>
      <c r="Q23" s="46"/>
      <c r="R23" s="46"/>
    </row>
    <row r="24" customFormat="false" ht="15" hidden="false" customHeight="false" outlineLevel="0" collapsed="false">
      <c r="A24" s="40"/>
      <c r="B24" s="46"/>
      <c r="C24" s="40"/>
      <c r="D24" s="45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6"/>
      <c r="R24" s="46"/>
    </row>
    <row r="25" customFormat="false" ht="15" hidden="false" customHeight="false" outlineLevel="0" collapsed="false">
      <c r="A25" s="40"/>
      <c r="B25" s="46"/>
      <c r="C25" s="40"/>
      <c r="D25" s="45"/>
      <c r="E25" s="45"/>
      <c r="F25" s="46"/>
      <c r="G25" s="45"/>
      <c r="H25" s="46"/>
      <c r="I25" s="45"/>
      <c r="J25" s="46"/>
      <c r="K25" s="45"/>
      <c r="L25" s="46"/>
      <c r="M25" s="45"/>
      <c r="N25" s="46"/>
      <c r="O25" s="45"/>
      <c r="P25" s="46"/>
      <c r="Q25" s="46"/>
      <c r="R25" s="46"/>
    </row>
    <row r="26" customFormat="false" ht="15" hidden="false" customHeight="false" outlineLevel="0" collapsed="false">
      <c r="A26" s="40"/>
      <c r="B26" s="46"/>
      <c r="C26" s="40"/>
      <c r="D26" s="45"/>
      <c r="E26" s="45"/>
      <c r="F26" s="46"/>
      <c r="G26" s="45"/>
      <c r="H26" s="46"/>
      <c r="I26" s="45"/>
      <c r="J26" s="46"/>
      <c r="K26" s="45"/>
      <c r="L26" s="46"/>
      <c r="M26" s="45"/>
      <c r="N26" s="46"/>
      <c r="O26" s="45"/>
      <c r="P26" s="46"/>
      <c r="Q26" s="46"/>
      <c r="R26" s="46"/>
    </row>
    <row r="27" customFormat="false" ht="15" hidden="false" customHeight="false" outlineLevel="0" collapsed="false">
      <c r="A27" s="40"/>
      <c r="B27" s="46"/>
      <c r="C27" s="40"/>
      <c r="D27" s="45"/>
      <c r="E27" s="45"/>
      <c r="F27" s="46"/>
      <c r="G27" s="45"/>
      <c r="H27" s="46"/>
      <c r="I27" s="45"/>
      <c r="J27" s="46"/>
      <c r="K27" s="45"/>
      <c r="L27" s="46"/>
      <c r="M27" s="45"/>
      <c r="N27" s="46"/>
      <c r="O27" s="45"/>
      <c r="P27" s="46"/>
      <c r="Q27" s="46"/>
      <c r="R27" s="46"/>
    </row>
    <row r="28" customFormat="false" ht="15" hidden="false" customHeight="false" outlineLevel="0" collapsed="false">
      <c r="A28" s="40"/>
      <c r="B28" s="46"/>
      <c r="C28" s="40"/>
      <c r="D28" s="45"/>
      <c r="E28" s="45"/>
      <c r="F28" s="46"/>
      <c r="G28" s="45"/>
      <c r="H28" s="46"/>
      <c r="I28" s="45"/>
      <c r="J28" s="46"/>
      <c r="K28" s="45"/>
      <c r="L28" s="46"/>
      <c r="M28" s="45"/>
      <c r="N28" s="46"/>
      <c r="O28" s="45"/>
      <c r="P28" s="46"/>
      <c r="Q28" s="46"/>
      <c r="R28" s="46"/>
    </row>
    <row r="29" customFormat="false" ht="15" hidden="false" customHeight="false" outlineLevel="0" collapsed="false">
      <c r="A29" s="40"/>
      <c r="B29" s="46"/>
      <c r="C29" s="40"/>
      <c r="D29" s="45"/>
      <c r="E29" s="45"/>
      <c r="F29" s="46"/>
      <c r="G29" s="45"/>
      <c r="H29" s="46"/>
      <c r="I29" s="45"/>
      <c r="J29" s="46"/>
      <c r="K29" s="45"/>
      <c r="L29" s="46"/>
      <c r="M29" s="45"/>
      <c r="N29" s="46"/>
      <c r="O29" s="45"/>
      <c r="P29" s="46"/>
      <c r="Q29" s="46"/>
      <c r="R29" s="46"/>
    </row>
    <row r="30" customFormat="false" ht="15" hidden="false" customHeight="false" outlineLevel="0" collapsed="false">
      <c r="A30" s="40"/>
      <c r="B30" s="46"/>
      <c r="C30" s="40"/>
      <c r="D30" s="45"/>
      <c r="E30" s="45"/>
      <c r="F30" s="46"/>
      <c r="G30" s="45"/>
      <c r="H30" s="46"/>
      <c r="I30" s="45"/>
      <c r="J30" s="46"/>
      <c r="K30" s="45"/>
      <c r="L30" s="46"/>
      <c r="M30" s="45"/>
      <c r="N30" s="46"/>
      <c r="O30" s="45"/>
      <c r="P30" s="46"/>
      <c r="Q30" s="46"/>
      <c r="R30" s="46"/>
    </row>
    <row r="31" customFormat="false" ht="15" hidden="false" customHeight="false" outlineLevel="0" collapsed="false">
      <c r="A31" s="40"/>
      <c r="B31" s="46"/>
      <c r="C31" s="40"/>
      <c r="D31" s="45"/>
      <c r="E31" s="45"/>
      <c r="F31" s="46"/>
      <c r="G31" s="45"/>
      <c r="H31" s="46"/>
      <c r="I31" s="45"/>
      <c r="J31" s="46"/>
      <c r="K31" s="45"/>
      <c r="L31" s="46"/>
      <c r="M31" s="45"/>
      <c r="N31" s="46"/>
      <c r="O31" s="45"/>
      <c r="P31" s="46"/>
      <c r="Q31" s="46"/>
      <c r="R31" s="46"/>
    </row>
    <row r="32" customFormat="false" ht="15" hidden="false" customHeight="false" outlineLevel="0" collapsed="false">
      <c r="A32" s="40"/>
      <c r="B32" s="46"/>
      <c r="C32" s="40"/>
      <c r="D32" s="45"/>
      <c r="E32" s="45"/>
      <c r="F32" s="46"/>
      <c r="G32" s="45"/>
      <c r="H32" s="46"/>
      <c r="I32" s="45"/>
      <c r="J32" s="46"/>
      <c r="K32" s="45"/>
      <c r="L32" s="46"/>
      <c r="M32" s="45"/>
      <c r="N32" s="46"/>
      <c r="O32" s="45"/>
      <c r="P32" s="46"/>
      <c r="Q32" s="46"/>
      <c r="R32" s="46"/>
    </row>
    <row r="33" customFormat="false" ht="15" hidden="false" customHeight="false" outlineLevel="0" collapsed="false">
      <c r="A33" s="40"/>
      <c r="B33" s="46"/>
      <c r="C33" s="40"/>
      <c r="D33" s="45"/>
      <c r="E33" s="45"/>
      <c r="F33" s="46"/>
      <c r="G33" s="45"/>
      <c r="H33" s="46"/>
      <c r="I33" s="45"/>
      <c r="J33" s="46"/>
      <c r="K33" s="45"/>
      <c r="L33" s="46"/>
      <c r="M33" s="45"/>
      <c r="N33" s="46"/>
      <c r="O33" s="45"/>
      <c r="P33" s="46"/>
      <c r="Q33" s="46"/>
      <c r="R33" s="46"/>
    </row>
    <row r="34" customFormat="false" ht="15" hidden="false" customHeight="false" outlineLevel="0" collapsed="false">
      <c r="A34" s="40"/>
      <c r="B34" s="46"/>
      <c r="C34" s="40"/>
      <c r="D34" s="45"/>
      <c r="E34" s="45"/>
      <c r="F34" s="46"/>
      <c r="G34" s="45"/>
      <c r="H34" s="46"/>
      <c r="I34" s="45"/>
      <c r="J34" s="46"/>
      <c r="K34" s="45"/>
      <c r="L34" s="46"/>
      <c r="M34" s="45"/>
      <c r="N34" s="46"/>
      <c r="O34" s="45"/>
      <c r="P34" s="46"/>
      <c r="Q34" s="46"/>
      <c r="R34" s="46"/>
    </row>
    <row r="35" customFormat="false" ht="15" hidden="false" customHeight="false" outlineLevel="0" collapsed="false">
      <c r="A35" s="40"/>
      <c r="B35" s="46"/>
      <c r="C35" s="40"/>
      <c r="D35" s="45"/>
      <c r="E35" s="45"/>
      <c r="F35" s="46"/>
      <c r="G35" s="45"/>
      <c r="H35" s="46"/>
      <c r="I35" s="45"/>
      <c r="J35" s="46"/>
      <c r="K35" s="45"/>
      <c r="L35" s="46"/>
      <c r="M35" s="45"/>
      <c r="N35" s="46"/>
      <c r="O35" s="45"/>
      <c r="P35" s="46"/>
      <c r="Q35" s="46"/>
      <c r="R35" s="46"/>
    </row>
    <row r="36" customFormat="false" ht="15" hidden="false" customHeight="false" outlineLevel="0" collapsed="false">
      <c r="A36" s="40"/>
      <c r="B36" s="46"/>
      <c r="C36" s="40"/>
      <c r="D36" s="45"/>
      <c r="E36" s="45"/>
      <c r="F36" s="46"/>
      <c r="G36" s="45"/>
      <c r="H36" s="46"/>
      <c r="I36" s="45"/>
      <c r="J36" s="46"/>
      <c r="K36" s="45"/>
      <c r="L36" s="46"/>
      <c r="M36" s="45"/>
      <c r="N36" s="46"/>
      <c r="O36" s="45"/>
      <c r="P36" s="46"/>
      <c r="Q36" s="46"/>
      <c r="R36" s="46"/>
    </row>
    <row r="37" customFormat="false" ht="15" hidden="false" customHeight="false" outlineLevel="0" collapsed="false">
      <c r="A37" s="40"/>
      <c r="B37" s="46"/>
      <c r="C37" s="40"/>
      <c r="D37" s="45"/>
      <c r="E37" s="45"/>
      <c r="F37" s="46"/>
      <c r="G37" s="45"/>
      <c r="H37" s="46"/>
      <c r="I37" s="45"/>
      <c r="J37" s="46"/>
      <c r="K37" s="45"/>
      <c r="L37" s="46"/>
      <c r="M37" s="45"/>
      <c r="N37" s="46"/>
      <c r="O37" s="45"/>
      <c r="P37" s="46"/>
      <c r="Q37" s="46"/>
      <c r="R37" s="46"/>
    </row>
    <row r="38" customFormat="false" ht="15" hidden="false" customHeight="false" outlineLevel="0" collapsed="false">
      <c r="A38" s="40"/>
      <c r="B38" s="46"/>
      <c r="C38" s="40"/>
      <c r="D38" s="45"/>
      <c r="E38" s="45"/>
      <c r="F38" s="46"/>
      <c r="G38" s="45"/>
      <c r="H38" s="46"/>
      <c r="I38" s="45"/>
      <c r="J38" s="46"/>
      <c r="K38" s="45"/>
      <c r="L38" s="46"/>
      <c r="M38" s="45"/>
      <c r="N38" s="46"/>
      <c r="O38" s="45"/>
      <c r="P38" s="46"/>
      <c r="Q38" s="46"/>
      <c r="R38" s="46"/>
    </row>
    <row r="39" customFormat="false" ht="15" hidden="false" customHeight="false" outlineLevel="0" collapsed="false">
      <c r="A39" s="40"/>
      <c r="B39" s="46"/>
      <c r="C39" s="40"/>
      <c r="D39" s="45"/>
      <c r="E39" s="45"/>
      <c r="F39" s="46"/>
      <c r="G39" s="45"/>
      <c r="H39" s="46"/>
      <c r="I39" s="45"/>
      <c r="J39" s="46"/>
      <c r="K39" s="45"/>
      <c r="L39" s="46"/>
      <c r="M39" s="45"/>
      <c r="N39" s="46"/>
      <c r="O39" s="45"/>
      <c r="P39" s="46"/>
      <c r="Q39" s="46"/>
      <c r="R39" s="46"/>
    </row>
    <row r="40" customFormat="false" ht="15" hidden="false" customHeight="false" outlineLevel="0" collapsed="false">
      <c r="A40" s="40"/>
      <c r="B40" s="46"/>
      <c r="C40" s="40"/>
      <c r="D40" s="45"/>
      <c r="E40" s="45"/>
      <c r="F40" s="46"/>
      <c r="G40" s="45"/>
      <c r="H40" s="46"/>
      <c r="I40" s="45"/>
      <c r="J40" s="46"/>
      <c r="K40" s="45"/>
      <c r="L40" s="46"/>
      <c r="M40" s="45"/>
      <c r="N40" s="46"/>
      <c r="O40" s="45"/>
      <c r="P40" s="46"/>
      <c r="Q40" s="46"/>
      <c r="R40" s="46"/>
    </row>
    <row r="41" customFormat="false" ht="15" hidden="false" customHeight="false" outlineLevel="0" collapsed="false">
      <c r="A41" s="40"/>
      <c r="B41" s="46"/>
      <c r="C41" s="40"/>
      <c r="D41" s="45"/>
      <c r="E41" s="45"/>
      <c r="F41" s="46"/>
      <c r="G41" s="45"/>
      <c r="H41" s="46"/>
      <c r="I41" s="45"/>
      <c r="J41" s="46"/>
      <c r="K41" s="45"/>
      <c r="L41" s="46"/>
      <c r="M41" s="45"/>
      <c r="N41" s="46"/>
      <c r="O41" s="45"/>
      <c r="P41" s="46"/>
      <c r="Q41" s="46"/>
      <c r="R41" s="46"/>
    </row>
    <row r="42" customFormat="false" ht="15" hidden="false" customHeight="false" outlineLevel="0" collapsed="false">
      <c r="A42" s="40"/>
      <c r="B42" s="46"/>
      <c r="C42" s="40"/>
      <c r="D42" s="45"/>
      <c r="E42" s="45"/>
      <c r="F42" s="46"/>
      <c r="G42" s="45"/>
      <c r="H42" s="46"/>
      <c r="I42" s="45"/>
      <c r="J42" s="46"/>
      <c r="K42" s="45"/>
      <c r="L42" s="46"/>
      <c r="M42" s="45"/>
      <c r="N42" s="46"/>
      <c r="O42" s="45"/>
      <c r="P42" s="46"/>
      <c r="Q42" s="46"/>
      <c r="R42" s="46"/>
    </row>
    <row r="43" customFormat="false" ht="15" hidden="false" customHeight="false" outlineLevel="0" collapsed="false">
      <c r="A43" s="40"/>
      <c r="B43" s="46"/>
      <c r="C43" s="40"/>
      <c r="D43" s="45"/>
      <c r="E43" s="45"/>
      <c r="F43" s="46"/>
      <c r="G43" s="45"/>
      <c r="H43" s="46"/>
      <c r="I43" s="45"/>
      <c r="J43" s="46"/>
      <c r="K43" s="45"/>
      <c r="L43" s="46"/>
      <c r="M43" s="45"/>
      <c r="N43" s="46"/>
      <c r="O43" s="45"/>
      <c r="P43" s="46"/>
      <c r="Q43" s="46"/>
      <c r="R43" s="46"/>
    </row>
    <row r="44" customFormat="false" ht="15" hidden="false" customHeight="false" outlineLevel="0" collapsed="false">
      <c r="A44" s="40"/>
      <c r="B44" s="46"/>
      <c r="C44" s="40"/>
      <c r="D44" s="45"/>
      <c r="E44" s="45"/>
      <c r="F44" s="46"/>
      <c r="G44" s="45"/>
      <c r="H44" s="46"/>
      <c r="I44" s="45"/>
      <c r="J44" s="46"/>
      <c r="K44" s="45"/>
      <c r="L44" s="46"/>
      <c r="M44" s="45"/>
      <c r="N44" s="46"/>
      <c r="O44" s="45"/>
      <c r="P44" s="46"/>
      <c r="Q44" s="46"/>
      <c r="R44" s="46"/>
    </row>
    <row r="45" customFormat="false" ht="15" hidden="false" customHeight="false" outlineLevel="0" collapsed="false">
      <c r="A45" s="40"/>
      <c r="B45" s="46"/>
      <c r="C45" s="40"/>
      <c r="D45" s="45"/>
      <c r="E45" s="45"/>
      <c r="F45" s="46"/>
      <c r="G45" s="45"/>
      <c r="H45" s="46"/>
      <c r="I45" s="45"/>
      <c r="J45" s="46"/>
      <c r="K45" s="45"/>
      <c r="L45" s="46"/>
      <c r="M45" s="45"/>
      <c r="N45" s="46"/>
      <c r="O45" s="45"/>
      <c r="P45" s="46"/>
      <c r="Q45" s="46"/>
      <c r="R45" s="46"/>
    </row>
    <row r="46" customFormat="false" ht="15" hidden="false" customHeight="false" outlineLevel="0" collapsed="false">
      <c r="A46" s="40"/>
      <c r="B46" s="46"/>
      <c r="C46" s="40"/>
      <c r="D46" s="45"/>
      <c r="E46" s="45"/>
      <c r="F46" s="46"/>
      <c r="G46" s="45"/>
      <c r="H46" s="46"/>
      <c r="I46" s="45"/>
      <c r="J46" s="46"/>
      <c r="K46" s="45"/>
      <c r="L46" s="46"/>
      <c r="M46" s="45"/>
      <c r="N46" s="46"/>
      <c r="O46" s="45"/>
      <c r="P46" s="46"/>
      <c r="Q46" s="46"/>
      <c r="R46" s="46"/>
    </row>
    <row r="47" customFormat="false" ht="15" hidden="false" customHeight="false" outlineLevel="0" collapsed="false">
      <c r="A47" s="40"/>
      <c r="B47" s="46"/>
      <c r="C47" s="40"/>
      <c r="D47" s="45"/>
      <c r="E47" s="45"/>
      <c r="F47" s="46"/>
      <c r="G47" s="45"/>
      <c r="H47" s="46"/>
      <c r="I47" s="45"/>
      <c r="J47" s="46"/>
      <c r="K47" s="45"/>
      <c r="L47" s="46"/>
      <c r="M47" s="45"/>
      <c r="N47" s="46"/>
      <c r="O47" s="45"/>
      <c r="P47" s="46"/>
      <c r="Q47" s="46"/>
      <c r="R47" s="46"/>
    </row>
    <row r="48" customFormat="false" ht="15" hidden="false" customHeight="false" outlineLevel="0" collapsed="false">
      <c r="A48" s="40"/>
      <c r="B48" s="46"/>
      <c r="C48" s="40"/>
      <c r="D48" s="45"/>
      <c r="E48" s="45"/>
      <c r="F48" s="46"/>
      <c r="G48" s="45"/>
      <c r="H48" s="46"/>
      <c r="I48" s="45"/>
      <c r="J48" s="46"/>
      <c r="K48" s="45"/>
      <c r="L48" s="46"/>
      <c r="M48" s="45"/>
      <c r="N48" s="46"/>
      <c r="O48" s="45"/>
      <c r="P48" s="46"/>
      <c r="Q48" s="46"/>
      <c r="R48" s="46"/>
    </row>
    <row r="49" customFormat="false" ht="15" hidden="false" customHeight="false" outlineLevel="0" collapsed="false">
      <c r="A49" s="40"/>
      <c r="B49" s="46"/>
      <c r="C49" s="40"/>
      <c r="D49" s="45"/>
      <c r="E49" s="45"/>
      <c r="F49" s="46"/>
      <c r="G49" s="45"/>
      <c r="H49" s="46"/>
      <c r="I49" s="45"/>
      <c r="J49" s="46"/>
      <c r="K49" s="45"/>
      <c r="L49" s="46"/>
      <c r="M49" s="45"/>
      <c r="N49" s="46"/>
      <c r="O49" s="45"/>
      <c r="P49" s="46"/>
      <c r="Q49" s="46"/>
      <c r="R49" s="46"/>
    </row>
    <row r="50" customFormat="false" ht="15" hidden="false" customHeight="false" outlineLevel="0" collapsed="false">
      <c r="A50" s="40"/>
      <c r="B50" s="46"/>
      <c r="C50" s="40"/>
      <c r="D50" s="45"/>
      <c r="E50" s="45"/>
      <c r="F50" s="46"/>
      <c r="G50" s="45"/>
      <c r="H50" s="46"/>
      <c r="I50" s="45"/>
      <c r="J50" s="46"/>
      <c r="K50" s="45"/>
      <c r="L50" s="46"/>
      <c r="M50" s="45"/>
      <c r="N50" s="46"/>
      <c r="O50" s="45"/>
      <c r="P50" s="46"/>
      <c r="Q50" s="46"/>
      <c r="R50" s="46"/>
    </row>
    <row r="51" customFormat="false" ht="15" hidden="false" customHeight="false" outlineLevel="0" collapsed="false">
      <c r="A51" s="40"/>
      <c r="B51" s="46"/>
      <c r="C51" s="40"/>
      <c r="D51" s="45"/>
      <c r="E51" s="45"/>
      <c r="F51" s="46"/>
      <c r="G51" s="45"/>
      <c r="H51" s="46"/>
      <c r="I51" s="45"/>
      <c r="J51" s="46"/>
      <c r="K51" s="45"/>
      <c r="L51" s="46"/>
      <c r="M51" s="45"/>
      <c r="N51" s="46"/>
      <c r="O51" s="45"/>
      <c r="P51" s="46"/>
      <c r="Q51" s="46"/>
      <c r="R51" s="46"/>
    </row>
    <row r="52" customFormat="false" ht="15" hidden="false" customHeight="false" outlineLevel="0" collapsed="false">
      <c r="A52" s="40"/>
      <c r="B52" s="46"/>
      <c r="C52" s="40"/>
      <c r="D52" s="45"/>
      <c r="E52" s="45"/>
      <c r="F52" s="46"/>
      <c r="G52" s="45"/>
      <c r="H52" s="46"/>
      <c r="I52" s="45"/>
      <c r="J52" s="46"/>
      <c r="K52" s="45"/>
      <c r="L52" s="46"/>
      <c r="M52" s="45"/>
      <c r="N52" s="46"/>
      <c r="O52" s="45"/>
      <c r="P52" s="46"/>
      <c r="Q52" s="46"/>
      <c r="R52" s="46"/>
    </row>
    <row r="53" customFormat="false" ht="15" hidden="false" customHeight="false" outlineLevel="0" collapsed="false">
      <c r="A53" s="40"/>
      <c r="B53" s="46"/>
      <c r="C53" s="40"/>
      <c r="D53" s="45"/>
      <c r="E53" s="45"/>
      <c r="F53" s="46"/>
      <c r="G53" s="45"/>
      <c r="H53" s="46"/>
      <c r="I53" s="45"/>
      <c r="J53" s="46"/>
      <c r="K53" s="45"/>
      <c r="L53" s="46"/>
      <c r="M53" s="45"/>
      <c r="N53" s="46"/>
      <c r="O53" s="45"/>
      <c r="P53" s="46"/>
      <c r="Q53" s="46"/>
      <c r="R53" s="46"/>
    </row>
    <row r="54" customFormat="false" ht="15" hidden="false" customHeight="false" outlineLevel="0" collapsed="false">
      <c r="A54" s="40"/>
      <c r="B54" s="46"/>
      <c r="C54" s="40"/>
      <c r="D54" s="45"/>
      <c r="E54" s="45"/>
      <c r="F54" s="46"/>
      <c r="G54" s="45"/>
      <c r="H54" s="46"/>
      <c r="I54" s="45"/>
      <c r="J54" s="46"/>
      <c r="K54" s="45"/>
      <c r="L54" s="46"/>
      <c r="M54" s="45"/>
      <c r="N54" s="46"/>
      <c r="O54" s="45"/>
      <c r="P54" s="46"/>
      <c r="Q54" s="46"/>
      <c r="R54" s="46"/>
    </row>
    <row r="55" customFormat="false" ht="15" hidden="false" customHeight="false" outlineLevel="0" collapsed="false">
      <c r="A55" s="40"/>
      <c r="B55" s="46"/>
      <c r="C55" s="40"/>
      <c r="D55" s="45"/>
      <c r="E55" s="45"/>
      <c r="F55" s="46"/>
      <c r="G55" s="45"/>
      <c r="H55" s="46"/>
      <c r="I55" s="45"/>
      <c r="J55" s="46"/>
      <c r="K55" s="45"/>
      <c r="L55" s="46"/>
      <c r="M55" s="45"/>
      <c r="N55" s="46"/>
      <c r="O55" s="45"/>
      <c r="P55" s="46"/>
      <c r="Q55" s="46"/>
      <c r="R55" s="46"/>
    </row>
    <row r="56" customFormat="false" ht="15" hidden="false" customHeight="false" outlineLevel="0" collapsed="false">
      <c r="A56" s="40"/>
      <c r="B56" s="46"/>
      <c r="C56" s="40"/>
      <c r="D56" s="45"/>
      <c r="E56" s="45"/>
      <c r="F56" s="46"/>
      <c r="G56" s="45"/>
      <c r="H56" s="46"/>
      <c r="I56" s="45"/>
      <c r="J56" s="46"/>
      <c r="K56" s="45"/>
      <c r="L56" s="46"/>
      <c r="M56" s="45"/>
      <c r="N56" s="46"/>
      <c r="O56" s="45"/>
      <c r="P56" s="46"/>
      <c r="Q56" s="46"/>
      <c r="R56" s="46"/>
    </row>
    <row r="57" customFormat="false" ht="15" hidden="false" customHeight="false" outlineLevel="0" collapsed="false">
      <c r="A57" s="40"/>
      <c r="B57" s="46"/>
      <c r="C57" s="40"/>
      <c r="D57" s="45"/>
      <c r="E57" s="45"/>
      <c r="F57" s="46"/>
      <c r="G57" s="45"/>
      <c r="H57" s="46"/>
      <c r="I57" s="45"/>
      <c r="J57" s="46"/>
      <c r="K57" s="45"/>
      <c r="L57" s="46"/>
      <c r="M57" s="45"/>
      <c r="N57" s="46"/>
      <c r="O57" s="45"/>
      <c r="P57" s="46"/>
      <c r="Q57" s="46"/>
      <c r="R57" s="46"/>
    </row>
    <row r="58" customFormat="false" ht="15" hidden="false" customHeight="false" outlineLevel="0" collapsed="false">
      <c r="A58" s="40"/>
      <c r="B58" s="46"/>
      <c r="C58" s="40"/>
      <c r="D58" s="45"/>
      <c r="E58" s="45"/>
      <c r="F58" s="46"/>
      <c r="G58" s="45"/>
      <c r="H58" s="46"/>
      <c r="I58" s="45"/>
      <c r="J58" s="46"/>
      <c r="K58" s="45"/>
      <c r="L58" s="46"/>
      <c r="M58" s="45"/>
      <c r="N58" s="46"/>
      <c r="O58" s="45"/>
      <c r="P58" s="46"/>
      <c r="Q58" s="46"/>
      <c r="R58" s="46"/>
    </row>
    <row r="59" customFormat="false" ht="15" hidden="false" customHeight="false" outlineLevel="0" collapsed="false">
      <c r="A59" s="40"/>
      <c r="B59" s="46"/>
      <c r="C59" s="40"/>
      <c r="D59" s="45"/>
      <c r="E59" s="45"/>
      <c r="F59" s="46"/>
      <c r="G59" s="45"/>
      <c r="H59" s="46"/>
      <c r="I59" s="45"/>
      <c r="J59" s="46"/>
      <c r="K59" s="45"/>
      <c r="L59" s="46"/>
      <c r="M59" s="45"/>
      <c r="N59" s="46"/>
      <c r="O59" s="45"/>
      <c r="P59" s="46"/>
      <c r="Q59" s="46"/>
      <c r="R59" s="46"/>
    </row>
    <row r="60" customFormat="false" ht="15" hidden="false" customHeight="false" outlineLevel="0" collapsed="false">
      <c r="A60" s="40"/>
      <c r="B60" s="46"/>
      <c r="C60" s="40"/>
      <c r="D60" s="45"/>
      <c r="E60" s="45"/>
      <c r="F60" s="46"/>
      <c r="G60" s="45"/>
      <c r="H60" s="46"/>
      <c r="I60" s="45"/>
      <c r="J60" s="46"/>
      <c r="K60" s="45"/>
      <c r="L60" s="46"/>
      <c r="M60" s="45"/>
      <c r="N60" s="46"/>
      <c r="O60" s="45"/>
      <c r="P60" s="46"/>
      <c r="Q60" s="46"/>
      <c r="R60" s="46"/>
    </row>
    <row r="61" customFormat="false" ht="15" hidden="false" customHeight="false" outlineLevel="0" collapsed="false">
      <c r="A61" s="40"/>
      <c r="B61" s="46"/>
      <c r="C61" s="40"/>
      <c r="D61" s="45"/>
      <c r="E61" s="45"/>
      <c r="F61" s="46"/>
      <c r="G61" s="45"/>
      <c r="H61" s="46"/>
      <c r="I61" s="45"/>
      <c r="J61" s="46"/>
      <c r="K61" s="45"/>
      <c r="L61" s="46"/>
      <c r="M61" s="45"/>
      <c r="N61" s="46"/>
      <c r="O61" s="45"/>
      <c r="P61" s="46"/>
      <c r="Q61" s="46"/>
      <c r="R61" s="46"/>
    </row>
    <row r="62" customFormat="false" ht="15" hidden="false" customHeight="false" outlineLevel="0" collapsed="false">
      <c r="A62" s="40"/>
      <c r="B62" s="46"/>
      <c r="C62" s="40"/>
      <c r="D62" s="45"/>
      <c r="E62" s="45"/>
      <c r="F62" s="46"/>
      <c r="G62" s="45"/>
      <c r="H62" s="46"/>
      <c r="I62" s="45"/>
      <c r="J62" s="46"/>
      <c r="K62" s="45"/>
      <c r="L62" s="46"/>
      <c r="M62" s="45"/>
      <c r="N62" s="46"/>
      <c r="O62" s="45"/>
      <c r="P62" s="46"/>
      <c r="Q62" s="46"/>
      <c r="R62" s="46"/>
    </row>
    <row r="63" customFormat="false" ht="15" hidden="false" customHeight="false" outlineLevel="0" collapsed="false">
      <c r="A63" s="40"/>
      <c r="B63" s="46"/>
      <c r="C63" s="40"/>
      <c r="D63" s="45"/>
      <c r="E63" s="45"/>
      <c r="F63" s="46"/>
      <c r="G63" s="45"/>
      <c r="H63" s="46"/>
      <c r="I63" s="45"/>
      <c r="J63" s="46"/>
      <c r="K63" s="45"/>
      <c r="L63" s="46"/>
      <c r="M63" s="45"/>
      <c r="N63" s="46"/>
      <c r="O63" s="45"/>
      <c r="P63" s="46"/>
      <c r="Q63" s="46"/>
      <c r="R63" s="46"/>
    </row>
    <row r="64" customFormat="false" ht="15" hidden="false" customHeight="false" outlineLevel="0" collapsed="false">
      <c r="A64" s="40"/>
      <c r="B64" s="46"/>
      <c r="C64" s="40"/>
      <c r="D64" s="45"/>
      <c r="E64" s="45"/>
      <c r="F64" s="46"/>
      <c r="G64" s="45"/>
      <c r="H64" s="46"/>
      <c r="I64" s="45"/>
      <c r="J64" s="46"/>
      <c r="K64" s="45"/>
      <c r="L64" s="46"/>
      <c r="M64" s="45"/>
      <c r="N64" s="46"/>
      <c r="O64" s="45"/>
      <c r="P64" s="46"/>
      <c r="Q64" s="46"/>
      <c r="R64" s="46"/>
    </row>
    <row r="65" customFormat="false" ht="15" hidden="false" customHeight="false" outlineLevel="0" collapsed="false">
      <c r="A65" s="40"/>
      <c r="B65" s="46"/>
      <c r="C65" s="40"/>
      <c r="D65" s="45"/>
      <c r="E65" s="45"/>
      <c r="F65" s="46"/>
      <c r="G65" s="45"/>
      <c r="H65" s="46"/>
      <c r="I65" s="45"/>
      <c r="J65" s="46"/>
      <c r="K65" s="45"/>
      <c r="L65" s="46"/>
      <c r="M65" s="45"/>
      <c r="N65" s="46"/>
      <c r="O65" s="45"/>
      <c r="P65" s="46"/>
      <c r="Q65" s="46"/>
      <c r="R65" s="46"/>
    </row>
    <row r="66" customFormat="false" ht="15" hidden="false" customHeight="false" outlineLevel="0" collapsed="false">
      <c r="A66" s="40"/>
      <c r="B66" s="46"/>
      <c r="C66" s="40"/>
      <c r="D66" s="45"/>
      <c r="E66" s="45"/>
      <c r="F66" s="46"/>
      <c r="G66" s="45"/>
      <c r="H66" s="46"/>
      <c r="I66" s="45"/>
      <c r="J66" s="46"/>
      <c r="K66" s="45"/>
      <c r="L66" s="46"/>
      <c r="M66" s="45"/>
      <c r="N66" s="46"/>
      <c r="O66" s="45"/>
      <c r="P66" s="46"/>
      <c r="Q66" s="46"/>
      <c r="R66" s="46"/>
    </row>
    <row r="67" customFormat="false" ht="15" hidden="false" customHeight="false" outlineLevel="0" collapsed="false">
      <c r="A67" s="40"/>
      <c r="B67" s="46"/>
      <c r="C67" s="40"/>
      <c r="D67" s="45"/>
      <c r="E67" s="45"/>
      <c r="F67" s="46"/>
      <c r="G67" s="45"/>
      <c r="H67" s="46"/>
      <c r="I67" s="45"/>
      <c r="J67" s="46"/>
      <c r="K67" s="45"/>
      <c r="L67" s="46"/>
      <c r="M67" s="45"/>
      <c r="N67" s="46"/>
      <c r="O67" s="45"/>
      <c r="P67" s="46"/>
      <c r="Q67" s="46"/>
      <c r="R67" s="46"/>
    </row>
    <row r="68" customFormat="false" ht="15" hidden="false" customHeight="false" outlineLevel="0" collapsed="false">
      <c r="A68" s="40"/>
      <c r="B68" s="46"/>
      <c r="C68" s="40"/>
      <c r="D68" s="45"/>
      <c r="E68" s="45"/>
      <c r="F68" s="46"/>
      <c r="G68" s="45"/>
      <c r="H68" s="46"/>
      <c r="I68" s="45"/>
      <c r="J68" s="46"/>
      <c r="K68" s="45"/>
      <c r="L68" s="46"/>
      <c r="M68" s="45"/>
      <c r="N68" s="46"/>
      <c r="O68" s="45"/>
      <c r="P68" s="46"/>
      <c r="Q68" s="46"/>
      <c r="R68" s="46"/>
    </row>
    <row r="69" customFormat="false" ht="15" hidden="false" customHeight="false" outlineLevel="0" collapsed="false">
      <c r="A69" s="40"/>
      <c r="B69" s="46"/>
      <c r="C69" s="40"/>
      <c r="D69" s="45"/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46"/>
      <c r="Q69" s="46"/>
      <c r="R69" s="46"/>
    </row>
    <row r="70" customFormat="false" ht="15" hidden="false" customHeight="false" outlineLevel="0" collapsed="false">
      <c r="A70" s="40"/>
      <c r="B70" s="46"/>
      <c r="C70" s="40"/>
      <c r="D70" s="45"/>
      <c r="E70" s="45"/>
      <c r="F70" s="46"/>
      <c r="G70" s="45"/>
      <c r="H70" s="46"/>
      <c r="I70" s="45"/>
      <c r="J70" s="46"/>
      <c r="K70" s="45"/>
      <c r="L70" s="46"/>
      <c r="M70" s="45"/>
      <c r="N70" s="46"/>
      <c r="O70" s="45"/>
      <c r="P70" s="46"/>
      <c r="Q70" s="46"/>
      <c r="R70" s="46"/>
    </row>
    <row r="71" customFormat="false" ht="15" hidden="false" customHeight="false" outlineLevel="0" collapsed="false">
      <c r="A71" s="40"/>
      <c r="B71" s="46"/>
      <c r="C71" s="40"/>
      <c r="D71" s="45"/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46"/>
      <c r="Q71" s="46"/>
      <c r="R71" s="46"/>
    </row>
    <row r="72" customFormat="false" ht="15" hidden="false" customHeight="false" outlineLevel="0" collapsed="false">
      <c r="A72" s="40"/>
      <c r="B72" s="46"/>
      <c r="C72" s="40"/>
      <c r="D72" s="45"/>
      <c r="E72" s="45"/>
      <c r="F72" s="46"/>
      <c r="G72" s="45"/>
      <c r="H72" s="46"/>
      <c r="I72" s="45"/>
      <c r="J72" s="46"/>
      <c r="K72" s="45"/>
      <c r="L72" s="46"/>
      <c r="M72" s="45"/>
      <c r="N72" s="46"/>
      <c r="O72" s="45"/>
      <c r="P72" s="46"/>
      <c r="Q72" s="46"/>
      <c r="R72" s="46"/>
    </row>
    <row r="73" customFormat="false" ht="15" hidden="false" customHeight="false" outlineLevel="0" collapsed="false">
      <c r="A73" s="40"/>
      <c r="B73" s="46"/>
      <c r="C73" s="40"/>
      <c r="D73" s="45"/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46"/>
      <c r="R73" s="46"/>
    </row>
    <row r="74" customFormat="false" ht="15" hidden="false" customHeight="false" outlineLevel="0" collapsed="false">
      <c r="A74" s="40"/>
      <c r="B74" s="46"/>
      <c r="C74" s="40"/>
      <c r="D74" s="45"/>
      <c r="E74" s="45"/>
      <c r="F74" s="46"/>
      <c r="G74" s="45"/>
      <c r="H74" s="46"/>
      <c r="I74" s="45"/>
      <c r="J74" s="46"/>
      <c r="K74" s="45"/>
      <c r="L74" s="46"/>
      <c r="M74" s="45"/>
      <c r="N74" s="46"/>
      <c r="O74" s="45"/>
      <c r="P74" s="46"/>
      <c r="Q74" s="46"/>
      <c r="R74" s="46"/>
    </row>
    <row r="75" customFormat="false" ht="15" hidden="false" customHeight="false" outlineLevel="0" collapsed="false">
      <c r="A75" s="40"/>
      <c r="B75" s="46"/>
      <c r="C75" s="40"/>
      <c r="D75" s="45"/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46"/>
      <c r="Q75" s="46"/>
      <c r="R75" s="46"/>
    </row>
    <row r="76" customFormat="false" ht="15" hidden="false" customHeight="false" outlineLevel="0" collapsed="false">
      <c r="A76" s="40"/>
      <c r="B76" s="46"/>
      <c r="C76" s="40"/>
      <c r="D76" s="45"/>
      <c r="E76" s="45"/>
      <c r="F76" s="46"/>
      <c r="G76" s="45"/>
      <c r="H76" s="46"/>
      <c r="I76" s="45"/>
      <c r="J76" s="46"/>
      <c r="K76" s="45"/>
      <c r="L76" s="46"/>
      <c r="M76" s="45"/>
      <c r="N76" s="46"/>
      <c r="O76" s="45"/>
      <c r="P76" s="46"/>
      <c r="Q76" s="46"/>
      <c r="R76" s="46"/>
    </row>
    <row r="77" customFormat="false" ht="15" hidden="false" customHeight="false" outlineLevel="0" collapsed="false">
      <c r="A77" s="40"/>
      <c r="B77" s="46"/>
      <c r="C77" s="40"/>
      <c r="D77" s="45"/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46"/>
      <c r="Q77" s="46"/>
      <c r="R77" s="46"/>
    </row>
    <row r="78" customFormat="false" ht="15" hidden="false" customHeight="false" outlineLevel="0" collapsed="false">
      <c r="A78" s="40"/>
      <c r="B78" s="46"/>
      <c r="C78" s="40"/>
      <c r="D78" s="45"/>
      <c r="E78" s="45"/>
      <c r="F78" s="46"/>
      <c r="G78" s="45"/>
      <c r="H78" s="46"/>
      <c r="I78" s="45"/>
      <c r="J78" s="46"/>
      <c r="K78" s="45"/>
      <c r="L78" s="46"/>
      <c r="M78" s="45"/>
      <c r="N78" s="46"/>
      <c r="O78" s="45"/>
      <c r="P78" s="46"/>
      <c r="Q78" s="46"/>
      <c r="R78" s="46"/>
    </row>
    <row r="79" customFormat="false" ht="15" hidden="false" customHeight="false" outlineLevel="0" collapsed="false">
      <c r="A79" s="40"/>
      <c r="B79" s="46"/>
      <c r="C79" s="40"/>
      <c r="D79" s="45"/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46"/>
      <c r="Q79" s="46"/>
      <c r="R79" s="46"/>
    </row>
    <row r="80" customFormat="false" ht="15" hidden="false" customHeight="false" outlineLevel="0" collapsed="false">
      <c r="A80" s="40"/>
      <c r="B80" s="46"/>
      <c r="C80" s="40"/>
      <c r="D80" s="45"/>
      <c r="E80" s="45"/>
      <c r="F80" s="46"/>
      <c r="G80" s="45"/>
      <c r="H80" s="46"/>
      <c r="I80" s="45"/>
      <c r="J80" s="46"/>
      <c r="K80" s="45"/>
      <c r="L80" s="46"/>
      <c r="M80" s="45"/>
      <c r="N80" s="46"/>
      <c r="O80" s="45"/>
      <c r="P80" s="46"/>
      <c r="Q80" s="46"/>
      <c r="R80" s="46"/>
    </row>
    <row r="81" customFormat="false" ht="15" hidden="false" customHeight="false" outlineLevel="0" collapsed="false">
      <c r="A81" s="40"/>
      <c r="B81" s="46"/>
      <c r="C81" s="40"/>
      <c r="D81" s="45"/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46"/>
      <c r="Q81" s="46"/>
      <c r="R81" s="46"/>
    </row>
    <row r="82" customFormat="false" ht="15" hidden="false" customHeight="false" outlineLevel="0" collapsed="false">
      <c r="A82" s="40"/>
      <c r="B82" s="46"/>
      <c r="C82" s="40"/>
      <c r="D82" s="45"/>
      <c r="E82" s="45"/>
      <c r="F82" s="46"/>
      <c r="G82" s="45"/>
      <c r="H82" s="46"/>
      <c r="I82" s="45"/>
      <c r="J82" s="46"/>
      <c r="K82" s="45"/>
      <c r="L82" s="46"/>
      <c r="M82" s="45"/>
      <c r="N82" s="46"/>
      <c r="O82" s="45"/>
      <c r="P82" s="46"/>
      <c r="Q82" s="46"/>
      <c r="R82" s="46"/>
    </row>
    <row r="83" customFormat="false" ht="15" hidden="false" customHeight="false" outlineLevel="0" collapsed="false">
      <c r="A83" s="40"/>
      <c r="B83" s="46"/>
      <c r="C83" s="40"/>
      <c r="D83" s="45"/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46"/>
      <c r="Q83" s="46"/>
      <c r="R83" s="46"/>
    </row>
    <row r="84" customFormat="false" ht="15" hidden="false" customHeight="false" outlineLevel="0" collapsed="false">
      <c r="A84" s="40"/>
      <c r="B84" s="46"/>
      <c r="C84" s="40"/>
      <c r="D84" s="45"/>
      <c r="E84" s="45"/>
      <c r="F84" s="46"/>
      <c r="G84" s="45"/>
      <c r="H84" s="46"/>
      <c r="I84" s="45"/>
      <c r="J84" s="46"/>
      <c r="K84" s="45"/>
      <c r="L84" s="46"/>
      <c r="M84" s="45"/>
      <c r="N84" s="46"/>
      <c r="O84" s="45"/>
      <c r="P84" s="46"/>
      <c r="Q84" s="46"/>
      <c r="R84" s="46"/>
    </row>
    <row r="85" customFormat="false" ht="15" hidden="false" customHeight="false" outlineLevel="0" collapsed="false">
      <c r="A85" s="40"/>
      <c r="B85" s="46"/>
      <c r="C85" s="40"/>
      <c r="D85" s="45"/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46"/>
      <c r="Q85" s="46"/>
      <c r="R85" s="46"/>
    </row>
    <row r="86" customFormat="false" ht="15" hidden="false" customHeight="false" outlineLevel="0" collapsed="false">
      <c r="A86" s="40"/>
      <c r="B86" s="46"/>
      <c r="C86" s="40"/>
      <c r="D86" s="45"/>
      <c r="E86" s="45"/>
      <c r="F86" s="46"/>
      <c r="G86" s="45"/>
      <c r="H86" s="46"/>
      <c r="I86" s="45"/>
      <c r="J86" s="46"/>
      <c r="K86" s="45"/>
      <c r="L86" s="46"/>
      <c r="M86" s="45"/>
      <c r="N86" s="46"/>
      <c r="O86" s="45"/>
      <c r="P86" s="46"/>
      <c r="Q86" s="46"/>
      <c r="R86" s="46"/>
    </row>
    <row r="87" customFormat="false" ht="15" hidden="false" customHeight="false" outlineLevel="0" collapsed="false">
      <c r="A87" s="40"/>
      <c r="B87" s="46"/>
      <c r="C87" s="40"/>
      <c r="D87" s="45"/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46"/>
      <c r="Q87" s="46"/>
      <c r="R87" s="46"/>
    </row>
    <row r="88" customFormat="false" ht="15" hidden="false" customHeight="false" outlineLevel="0" collapsed="false">
      <c r="A88" s="40"/>
      <c r="B88" s="46"/>
      <c r="C88" s="40"/>
      <c r="D88" s="45"/>
      <c r="E88" s="45"/>
      <c r="F88" s="46"/>
      <c r="G88" s="45"/>
      <c r="H88" s="46"/>
      <c r="I88" s="45"/>
      <c r="J88" s="46"/>
      <c r="K88" s="45"/>
      <c r="L88" s="46"/>
      <c r="M88" s="45"/>
      <c r="N88" s="46"/>
      <c r="O88" s="45"/>
      <c r="P88" s="46"/>
      <c r="Q88" s="46"/>
      <c r="R88" s="46"/>
    </row>
    <row r="89" customFormat="false" ht="15" hidden="false" customHeight="false" outlineLevel="0" collapsed="false">
      <c r="A89" s="40"/>
      <c r="B89" s="46"/>
      <c r="C89" s="40"/>
      <c r="D89" s="45"/>
      <c r="E89" s="45"/>
      <c r="F89" s="46"/>
      <c r="G89" s="45"/>
      <c r="H89" s="46"/>
      <c r="I89" s="45"/>
      <c r="J89" s="46"/>
      <c r="K89" s="45"/>
      <c r="L89" s="46"/>
      <c r="M89" s="45"/>
      <c r="N89" s="46"/>
      <c r="O89" s="45"/>
      <c r="P89" s="46"/>
      <c r="Q89" s="46"/>
      <c r="R89" s="46"/>
    </row>
    <row r="90" customFormat="false" ht="15" hidden="false" customHeight="false" outlineLevel="0" collapsed="false">
      <c r="A90" s="40"/>
      <c r="B90" s="46"/>
      <c r="C90" s="40"/>
      <c r="D90" s="45"/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46"/>
      <c r="Q90" s="46"/>
      <c r="R90" s="46"/>
    </row>
    <row r="91" customFormat="false" ht="15" hidden="false" customHeight="false" outlineLevel="0" collapsed="false">
      <c r="A91" s="40"/>
      <c r="B91" s="46"/>
      <c r="C91" s="40"/>
      <c r="D91" s="45"/>
      <c r="E91" s="45"/>
      <c r="F91" s="46"/>
      <c r="G91" s="45"/>
      <c r="H91" s="46"/>
      <c r="I91" s="45"/>
      <c r="J91" s="46"/>
      <c r="K91" s="45"/>
      <c r="L91" s="46"/>
      <c r="M91" s="45"/>
      <c r="N91" s="46"/>
      <c r="O91" s="45"/>
      <c r="P91" s="46"/>
      <c r="Q91" s="46"/>
      <c r="R91" s="46"/>
    </row>
    <row r="92" customFormat="false" ht="15" hidden="false" customHeight="false" outlineLevel="0" collapsed="false">
      <c r="A92" s="40"/>
      <c r="B92" s="46"/>
      <c r="C92" s="40"/>
      <c r="D92" s="45"/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46"/>
      <c r="Q92" s="46"/>
      <c r="R92" s="46"/>
    </row>
    <row r="93" customFormat="false" ht="15" hidden="false" customHeight="false" outlineLevel="0" collapsed="false">
      <c r="A93" s="40"/>
      <c r="B93" s="46"/>
      <c r="C93" s="40"/>
      <c r="D93" s="45"/>
      <c r="E93" s="45"/>
      <c r="F93" s="46"/>
      <c r="G93" s="45"/>
      <c r="H93" s="46"/>
      <c r="I93" s="45"/>
      <c r="J93" s="46"/>
      <c r="K93" s="45"/>
      <c r="L93" s="46"/>
      <c r="M93" s="45"/>
      <c r="N93" s="46"/>
      <c r="O93" s="45"/>
      <c r="P93" s="46"/>
      <c r="Q93" s="46"/>
      <c r="R93" s="46"/>
    </row>
    <row r="94" customFormat="false" ht="15" hidden="false" customHeight="false" outlineLevel="0" collapsed="false">
      <c r="A94" s="40"/>
      <c r="B94" s="46"/>
      <c r="C94" s="40"/>
      <c r="D94" s="45"/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46"/>
      <c r="Q94" s="46"/>
      <c r="R94" s="46"/>
    </row>
    <row r="95" customFormat="false" ht="15" hidden="false" customHeight="false" outlineLevel="0" collapsed="false">
      <c r="A95" s="40"/>
      <c r="B95" s="46"/>
      <c r="C95" s="40"/>
      <c r="D95" s="45"/>
      <c r="E95" s="45"/>
      <c r="F95" s="46"/>
      <c r="G95" s="45"/>
      <c r="H95" s="46"/>
      <c r="I95" s="45"/>
      <c r="J95" s="46"/>
      <c r="K95" s="45"/>
      <c r="L95" s="46"/>
      <c r="M95" s="45"/>
      <c r="N95" s="46"/>
      <c r="O95" s="45"/>
      <c r="P95" s="46"/>
      <c r="Q95" s="46"/>
      <c r="R95" s="46"/>
    </row>
    <row r="96" customFormat="false" ht="15" hidden="false" customHeight="false" outlineLevel="0" collapsed="false">
      <c r="A96" s="40"/>
      <c r="B96" s="46"/>
      <c r="C96" s="40"/>
      <c r="D96" s="45"/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46"/>
      <c r="Q96" s="46"/>
      <c r="R96" s="46"/>
    </row>
    <row r="97" customFormat="false" ht="15" hidden="false" customHeight="false" outlineLevel="0" collapsed="false">
      <c r="A97" s="40"/>
      <c r="B97" s="46"/>
      <c r="C97" s="40"/>
      <c r="D97" s="45"/>
      <c r="E97" s="45"/>
      <c r="F97" s="46"/>
      <c r="G97" s="45"/>
      <c r="H97" s="46"/>
      <c r="I97" s="45"/>
      <c r="J97" s="46"/>
      <c r="K97" s="45"/>
      <c r="L97" s="46"/>
      <c r="M97" s="45"/>
      <c r="N97" s="46"/>
      <c r="O97" s="45"/>
      <c r="P97" s="46"/>
      <c r="Q97" s="46"/>
      <c r="R97" s="46"/>
    </row>
    <row r="98" customFormat="false" ht="15" hidden="false" customHeight="false" outlineLevel="0" collapsed="false">
      <c r="A98" s="40"/>
      <c r="B98" s="46"/>
      <c r="C98" s="40"/>
      <c r="D98" s="45"/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46"/>
      <c r="Q98" s="46"/>
      <c r="R98" s="46"/>
    </row>
    <row r="99" customFormat="false" ht="15" hidden="false" customHeight="false" outlineLevel="0" collapsed="false">
      <c r="A99" s="40"/>
      <c r="B99" s="46"/>
      <c r="C99" s="40"/>
      <c r="D99" s="45"/>
      <c r="E99" s="45"/>
      <c r="F99" s="46"/>
      <c r="G99" s="45"/>
      <c r="H99" s="46"/>
      <c r="I99" s="45"/>
      <c r="J99" s="46"/>
      <c r="K99" s="45"/>
      <c r="L99" s="46"/>
      <c r="M99" s="45"/>
      <c r="N99" s="46"/>
      <c r="O99" s="45"/>
      <c r="P99" s="46"/>
      <c r="Q99" s="46"/>
      <c r="R99" s="46"/>
    </row>
    <row r="100" customFormat="false" ht="15" hidden="false" customHeight="false" outlineLevel="0" collapsed="false">
      <c r="A100" s="40"/>
      <c r="B100" s="46"/>
      <c r="C100" s="40"/>
      <c r="D100" s="45"/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46"/>
      <c r="Q100" s="46"/>
      <c r="R100" s="46"/>
    </row>
    <row r="101" customFormat="false" ht="15" hidden="false" customHeight="false" outlineLevel="0" collapsed="false">
      <c r="A101" s="40"/>
      <c r="B101" s="46"/>
      <c r="C101" s="40"/>
      <c r="D101" s="45"/>
      <c r="E101" s="45"/>
      <c r="F101" s="46"/>
      <c r="G101" s="45"/>
      <c r="H101" s="46"/>
      <c r="I101" s="45"/>
      <c r="J101" s="46"/>
      <c r="K101" s="45"/>
      <c r="L101" s="46"/>
      <c r="M101" s="45"/>
      <c r="N101" s="46"/>
      <c r="O101" s="45"/>
      <c r="P101" s="46"/>
      <c r="Q101" s="46"/>
      <c r="R101" s="46"/>
    </row>
    <row r="102" customFormat="false" ht="15" hidden="false" customHeight="false" outlineLevel="0" collapsed="false">
      <c r="A102" s="40"/>
      <c r="B102" s="46"/>
      <c r="C102" s="40"/>
      <c r="D102" s="45"/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46"/>
      <c r="Q102" s="46"/>
      <c r="R102" s="46"/>
    </row>
    <row r="103" customFormat="false" ht="15" hidden="false" customHeight="false" outlineLevel="0" collapsed="false">
      <c r="A103" s="40"/>
      <c r="B103" s="46"/>
      <c r="C103" s="40"/>
      <c r="D103" s="45"/>
      <c r="E103" s="45"/>
      <c r="F103" s="46"/>
      <c r="G103" s="45"/>
      <c r="H103" s="46"/>
      <c r="I103" s="45"/>
      <c r="J103" s="46"/>
      <c r="K103" s="45"/>
      <c r="L103" s="46"/>
      <c r="M103" s="45"/>
      <c r="N103" s="46"/>
      <c r="O103" s="45"/>
      <c r="P103" s="46"/>
      <c r="Q103" s="46"/>
      <c r="R103" s="46"/>
    </row>
    <row r="104" customFormat="false" ht="15" hidden="false" customHeight="false" outlineLevel="0" collapsed="false">
      <c r="A104" s="40"/>
      <c r="B104" s="46"/>
      <c r="C104" s="40"/>
      <c r="D104" s="45"/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46"/>
      <c r="Q104" s="46"/>
      <c r="R104" s="46"/>
    </row>
    <row r="105" customFormat="false" ht="15" hidden="false" customHeight="false" outlineLevel="0" collapsed="false">
      <c r="A105" s="40"/>
      <c r="B105" s="46"/>
      <c r="C105" s="40"/>
      <c r="D105" s="45"/>
      <c r="E105" s="45"/>
      <c r="F105" s="46"/>
      <c r="G105" s="45"/>
      <c r="H105" s="46"/>
      <c r="I105" s="45"/>
      <c r="J105" s="46"/>
      <c r="K105" s="45"/>
      <c r="L105" s="46"/>
      <c r="M105" s="45"/>
      <c r="N105" s="46"/>
      <c r="O105" s="45"/>
      <c r="P105" s="46"/>
      <c r="Q105" s="46"/>
      <c r="R105" s="46"/>
    </row>
    <row r="106" customFormat="false" ht="15" hidden="false" customHeight="false" outlineLevel="0" collapsed="false">
      <c r="A106" s="40"/>
      <c r="B106" s="46"/>
      <c r="C106" s="40"/>
      <c r="D106" s="45"/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46"/>
      <c r="Q106" s="46"/>
      <c r="R106" s="46"/>
    </row>
    <row r="107" customFormat="false" ht="15" hidden="false" customHeight="false" outlineLevel="0" collapsed="false">
      <c r="A107" s="40"/>
      <c r="B107" s="46"/>
      <c r="C107" s="40"/>
      <c r="D107" s="45"/>
      <c r="E107" s="45"/>
      <c r="F107" s="46"/>
      <c r="G107" s="45"/>
      <c r="H107" s="46"/>
      <c r="I107" s="45"/>
      <c r="J107" s="46"/>
      <c r="K107" s="45"/>
      <c r="L107" s="46"/>
      <c r="M107" s="45"/>
      <c r="N107" s="46"/>
      <c r="O107" s="45"/>
      <c r="P107" s="46"/>
      <c r="Q107" s="46"/>
      <c r="R107" s="46"/>
    </row>
    <row r="108" customFormat="false" ht="15" hidden="false" customHeight="false" outlineLevel="0" collapsed="false">
      <c r="A108" s="40"/>
      <c r="B108" s="46"/>
      <c r="C108" s="40"/>
      <c r="D108" s="45"/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46"/>
      <c r="Q108" s="46"/>
      <c r="R108" s="46"/>
    </row>
    <row r="109" customFormat="false" ht="15" hidden="false" customHeight="false" outlineLevel="0" collapsed="false">
      <c r="A109" s="40"/>
      <c r="B109" s="46"/>
      <c r="C109" s="40"/>
      <c r="D109" s="45"/>
      <c r="E109" s="45"/>
      <c r="F109" s="46"/>
      <c r="G109" s="45"/>
      <c r="H109" s="46"/>
      <c r="I109" s="45"/>
      <c r="J109" s="46"/>
      <c r="K109" s="45"/>
      <c r="L109" s="46"/>
      <c r="M109" s="45"/>
      <c r="N109" s="46"/>
      <c r="O109" s="45"/>
      <c r="P109" s="46"/>
      <c r="Q109" s="46"/>
      <c r="R109" s="46"/>
    </row>
    <row r="110" customFormat="false" ht="15" hidden="false" customHeight="false" outlineLevel="0" collapsed="false">
      <c r="A110" s="40"/>
      <c r="B110" s="46"/>
      <c r="C110" s="40"/>
      <c r="D110" s="45"/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46"/>
      <c r="Q110" s="46"/>
      <c r="R110" s="46"/>
    </row>
    <row r="111" customFormat="false" ht="15" hidden="false" customHeight="false" outlineLevel="0" collapsed="false">
      <c r="A111" s="40"/>
      <c r="B111" s="46"/>
      <c r="C111" s="40"/>
      <c r="D111" s="45"/>
      <c r="E111" s="45"/>
      <c r="F111" s="46"/>
      <c r="G111" s="45"/>
      <c r="H111" s="46"/>
      <c r="I111" s="45"/>
      <c r="J111" s="46"/>
      <c r="K111" s="45"/>
      <c r="L111" s="46"/>
      <c r="M111" s="45"/>
      <c r="N111" s="46"/>
      <c r="O111" s="45"/>
      <c r="P111" s="46"/>
      <c r="Q111" s="46"/>
      <c r="R111" s="46"/>
    </row>
    <row r="112" customFormat="false" ht="15" hidden="false" customHeight="false" outlineLevel="0" collapsed="false">
      <c r="A112" s="40"/>
      <c r="B112" s="46"/>
      <c r="C112" s="40"/>
      <c r="D112" s="45"/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46"/>
      <c r="Q112" s="46"/>
      <c r="R112" s="46"/>
    </row>
    <row r="113" customFormat="false" ht="15" hidden="false" customHeight="false" outlineLevel="0" collapsed="false">
      <c r="A113" s="40"/>
      <c r="B113" s="46"/>
      <c r="C113" s="40"/>
      <c r="D113" s="45"/>
      <c r="E113" s="45"/>
      <c r="F113" s="46"/>
      <c r="G113" s="45"/>
      <c r="H113" s="46"/>
      <c r="I113" s="45"/>
      <c r="J113" s="46"/>
      <c r="K113" s="45"/>
      <c r="L113" s="46"/>
      <c r="M113" s="45"/>
      <c r="N113" s="46"/>
      <c r="O113" s="45"/>
      <c r="P113" s="46"/>
      <c r="Q113" s="46"/>
      <c r="R113" s="46"/>
    </row>
    <row r="114" customFormat="false" ht="15" hidden="false" customHeight="false" outlineLevel="0" collapsed="false">
      <c r="A114" s="40"/>
      <c r="B114" s="46"/>
      <c r="C114" s="40"/>
      <c r="D114" s="45"/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46"/>
      <c r="Q114" s="46"/>
      <c r="R114" s="46"/>
    </row>
    <row r="115" customFormat="false" ht="15" hidden="false" customHeight="false" outlineLevel="0" collapsed="false">
      <c r="A115" s="40"/>
      <c r="B115" s="46"/>
      <c r="C115" s="40"/>
      <c r="D115" s="45"/>
      <c r="E115" s="45"/>
      <c r="F115" s="46"/>
      <c r="G115" s="45"/>
      <c r="H115" s="46"/>
      <c r="I115" s="45"/>
      <c r="J115" s="46"/>
      <c r="K115" s="45"/>
      <c r="L115" s="46"/>
      <c r="M115" s="45"/>
      <c r="N115" s="46"/>
      <c r="O115" s="45"/>
      <c r="P115" s="46"/>
      <c r="Q115" s="46"/>
      <c r="R115" s="46"/>
    </row>
    <row r="116" customFormat="false" ht="15" hidden="false" customHeight="false" outlineLevel="0" collapsed="false">
      <c r="A116" s="40"/>
      <c r="B116" s="46"/>
      <c r="C116" s="40"/>
      <c r="D116" s="45"/>
      <c r="E116" s="45"/>
      <c r="F116" s="46"/>
      <c r="G116" s="45"/>
      <c r="H116" s="46"/>
      <c r="I116" s="45"/>
      <c r="J116" s="46"/>
      <c r="K116" s="45"/>
      <c r="L116" s="46"/>
      <c r="M116" s="45"/>
      <c r="N116" s="46"/>
      <c r="O116" s="45"/>
      <c r="P116" s="46"/>
      <c r="Q116" s="46"/>
      <c r="R116" s="46"/>
    </row>
    <row r="117" customFormat="false" ht="15" hidden="false" customHeight="false" outlineLevel="0" collapsed="false">
      <c r="A117" s="40"/>
      <c r="B117" s="46"/>
      <c r="C117" s="40"/>
      <c r="D117" s="45"/>
      <c r="E117" s="45"/>
      <c r="F117" s="46"/>
      <c r="G117" s="45"/>
      <c r="H117" s="46"/>
      <c r="I117" s="45"/>
      <c r="J117" s="46"/>
      <c r="K117" s="45"/>
      <c r="L117" s="46"/>
      <c r="M117" s="45"/>
      <c r="N117" s="46"/>
      <c r="O117" s="45"/>
      <c r="P117" s="46"/>
      <c r="Q117" s="46"/>
      <c r="R117" s="46"/>
    </row>
    <row r="118" customFormat="false" ht="15" hidden="false" customHeight="false" outlineLevel="0" collapsed="false">
      <c r="A118" s="40"/>
      <c r="B118" s="46"/>
      <c r="C118" s="40"/>
      <c r="D118" s="45"/>
      <c r="E118" s="45"/>
      <c r="F118" s="46"/>
      <c r="G118" s="45"/>
      <c r="H118" s="46"/>
      <c r="I118" s="45"/>
      <c r="J118" s="46"/>
      <c r="K118" s="45"/>
      <c r="L118" s="46"/>
      <c r="M118" s="45"/>
      <c r="N118" s="46"/>
      <c r="O118" s="45"/>
      <c r="P118" s="46"/>
      <c r="Q118" s="46"/>
      <c r="R118" s="46"/>
    </row>
    <row r="119" customFormat="false" ht="15" hidden="false" customHeight="false" outlineLevel="0" collapsed="false">
      <c r="A119" s="40"/>
      <c r="B119" s="46"/>
      <c r="C119" s="40"/>
      <c r="D119" s="45"/>
      <c r="E119" s="45"/>
      <c r="F119" s="46"/>
      <c r="G119" s="45"/>
      <c r="H119" s="46"/>
      <c r="I119" s="45"/>
      <c r="J119" s="46"/>
      <c r="K119" s="45"/>
      <c r="L119" s="46"/>
      <c r="M119" s="45"/>
      <c r="N119" s="46"/>
      <c r="O119" s="45"/>
      <c r="P119" s="46"/>
      <c r="Q119" s="46"/>
      <c r="R119" s="46"/>
    </row>
    <row r="120" customFormat="false" ht="15" hidden="false" customHeight="false" outlineLevel="0" collapsed="false">
      <c r="A120" s="40"/>
      <c r="B120" s="46"/>
      <c r="C120" s="40"/>
      <c r="D120" s="45"/>
      <c r="E120" s="45"/>
      <c r="F120" s="46"/>
      <c r="G120" s="45"/>
      <c r="H120" s="46"/>
      <c r="I120" s="45"/>
      <c r="J120" s="46"/>
      <c r="K120" s="45"/>
      <c r="L120" s="46"/>
      <c r="M120" s="45"/>
      <c r="N120" s="46"/>
      <c r="O120" s="45"/>
      <c r="P120" s="46"/>
      <c r="Q120" s="46"/>
      <c r="R120" s="46"/>
    </row>
    <row r="121" customFormat="false" ht="15" hidden="false" customHeight="false" outlineLevel="0" collapsed="false">
      <c r="A121" s="40"/>
      <c r="B121" s="46"/>
      <c r="C121" s="40"/>
      <c r="D121" s="45"/>
      <c r="E121" s="45"/>
      <c r="F121" s="46"/>
      <c r="G121" s="45"/>
      <c r="H121" s="46"/>
      <c r="I121" s="45"/>
      <c r="J121" s="46"/>
      <c r="K121" s="45"/>
      <c r="L121" s="46"/>
      <c r="M121" s="45"/>
      <c r="N121" s="46"/>
      <c r="O121" s="45"/>
      <c r="P121" s="46"/>
      <c r="Q121" s="46"/>
      <c r="R121" s="46"/>
    </row>
    <row r="122" customFormat="false" ht="15" hidden="false" customHeight="false" outlineLevel="0" collapsed="false">
      <c r="A122" s="40"/>
      <c r="B122" s="46"/>
      <c r="C122" s="40"/>
      <c r="D122" s="45"/>
      <c r="E122" s="45"/>
      <c r="F122" s="46"/>
      <c r="G122" s="45"/>
      <c r="H122" s="46"/>
      <c r="I122" s="45"/>
      <c r="J122" s="46"/>
      <c r="K122" s="45"/>
      <c r="L122" s="46"/>
      <c r="M122" s="45"/>
      <c r="N122" s="46"/>
      <c r="O122" s="45"/>
      <c r="P122" s="46"/>
      <c r="Q122" s="46"/>
      <c r="R122" s="46"/>
    </row>
    <row r="123" customFormat="false" ht="15" hidden="false" customHeight="false" outlineLevel="0" collapsed="false">
      <c r="A123" s="40"/>
      <c r="B123" s="46"/>
      <c r="C123" s="40"/>
      <c r="D123" s="45"/>
      <c r="E123" s="45"/>
      <c r="F123" s="46"/>
      <c r="G123" s="45"/>
      <c r="H123" s="46"/>
      <c r="I123" s="45"/>
      <c r="J123" s="46"/>
      <c r="K123" s="45"/>
      <c r="L123" s="46"/>
      <c r="M123" s="45"/>
      <c r="N123" s="46"/>
      <c r="O123" s="45"/>
      <c r="P123" s="46"/>
      <c r="Q123" s="46"/>
      <c r="R123" s="46"/>
    </row>
    <row r="124" customFormat="false" ht="15" hidden="false" customHeight="false" outlineLevel="0" collapsed="false">
      <c r="A124" s="40"/>
      <c r="B124" s="46"/>
      <c r="C124" s="40"/>
      <c r="D124" s="45"/>
      <c r="E124" s="45"/>
      <c r="F124" s="46"/>
      <c r="G124" s="45"/>
      <c r="H124" s="46"/>
      <c r="I124" s="45"/>
      <c r="J124" s="46"/>
      <c r="K124" s="45"/>
      <c r="L124" s="46"/>
      <c r="M124" s="45"/>
      <c r="N124" s="46"/>
      <c r="O124" s="45"/>
      <c r="P124" s="46"/>
      <c r="Q124" s="46"/>
      <c r="R124" s="46"/>
    </row>
    <row r="125" customFormat="false" ht="15" hidden="false" customHeight="false" outlineLevel="0" collapsed="false">
      <c r="A125" s="40"/>
      <c r="B125" s="46"/>
      <c r="C125" s="40"/>
      <c r="D125" s="45"/>
      <c r="E125" s="45"/>
      <c r="F125" s="46"/>
      <c r="G125" s="45"/>
      <c r="H125" s="46"/>
      <c r="I125" s="45"/>
      <c r="J125" s="46"/>
      <c r="K125" s="45"/>
      <c r="L125" s="46"/>
      <c r="M125" s="45"/>
      <c r="N125" s="46"/>
      <c r="O125" s="45"/>
      <c r="P125" s="46"/>
      <c r="Q125" s="46"/>
      <c r="R125" s="46"/>
    </row>
    <row r="126" customFormat="false" ht="15" hidden="false" customHeight="false" outlineLevel="0" collapsed="false">
      <c r="A126" s="40"/>
      <c r="B126" s="46"/>
      <c r="C126" s="40"/>
      <c r="D126" s="45"/>
      <c r="E126" s="45"/>
      <c r="F126" s="46"/>
      <c r="G126" s="45"/>
      <c r="H126" s="46"/>
      <c r="I126" s="45"/>
      <c r="J126" s="46"/>
      <c r="K126" s="45"/>
      <c r="L126" s="46"/>
      <c r="M126" s="45"/>
      <c r="N126" s="46"/>
      <c r="O126" s="45"/>
      <c r="P126" s="46"/>
      <c r="Q126" s="46"/>
      <c r="R126" s="46"/>
    </row>
    <row r="127" customFormat="false" ht="15" hidden="false" customHeight="false" outlineLevel="0" collapsed="false">
      <c r="A127" s="40"/>
      <c r="B127" s="46"/>
      <c r="C127" s="40"/>
      <c r="D127" s="45"/>
      <c r="E127" s="45"/>
      <c r="F127" s="46"/>
      <c r="G127" s="45"/>
      <c r="H127" s="46"/>
      <c r="I127" s="45"/>
      <c r="J127" s="46"/>
      <c r="K127" s="45"/>
      <c r="L127" s="46"/>
      <c r="M127" s="45"/>
      <c r="N127" s="46"/>
      <c r="O127" s="45"/>
      <c r="P127" s="46"/>
      <c r="Q127" s="46"/>
      <c r="R127" s="46"/>
    </row>
    <row r="128" customFormat="false" ht="15" hidden="false" customHeight="false" outlineLevel="0" collapsed="false">
      <c r="A128" s="40"/>
      <c r="B128" s="46"/>
      <c r="C128" s="40"/>
      <c r="D128" s="45"/>
      <c r="E128" s="45"/>
      <c r="F128" s="46"/>
      <c r="G128" s="45"/>
      <c r="H128" s="46"/>
      <c r="I128" s="45"/>
      <c r="J128" s="46"/>
      <c r="K128" s="45"/>
      <c r="L128" s="46"/>
      <c r="M128" s="45"/>
      <c r="N128" s="46"/>
      <c r="O128" s="45"/>
      <c r="P128" s="46"/>
      <c r="Q128" s="46"/>
      <c r="R128" s="46"/>
    </row>
    <row r="129" customFormat="false" ht="15" hidden="false" customHeight="false" outlineLevel="0" collapsed="false">
      <c r="A129" s="40"/>
      <c r="B129" s="46"/>
      <c r="C129" s="40"/>
      <c r="D129" s="45"/>
      <c r="E129" s="45"/>
      <c r="F129" s="46"/>
      <c r="G129" s="45"/>
      <c r="H129" s="46"/>
      <c r="I129" s="45"/>
      <c r="J129" s="46"/>
      <c r="K129" s="45"/>
      <c r="L129" s="46"/>
      <c r="M129" s="45"/>
      <c r="N129" s="46"/>
      <c r="O129" s="45"/>
      <c r="P129" s="46"/>
      <c r="Q129" s="46"/>
      <c r="R129" s="46"/>
    </row>
    <row r="130" customFormat="false" ht="15" hidden="false" customHeight="false" outlineLevel="0" collapsed="false">
      <c r="A130" s="40"/>
      <c r="B130" s="46"/>
      <c r="C130" s="40"/>
      <c r="D130" s="45"/>
      <c r="E130" s="45"/>
      <c r="F130" s="46"/>
      <c r="G130" s="45"/>
      <c r="H130" s="46"/>
      <c r="I130" s="45"/>
      <c r="J130" s="46"/>
      <c r="K130" s="45"/>
      <c r="L130" s="46"/>
      <c r="M130" s="45"/>
      <c r="N130" s="46"/>
      <c r="O130" s="45"/>
      <c r="P130" s="46"/>
      <c r="Q130" s="46"/>
      <c r="R130" s="46"/>
    </row>
    <row r="131" customFormat="false" ht="15" hidden="false" customHeight="false" outlineLevel="0" collapsed="false">
      <c r="A131" s="40"/>
      <c r="B131" s="46"/>
      <c r="C131" s="40"/>
      <c r="D131" s="45"/>
      <c r="E131" s="45"/>
      <c r="F131" s="46"/>
      <c r="G131" s="45"/>
      <c r="H131" s="46"/>
      <c r="I131" s="45"/>
      <c r="J131" s="46"/>
      <c r="K131" s="45"/>
      <c r="L131" s="46"/>
      <c r="M131" s="45"/>
      <c r="N131" s="46"/>
      <c r="O131" s="45"/>
      <c r="P131" s="46"/>
      <c r="Q131" s="46"/>
      <c r="R131" s="46"/>
    </row>
    <row r="132" customFormat="false" ht="15" hidden="false" customHeight="false" outlineLevel="0" collapsed="false">
      <c r="A132" s="40"/>
      <c r="B132" s="46"/>
      <c r="C132" s="40"/>
      <c r="D132" s="45"/>
      <c r="E132" s="45"/>
      <c r="F132" s="46"/>
      <c r="G132" s="45"/>
      <c r="H132" s="46"/>
      <c r="I132" s="45"/>
      <c r="J132" s="46"/>
      <c r="K132" s="45"/>
      <c r="L132" s="46"/>
      <c r="M132" s="45"/>
      <c r="N132" s="46"/>
      <c r="O132" s="45"/>
      <c r="P132" s="46"/>
      <c r="Q132" s="46"/>
      <c r="R132" s="46"/>
    </row>
    <row r="133" customFormat="false" ht="15" hidden="false" customHeight="false" outlineLevel="0" collapsed="false">
      <c r="A133" s="40"/>
      <c r="B133" s="46"/>
      <c r="C133" s="40"/>
      <c r="D133" s="45"/>
      <c r="E133" s="45"/>
      <c r="F133" s="46"/>
      <c r="G133" s="45"/>
      <c r="H133" s="46"/>
      <c r="I133" s="45"/>
      <c r="J133" s="46"/>
      <c r="K133" s="45"/>
      <c r="L133" s="46"/>
      <c r="M133" s="45"/>
      <c r="N133" s="46"/>
      <c r="O133" s="45"/>
      <c r="P133" s="46"/>
      <c r="Q133" s="46"/>
      <c r="R133" s="46"/>
    </row>
    <row r="134" customFormat="false" ht="15" hidden="false" customHeight="false" outlineLevel="0" collapsed="false">
      <c r="A134" s="40"/>
      <c r="B134" s="46"/>
      <c r="C134" s="40"/>
      <c r="D134" s="45"/>
      <c r="E134" s="45"/>
      <c r="F134" s="46"/>
      <c r="G134" s="45"/>
      <c r="H134" s="46"/>
      <c r="I134" s="45"/>
      <c r="J134" s="46"/>
      <c r="K134" s="45"/>
      <c r="L134" s="46"/>
      <c r="M134" s="45"/>
      <c r="N134" s="46"/>
      <c r="O134" s="45"/>
      <c r="P134" s="46"/>
      <c r="Q134" s="46"/>
      <c r="R134" s="46"/>
    </row>
    <row r="135" customFormat="false" ht="15" hidden="false" customHeight="false" outlineLevel="0" collapsed="false">
      <c r="A135" s="40"/>
      <c r="B135" s="46"/>
      <c r="C135" s="40"/>
      <c r="D135" s="45"/>
      <c r="E135" s="45"/>
      <c r="F135" s="46"/>
      <c r="G135" s="45"/>
      <c r="H135" s="46"/>
      <c r="I135" s="45"/>
      <c r="J135" s="46"/>
      <c r="K135" s="45"/>
      <c r="L135" s="46"/>
      <c r="M135" s="45"/>
      <c r="N135" s="46"/>
      <c r="O135" s="45"/>
      <c r="P135" s="46"/>
      <c r="Q135" s="46"/>
      <c r="R135" s="46"/>
    </row>
    <row r="136" customFormat="false" ht="15" hidden="false" customHeight="false" outlineLevel="0" collapsed="false">
      <c r="A136" s="40"/>
      <c r="B136" s="46"/>
      <c r="C136" s="40"/>
      <c r="D136" s="45"/>
      <c r="E136" s="45"/>
      <c r="F136" s="46"/>
      <c r="G136" s="45"/>
      <c r="H136" s="46"/>
      <c r="I136" s="45"/>
      <c r="J136" s="46"/>
      <c r="K136" s="45"/>
      <c r="L136" s="46"/>
      <c r="M136" s="45"/>
      <c r="N136" s="46"/>
      <c r="O136" s="45"/>
      <c r="P136" s="46"/>
      <c r="Q136" s="46"/>
      <c r="R136" s="46"/>
    </row>
    <row r="137" customFormat="false" ht="15" hidden="false" customHeight="false" outlineLevel="0" collapsed="false">
      <c r="A137" s="40"/>
      <c r="B137" s="46"/>
      <c r="C137" s="40"/>
      <c r="D137" s="45"/>
      <c r="E137" s="45"/>
      <c r="F137" s="46"/>
      <c r="G137" s="45"/>
      <c r="H137" s="46"/>
      <c r="I137" s="45"/>
      <c r="J137" s="46"/>
      <c r="K137" s="45"/>
      <c r="L137" s="46"/>
      <c r="M137" s="45"/>
      <c r="N137" s="46"/>
      <c r="O137" s="45"/>
      <c r="P137" s="46"/>
      <c r="Q137" s="46"/>
      <c r="R137" s="46"/>
    </row>
    <row r="138" customFormat="false" ht="15" hidden="false" customHeight="false" outlineLevel="0" collapsed="false">
      <c r="A138" s="40"/>
      <c r="B138" s="46"/>
      <c r="C138" s="40"/>
      <c r="D138" s="45"/>
      <c r="E138" s="45"/>
      <c r="F138" s="46"/>
      <c r="G138" s="45"/>
      <c r="H138" s="46"/>
      <c r="I138" s="45"/>
      <c r="J138" s="46"/>
      <c r="K138" s="45"/>
      <c r="L138" s="46"/>
      <c r="M138" s="45"/>
      <c r="N138" s="46"/>
      <c r="O138" s="45"/>
      <c r="P138" s="46"/>
      <c r="Q138" s="46"/>
      <c r="R138" s="46"/>
    </row>
    <row r="139" customFormat="false" ht="15" hidden="false" customHeight="false" outlineLevel="0" collapsed="false">
      <c r="A139" s="40"/>
      <c r="B139" s="46"/>
      <c r="C139" s="40"/>
      <c r="D139" s="45"/>
      <c r="E139" s="45"/>
      <c r="F139" s="46"/>
      <c r="G139" s="45"/>
      <c r="H139" s="46"/>
      <c r="I139" s="45"/>
      <c r="J139" s="46"/>
      <c r="K139" s="45"/>
      <c r="L139" s="46"/>
      <c r="M139" s="45"/>
      <c r="N139" s="46"/>
      <c r="O139" s="45"/>
      <c r="P139" s="46"/>
      <c r="Q139" s="46"/>
      <c r="R139" s="46"/>
    </row>
    <row r="140" customFormat="false" ht="15" hidden="false" customHeight="false" outlineLevel="0" collapsed="false">
      <c r="A140" s="40"/>
      <c r="B140" s="46"/>
      <c r="C140" s="40"/>
      <c r="D140" s="45"/>
      <c r="E140" s="45"/>
      <c r="F140" s="46"/>
      <c r="G140" s="45"/>
      <c r="H140" s="46"/>
      <c r="I140" s="45"/>
      <c r="J140" s="46"/>
      <c r="K140" s="45"/>
      <c r="L140" s="46"/>
      <c r="M140" s="45"/>
      <c r="N140" s="46"/>
      <c r="O140" s="45"/>
      <c r="P140" s="46"/>
      <c r="Q140" s="46"/>
      <c r="R140" s="46"/>
    </row>
    <row r="141" customFormat="false" ht="15" hidden="false" customHeight="false" outlineLevel="0" collapsed="false">
      <c r="A141" s="40"/>
      <c r="B141" s="46"/>
      <c r="C141" s="40"/>
      <c r="D141" s="45"/>
      <c r="E141" s="45"/>
      <c r="F141" s="46"/>
      <c r="G141" s="45"/>
      <c r="H141" s="46"/>
      <c r="I141" s="45"/>
      <c r="J141" s="46"/>
      <c r="K141" s="45"/>
      <c r="L141" s="46"/>
      <c r="M141" s="45"/>
      <c r="N141" s="46"/>
      <c r="O141" s="45"/>
      <c r="P141" s="46"/>
      <c r="Q141" s="46"/>
      <c r="R141" s="46"/>
    </row>
    <row r="142" customFormat="false" ht="15" hidden="false" customHeight="false" outlineLevel="0" collapsed="false">
      <c r="A142" s="40"/>
      <c r="B142" s="46"/>
      <c r="C142" s="40"/>
      <c r="D142" s="45"/>
      <c r="E142" s="45"/>
      <c r="F142" s="46"/>
      <c r="G142" s="45"/>
      <c r="H142" s="46"/>
      <c r="I142" s="45"/>
      <c r="J142" s="46"/>
      <c r="K142" s="45"/>
      <c r="L142" s="46"/>
      <c r="M142" s="45"/>
      <c r="N142" s="46"/>
      <c r="O142" s="45"/>
      <c r="P142" s="46"/>
      <c r="Q142" s="46"/>
      <c r="R142" s="46"/>
    </row>
    <row r="143" customFormat="false" ht="15" hidden="false" customHeight="false" outlineLevel="0" collapsed="false">
      <c r="A143" s="40"/>
      <c r="B143" s="46"/>
      <c r="C143" s="40"/>
      <c r="D143" s="45"/>
      <c r="E143" s="45"/>
      <c r="F143" s="46"/>
      <c r="G143" s="45"/>
      <c r="H143" s="46"/>
      <c r="I143" s="45"/>
      <c r="J143" s="46"/>
      <c r="K143" s="45"/>
      <c r="L143" s="46"/>
      <c r="M143" s="45"/>
      <c r="N143" s="46"/>
      <c r="O143" s="45"/>
      <c r="P143" s="46"/>
      <c r="Q143" s="46"/>
      <c r="R143" s="46"/>
    </row>
    <row r="144" customFormat="false" ht="15" hidden="false" customHeight="false" outlineLevel="0" collapsed="false">
      <c r="A144" s="40"/>
      <c r="B144" s="46"/>
      <c r="C144" s="40"/>
      <c r="D144" s="45"/>
      <c r="E144" s="45"/>
      <c r="F144" s="46"/>
      <c r="G144" s="45"/>
      <c r="H144" s="46"/>
      <c r="I144" s="45"/>
      <c r="J144" s="46"/>
      <c r="K144" s="45"/>
      <c r="L144" s="46"/>
      <c r="M144" s="45"/>
      <c r="N144" s="46"/>
      <c r="O144" s="45"/>
      <c r="P144" s="46"/>
      <c r="Q144" s="46"/>
      <c r="R144" s="46"/>
    </row>
    <row r="145" customFormat="false" ht="15" hidden="false" customHeight="false" outlineLevel="0" collapsed="false">
      <c r="A145" s="40"/>
      <c r="B145" s="46"/>
      <c r="C145" s="40"/>
      <c r="D145" s="45"/>
      <c r="E145" s="45"/>
      <c r="F145" s="46"/>
      <c r="G145" s="45"/>
      <c r="H145" s="46"/>
      <c r="I145" s="45"/>
      <c r="J145" s="46"/>
      <c r="K145" s="45"/>
      <c r="L145" s="46"/>
      <c r="M145" s="45"/>
      <c r="N145" s="46"/>
      <c r="O145" s="45"/>
      <c r="P145" s="46"/>
      <c r="Q145" s="46"/>
      <c r="R145" s="46"/>
    </row>
    <row r="146" customFormat="false" ht="15" hidden="false" customHeight="false" outlineLevel="0" collapsed="false">
      <c r="A146" s="40"/>
      <c r="B146" s="46"/>
      <c r="C146" s="40"/>
      <c r="D146" s="45"/>
      <c r="E146" s="45"/>
      <c r="F146" s="46"/>
      <c r="G146" s="45"/>
      <c r="H146" s="46"/>
      <c r="I146" s="45"/>
      <c r="J146" s="46"/>
      <c r="K146" s="45"/>
      <c r="L146" s="46"/>
      <c r="M146" s="45"/>
      <c r="N146" s="46"/>
      <c r="O146" s="45"/>
      <c r="P146" s="46"/>
      <c r="Q146" s="46"/>
      <c r="R146" s="46"/>
    </row>
    <row r="147" customFormat="false" ht="15" hidden="false" customHeight="false" outlineLevel="0" collapsed="false">
      <c r="A147" s="40"/>
      <c r="B147" s="46"/>
      <c r="C147" s="40"/>
      <c r="D147" s="45"/>
      <c r="E147" s="45"/>
      <c r="F147" s="46"/>
      <c r="G147" s="45"/>
      <c r="H147" s="46"/>
      <c r="I147" s="45"/>
      <c r="J147" s="46"/>
      <c r="K147" s="45"/>
      <c r="L147" s="46"/>
      <c r="M147" s="45"/>
      <c r="N147" s="46"/>
      <c r="O147" s="45"/>
      <c r="P147" s="46"/>
      <c r="Q147" s="46"/>
      <c r="R147" s="46"/>
    </row>
    <row r="148" customFormat="false" ht="15" hidden="false" customHeight="false" outlineLevel="0" collapsed="false">
      <c r="A148" s="40"/>
      <c r="B148" s="46"/>
      <c r="C148" s="40"/>
      <c r="D148" s="45"/>
      <c r="E148" s="45"/>
      <c r="F148" s="46"/>
      <c r="G148" s="45"/>
      <c r="H148" s="46"/>
      <c r="I148" s="45"/>
      <c r="J148" s="46"/>
      <c r="K148" s="45"/>
      <c r="L148" s="46"/>
      <c r="M148" s="45"/>
      <c r="N148" s="46"/>
      <c r="O148" s="45"/>
      <c r="P148" s="46"/>
      <c r="Q148" s="46"/>
      <c r="R148" s="46"/>
    </row>
    <row r="149" customFormat="false" ht="15" hidden="false" customHeight="false" outlineLevel="0" collapsed="false">
      <c r="A149" s="40"/>
      <c r="B149" s="46"/>
      <c r="C149" s="40"/>
      <c r="D149" s="45"/>
      <c r="E149" s="45"/>
      <c r="F149" s="46"/>
      <c r="G149" s="45"/>
      <c r="H149" s="46"/>
      <c r="I149" s="45"/>
      <c r="J149" s="46"/>
      <c r="K149" s="45"/>
      <c r="L149" s="46"/>
      <c r="M149" s="45"/>
      <c r="N149" s="46"/>
      <c r="O149" s="45"/>
      <c r="P149" s="46"/>
      <c r="Q149" s="46"/>
      <c r="R149" s="46"/>
    </row>
    <row r="150" customFormat="false" ht="15" hidden="false" customHeight="false" outlineLevel="0" collapsed="false">
      <c r="A150" s="40"/>
      <c r="B150" s="46"/>
      <c r="C150" s="40"/>
      <c r="D150" s="45"/>
      <c r="E150" s="45"/>
      <c r="F150" s="46"/>
      <c r="G150" s="45"/>
      <c r="H150" s="46"/>
      <c r="I150" s="45"/>
      <c r="J150" s="46"/>
      <c r="K150" s="45"/>
      <c r="L150" s="46"/>
      <c r="M150" s="45"/>
      <c r="N150" s="46"/>
      <c r="O150" s="45"/>
      <c r="P150" s="46"/>
      <c r="Q150" s="46"/>
      <c r="R150" s="46"/>
    </row>
    <row r="151" customFormat="false" ht="15" hidden="false" customHeight="false" outlineLevel="0" collapsed="false">
      <c r="A151" s="40"/>
      <c r="B151" s="46"/>
      <c r="C151" s="40"/>
      <c r="D151" s="45"/>
      <c r="E151" s="45"/>
      <c r="F151" s="46"/>
      <c r="G151" s="45"/>
      <c r="H151" s="46"/>
      <c r="I151" s="45"/>
      <c r="J151" s="46"/>
      <c r="K151" s="45"/>
      <c r="L151" s="46"/>
      <c r="M151" s="45"/>
      <c r="N151" s="46"/>
      <c r="O151" s="45"/>
      <c r="P151" s="46"/>
      <c r="Q151" s="46"/>
      <c r="R151" s="46"/>
    </row>
    <row r="152" customFormat="false" ht="15" hidden="false" customHeight="false" outlineLevel="0" collapsed="false">
      <c r="A152" s="40"/>
      <c r="B152" s="46"/>
      <c r="C152" s="40"/>
      <c r="D152" s="45"/>
      <c r="E152" s="45"/>
      <c r="F152" s="46"/>
      <c r="G152" s="45"/>
      <c r="H152" s="46"/>
      <c r="I152" s="45"/>
      <c r="J152" s="46"/>
      <c r="K152" s="45"/>
      <c r="L152" s="46"/>
      <c r="M152" s="45"/>
      <c r="N152" s="46"/>
      <c r="O152" s="45"/>
      <c r="P152" s="46"/>
      <c r="Q152" s="46"/>
      <c r="R152" s="46"/>
    </row>
    <row r="153" customFormat="false" ht="15" hidden="false" customHeight="false" outlineLevel="0" collapsed="false">
      <c r="A153" s="40"/>
      <c r="B153" s="46"/>
      <c r="C153" s="40"/>
      <c r="D153" s="45"/>
      <c r="E153" s="45"/>
      <c r="F153" s="46"/>
      <c r="G153" s="45"/>
      <c r="H153" s="46"/>
      <c r="I153" s="45"/>
      <c r="J153" s="46"/>
      <c r="K153" s="45"/>
      <c r="L153" s="46"/>
      <c r="M153" s="45"/>
      <c r="N153" s="46"/>
      <c r="O153" s="45"/>
      <c r="P153" s="46"/>
      <c r="Q153" s="46"/>
      <c r="R153" s="46"/>
    </row>
    <row r="154" customFormat="false" ht="15" hidden="false" customHeight="false" outlineLevel="0" collapsed="false">
      <c r="A154" s="40"/>
      <c r="B154" s="46"/>
      <c r="C154" s="40"/>
      <c r="D154" s="45"/>
      <c r="E154" s="45"/>
      <c r="F154" s="46"/>
      <c r="G154" s="45"/>
      <c r="H154" s="46"/>
      <c r="I154" s="45"/>
      <c r="J154" s="46"/>
      <c r="K154" s="45"/>
      <c r="L154" s="46"/>
      <c r="M154" s="45"/>
      <c r="N154" s="46"/>
      <c r="O154" s="45"/>
      <c r="P154" s="46"/>
      <c r="Q154" s="46"/>
      <c r="R154" s="46"/>
    </row>
    <row r="155" customFormat="false" ht="15" hidden="false" customHeight="false" outlineLevel="0" collapsed="false">
      <c r="A155" s="40"/>
      <c r="B155" s="46"/>
      <c r="C155" s="40"/>
      <c r="D155" s="45"/>
      <c r="E155" s="45"/>
      <c r="F155" s="46"/>
      <c r="G155" s="45"/>
      <c r="H155" s="46"/>
      <c r="I155" s="45"/>
      <c r="J155" s="46"/>
      <c r="K155" s="45"/>
      <c r="L155" s="46"/>
      <c r="M155" s="45"/>
      <c r="N155" s="46"/>
      <c r="O155" s="45"/>
      <c r="P155" s="46"/>
      <c r="Q155" s="46"/>
      <c r="R155" s="46"/>
    </row>
    <row r="156" customFormat="false" ht="15" hidden="false" customHeight="false" outlineLevel="0" collapsed="false">
      <c r="A156" s="40"/>
      <c r="B156" s="46"/>
      <c r="C156" s="40"/>
      <c r="D156" s="45"/>
      <c r="E156" s="45"/>
      <c r="F156" s="46"/>
      <c r="G156" s="45"/>
      <c r="H156" s="46"/>
      <c r="I156" s="45"/>
      <c r="J156" s="46"/>
      <c r="K156" s="45"/>
      <c r="L156" s="46"/>
      <c r="M156" s="45"/>
      <c r="N156" s="46"/>
      <c r="O156" s="45"/>
      <c r="P156" s="46"/>
      <c r="Q156" s="46"/>
      <c r="R156" s="46"/>
    </row>
    <row r="157" customFormat="false" ht="15" hidden="false" customHeight="false" outlineLevel="0" collapsed="false">
      <c r="A157" s="40"/>
      <c r="B157" s="46"/>
      <c r="C157" s="40"/>
      <c r="D157" s="45"/>
      <c r="E157" s="45"/>
      <c r="F157" s="46"/>
      <c r="G157" s="45"/>
      <c r="H157" s="46"/>
      <c r="I157" s="45"/>
      <c r="J157" s="46"/>
      <c r="K157" s="45"/>
      <c r="L157" s="46"/>
      <c r="M157" s="45"/>
      <c r="N157" s="46"/>
      <c r="O157" s="45"/>
      <c r="P157" s="46"/>
      <c r="Q157" s="46"/>
      <c r="R157" s="46"/>
    </row>
    <row r="158" customFormat="false" ht="15" hidden="false" customHeight="false" outlineLevel="0" collapsed="false">
      <c r="A158" s="40"/>
      <c r="B158" s="46"/>
      <c r="C158" s="40"/>
      <c r="D158" s="45"/>
      <c r="E158" s="45"/>
      <c r="F158" s="46"/>
      <c r="G158" s="45"/>
      <c r="H158" s="46"/>
      <c r="I158" s="45"/>
      <c r="J158" s="46"/>
      <c r="K158" s="45"/>
      <c r="L158" s="46"/>
      <c r="M158" s="45"/>
      <c r="N158" s="46"/>
      <c r="O158" s="45"/>
      <c r="P158" s="46"/>
      <c r="Q158" s="46"/>
      <c r="R158" s="46"/>
    </row>
    <row r="159" customFormat="false" ht="15" hidden="false" customHeight="false" outlineLevel="0" collapsed="false">
      <c r="A159" s="40"/>
      <c r="B159" s="46"/>
      <c r="C159" s="40"/>
      <c r="D159" s="45"/>
      <c r="E159" s="45"/>
      <c r="F159" s="46"/>
      <c r="G159" s="45"/>
      <c r="H159" s="46"/>
      <c r="I159" s="45"/>
      <c r="J159" s="46"/>
      <c r="K159" s="45"/>
      <c r="L159" s="46"/>
      <c r="M159" s="45"/>
      <c r="N159" s="46"/>
      <c r="O159" s="45"/>
      <c r="P159" s="46"/>
      <c r="Q159" s="46"/>
      <c r="R159" s="46"/>
    </row>
    <row r="160" customFormat="false" ht="15" hidden="false" customHeight="false" outlineLevel="0" collapsed="false">
      <c r="A160" s="40"/>
      <c r="B160" s="46"/>
      <c r="C160" s="40"/>
      <c r="D160" s="45"/>
      <c r="E160" s="45"/>
      <c r="F160" s="46"/>
      <c r="G160" s="45"/>
      <c r="H160" s="46"/>
      <c r="I160" s="45"/>
      <c r="J160" s="46"/>
      <c r="K160" s="45"/>
      <c r="L160" s="46"/>
      <c r="M160" s="45"/>
      <c r="N160" s="46"/>
      <c r="O160" s="45"/>
      <c r="P160" s="46"/>
      <c r="Q160" s="46"/>
      <c r="R160" s="46"/>
    </row>
    <row r="161" customFormat="false" ht="15" hidden="false" customHeight="false" outlineLevel="0" collapsed="false">
      <c r="A161" s="40"/>
      <c r="B161" s="46"/>
      <c r="C161" s="40"/>
      <c r="D161" s="45"/>
      <c r="E161" s="45"/>
      <c r="F161" s="46"/>
      <c r="G161" s="45"/>
      <c r="H161" s="46"/>
      <c r="I161" s="45"/>
      <c r="J161" s="46"/>
      <c r="K161" s="45"/>
      <c r="L161" s="46"/>
      <c r="M161" s="45"/>
      <c r="N161" s="46"/>
      <c r="O161" s="45"/>
      <c r="P161" s="46"/>
      <c r="Q161" s="46"/>
      <c r="R161" s="46"/>
    </row>
    <row r="162" customFormat="false" ht="15" hidden="false" customHeight="false" outlineLevel="0" collapsed="false">
      <c r="A162" s="40"/>
      <c r="B162" s="46"/>
      <c r="C162" s="40"/>
      <c r="D162" s="45"/>
      <c r="E162" s="45"/>
      <c r="F162" s="46"/>
      <c r="G162" s="45"/>
      <c r="H162" s="46"/>
      <c r="I162" s="45"/>
      <c r="J162" s="46"/>
      <c r="K162" s="45"/>
      <c r="L162" s="46"/>
      <c r="M162" s="45"/>
      <c r="N162" s="46"/>
      <c r="O162" s="45"/>
      <c r="P162" s="46"/>
      <c r="Q162" s="46"/>
      <c r="R162" s="46"/>
    </row>
    <row r="163" customFormat="false" ht="15" hidden="false" customHeight="false" outlineLevel="0" collapsed="false">
      <c r="A163" s="40"/>
      <c r="B163" s="46"/>
      <c r="C163" s="40"/>
      <c r="D163" s="45"/>
      <c r="E163" s="45"/>
      <c r="F163" s="46"/>
      <c r="G163" s="45"/>
      <c r="H163" s="46"/>
      <c r="I163" s="45"/>
      <c r="J163" s="46"/>
      <c r="K163" s="45"/>
      <c r="L163" s="46"/>
      <c r="M163" s="45"/>
      <c r="N163" s="46"/>
      <c r="O163" s="45"/>
      <c r="P163" s="46"/>
      <c r="Q163" s="46"/>
      <c r="R163" s="46"/>
    </row>
    <row r="164" customFormat="false" ht="15" hidden="false" customHeight="false" outlineLevel="0" collapsed="false">
      <c r="A164" s="40"/>
      <c r="B164" s="46"/>
      <c r="C164" s="40"/>
      <c r="D164" s="45"/>
      <c r="E164" s="45"/>
      <c r="F164" s="46"/>
      <c r="G164" s="45"/>
      <c r="H164" s="46"/>
      <c r="I164" s="45"/>
      <c r="J164" s="46"/>
      <c r="K164" s="45"/>
      <c r="L164" s="46"/>
      <c r="M164" s="45"/>
      <c r="N164" s="46"/>
      <c r="O164" s="45"/>
      <c r="P164" s="46"/>
      <c r="Q164" s="46"/>
      <c r="R164" s="46"/>
    </row>
    <row r="165" customFormat="false" ht="15" hidden="false" customHeight="false" outlineLevel="0" collapsed="false">
      <c r="A165" s="40"/>
      <c r="B165" s="46"/>
      <c r="C165" s="40"/>
      <c r="D165" s="45"/>
      <c r="E165" s="45"/>
      <c r="F165" s="46"/>
      <c r="G165" s="45"/>
      <c r="H165" s="46"/>
      <c r="I165" s="45"/>
      <c r="J165" s="46"/>
      <c r="K165" s="45"/>
      <c r="L165" s="46"/>
      <c r="M165" s="45"/>
      <c r="N165" s="46"/>
      <c r="O165" s="45"/>
      <c r="P165" s="46"/>
      <c r="Q165" s="46"/>
      <c r="R165" s="46"/>
    </row>
    <row r="166" customFormat="false" ht="15" hidden="false" customHeight="false" outlineLevel="0" collapsed="false">
      <c r="A166" s="40"/>
      <c r="B166" s="46"/>
      <c r="C166" s="40"/>
      <c r="D166" s="45"/>
      <c r="E166" s="45"/>
      <c r="F166" s="46"/>
      <c r="G166" s="45"/>
      <c r="H166" s="46"/>
      <c r="I166" s="45"/>
      <c r="J166" s="46"/>
      <c r="K166" s="45"/>
      <c r="L166" s="46"/>
      <c r="M166" s="45"/>
      <c r="N166" s="46"/>
      <c r="O166" s="45"/>
      <c r="P166" s="46"/>
      <c r="Q166" s="46"/>
      <c r="R166" s="46"/>
    </row>
    <row r="167" customFormat="false" ht="15" hidden="false" customHeight="false" outlineLevel="0" collapsed="false">
      <c r="A167" s="40"/>
      <c r="B167" s="46"/>
      <c r="C167" s="40"/>
      <c r="D167" s="45"/>
      <c r="E167" s="45"/>
      <c r="F167" s="46"/>
      <c r="G167" s="45"/>
      <c r="H167" s="46"/>
      <c r="I167" s="45"/>
      <c r="J167" s="46"/>
      <c r="K167" s="45"/>
      <c r="L167" s="46"/>
      <c r="M167" s="45"/>
      <c r="N167" s="46"/>
      <c r="O167" s="45"/>
      <c r="P167" s="46"/>
      <c r="Q167" s="46"/>
      <c r="R167" s="46"/>
    </row>
    <row r="168" customFormat="false" ht="15" hidden="false" customHeight="false" outlineLevel="0" collapsed="false">
      <c r="A168" s="40"/>
      <c r="B168" s="46"/>
      <c r="C168" s="40"/>
      <c r="D168" s="45"/>
      <c r="E168" s="45"/>
      <c r="F168" s="46"/>
      <c r="G168" s="45"/>
      <c r="H168" s="46"/>
      <c r="I168" s="45"/>
      <c r="J168" s="46"/>
      <c r="K168" s="45"/>
      <c r="L168" s="46"/>
      <c r="M168" s="45"/>
      <c r="N168" s="46"/>
      <c r="O168" s="45"/>
      <c r="P168" s="46"/>
      <c r="Q168" s="46"/>
      <c r="R168" s="46"/>
    </row>
    <row r="169" customFormat="false" ht="15" hidden="false" customHeight="false" outlineLevel="0" collapsed="false">
      <c r="A169" s="40"/>
      <c r="B169" s="46"/>
      <c r="C169" s="40"/>
      <c r="D169" s="45"/>
      <c r="E169" s="45"/>
      <c r="F169" s="46"/>
      <c r="G169" s="45"/>
      <c r="H169" s="46"/>
      <c r="I169" s="45"/>
      <c r="J169" s="46"/>
      <c r="K169" s="45"/>
      <c r="L169" s="46"/>
      <c r="M169" s="45"/>
      <c r="N169" s="46"/>
      <c r="O169" s="45"/>
      <c r="P169" s="46"/>
      <c r="Q169" s="46"/>
      <c r="R169" s="46"/>
    </row>
    <row r="170" customFormat="false" ht="15" hidden="false" customHeight="false" outlineLevel="0" collapsed="false">
      <c r="A170" s="40"/>
      <c r="B170" s="46"/>
      <c r="C170" s="40"/>
      <c r="D170" s="45"/>
      <c r="E170" s="45"/>
      <c r="F170" s="46"/>
      <c r="G170" s="45"/>
      <c r="H170" s="46"/>
      <c r="I170" s="45"/>
      <c r="J170" s="46"/>
      <c r="K170" s="45"/>
      <c r="L170" s="46"/>
      <c r="M170" s="45"/>
      <c r="N170" s="46"/>
      <c r="O170" s="45"/>
      <c r="P170" s="46"/>
      <c r="Q170" s="46"/>
      <c r="R170" s="46"/>
    </row>
    <row r="171" customFormat="false" ht="15" hidden="false" customHeight="false" outlineLevel="0" collapsed="false">
      <c r="A171" s="40"/>
      <c r="B171" s="46"/>
      <c r="C171" s="40"/>
      <c r="D171" s="45"/>
      <c r="E171" s="45"/>
      <c r="F171" s="46"/>
      <c r="G171" s="45"/>
      <c r="H171" s="46"/>
      <c r="I171" s="45"/>
      <c r="J171" s="46"/>
      <c r="K171" s="45"/>
      <c r="L171" s="46"/>
      <c r="M171" s="45"/>
      <c r="N171" s="46"/>
      <c r="O171" s="45"/>
      <c r="P171" s="46"/>
      <c r="Q171" s="46"/>
      <c r="R171" s="46"/>
    </row>
    <row r="172" customFormat="false" ht="15" hidden="false" customHeight="false" outlineLevel="0" collapsed="false">
      <c r="A172" s="40"/>
      <c r="B172" s="46"/>
      <c r="C172" s="40"/>
      <c r="D172" s="45"/>
      <c r="E172" s="45"/>
      <c r="F172" s="46"/>
      <c r="G172" s="45"/>
      <c r="H172" s="46"/>
      <c r="I172" s="45"/>
      <c r="J172" s="46"/>
      <c r="K172" s="45"/>
      <c r="L172" s="46"/>
      <c r="M172" s="45"/>
      <c r="N172" s="46"/>
      <c r="O172" s="45"/>
      <c r="P172" s="46"/>
      <c r="Q172" s="46"/>
      <c r="R172" s="46"/>
    </row>
    <row r="173" customFormat="false" ht="15" hidden="false" customHeight="false" outlineLevel="0" collapsed="false">
      <c r="A173" s="40"/>
      <c r="B173" s="46"/>
      <c r="C173" s="40"/>
      <c r="D173" s="45"/>
      <c r="E173" s="45"/>
      <c r="F173" s="46"/>
      <c r="G173" s="45"/>
      <c r="H173" s="46"/>
      <c r="I173" s="45"/>
      <c r="J173" s="46"/>
      <c r="K173" s="45"/>
      <c r="L173" s="46"/>
      <c r="M173" s="45"/>
      <c r="N173" s="46"/>
      <c r="O173" s="45"/>
      <c r="P173" s="46"/>
      <c r="Q173" s="46"/>
      <c r="R173" s="46"/>
    </row>
    <row r="174" customFormat="false" ht="15" hidden="false" customHeight="false" outlineLevel="0" collapsed="false">
      <c r="A174" s="40"/>
      <c r="B174" s="46"/>
      <c r="C174" s="40"/>
      <c r="D174" s="45"/>
      <c r="E174" s="45"/>
      <c r="F174" s="46"/>
      <c r="G174" s="45"/>
      <c r="H174" s="46"/>
      <c r="I174" s="45"/>
      <c r="J174" s="46"/>
      <c r="K174" s="45"/>
      <c r="L174" s="46"/>
      <c r="M174" s="45"/>
      <c r="N174" s="46"/>
      <c r="O174" s="45"/>
      <c r="P174" s="46"/>
      <c r="Q174" s="46"/>
      <c r="R174" s="46"/>
    </row>
    <row r="175" customFormat="false" ht="15" hidden="false" customHeight="false" outlineLevel="0" collapsed="false">
      <c r="A175" s="40"/>
      <c r="B175" s="46"/>
      <c r="C175" s="40"/>
      <c r="D175" s="45"/>
      <c r="E175" s="45"/>
      <c r="F175" s="46"/>
      <c r="G175" s="45"/>
      <c r="H175" s="46"/>
      <c r="I175" s="45"/>
      <c r="J175" s="46"/>
      <c r="K175" s="45"/>
      <c r="L175" s="46"/>
      <c r="M175" s="45"/>
      <c r="N175" s="46"/>
      <c r="O175" s="45"/>
      <c r="P175" s="46"/>
      <c r="Q175" s="46"/>
      <c r="R175" s="46"/>
    </row>
    <row r="176" customFormat="false" ht="15" hidden="false" customHeight="false" outlineLevel="0" collapsed="false">
      <c r="A176" s="40"/>
      <c r="B176" s="46"/>
      <c r="C176" s="40"/>
      <c r="D176" s="45"/>
      <c r="E176" s="45"/>
      <c r="F176" s="46"/>
      <c r="G176" s="45"/>
      <c r="H176" s="46"/>
      <c r="I176" s="45"/>
      <c r="J176" s="46"/>
      <c r="K176" s="45"/>
      <c r="L176" s="46"/>
      <c r="M176" s="45"/>
      <c r="N176" s="46"/>
      <c r="O176" s="45"/>
      <c r="P176" s="46"/>
      <c r="Q176" s="46"/>
      <c r="R176" s="46"/>
    </row>
    <row r="177" customFormat="false" ht="15" hidden="false" customHeight="false" outlineLevel="0" collapsed="false">
      <c r="A177" s="40"/>
      <c r="B177" s="46"/>
      <c r="C177" s="40"/>
      <c r="D177" s="45"/>
      <c r="E177" s="45"/>
      <c r="F177" s="46"/>
      <c r="G177" s="45"/>
      <c r="H177" s="46"/>
      <c r="I177" s="45"/>
      <c r="J177" s="46"/>
      <c r="K177" s="45"/>
      <c r="L177" s="46"/>
      <c r="M177" s="45"/>
      <c r="N177" s="46"/>
      <c r="O177" s="45"/>
      <c r="P177" s="46"/>
      <c r="Q177" s="46"/>
      <c r="R177" s="46"/>
    </row>
    <row r="178" customFormat="false" ht="15" hidden="false" customHeight="false" outlineLevel="0" collapsed="false">
      <c r="A178" s="40"/>
      <c r="B178" s="46"/>
      <c r="C178" s="40"/>
      <c r="D178" s="45"/>
      <c r="E178" s="45"/>
      <c r="F178" s="46"/>
      <c r="G178" s="45"/>
      <c r="H178" s="46"/>
      <c r="I178" s="45"/>
      <c r="J178" s="46"/>
      <c r="K178" s="45"/>
      <c r="L178" s="46"/>
      <c r="M178" s="45"/>
      <c r="N178" s="46"/>
      <c r="O178" s="45"/>
      <c r="P178" s="46"/>
      <c r="Q178" s="46"/>
      <c r="R178" s="46"/>
    </row>
    <row r="179" customFormat="false" ht="15" hidden="false" customHeight="false" outlineLevel="0" collapsed="false">
      <c r="A179" s="40"/>
      <c r="B179" s="46"/>
      <c r="C179" s="40"/>
      <c r="D179" s="45"/>
      <c r="E179" s="45"/>
      <c r="F179" s="46"/>
      <c r="G179" s="45"/>
      <c r="H179" s="46"/>
      <c r="I179" s="45"/>
      <c r="J179" s="46"/>
      <c r="K179" s="45"/>
      <c r="L179" s="46"/>
      <c r="M179" s="45"/>
      <c r="N179" s="46"/>
      <c r="O179" s="45"/>
      <c r="P179" s="46"/>
      <c r="Q179" s="46"/>
      <c r="R179" s="46"/>
    </row>
    <row r="180" customFormat="false" ht="15" hidden="false" customHeight="false" outlineLevel="0" collapsed="false">
      <c r="A180" s="40"/>
      <c r="B180" s="46"/>
      <c r="C180" s="40"/>
      <c r="D180" s="45"/>
      <c r="E180" s="45"/>
      <c r="F180" s="46"/>
      <c r="G180" s="45"/>
      <c r="H180" s="46"/>
      <c r="I180" s="45"/>
      <c r="J180" s="46"/>
      <c r="K180" s="45"/>
      <c r="L180" s="46"/>
      <c r="M180" s="45"/>
      <c r="N180" s="46"/>
      <c r="O180" s="45"/>
      <c r="P180" s="46"/>
      <c r="Q180" s="46"/>
      <c r="R180" s="46"/>
    </row>
    <row r="181" customFormat="false" ht="15" hidden="false" customHeight="false" outlineLevel="0" collapsed="false">
      <c r="A181" s="40"/>
      <c r="B181" s="46"/>
      <c r="C181" s="40"/>
      <c r="D181" s="45"/>
      <c r="E181" s="45"/>
      <c r="F181" s="46"/>
      <c r="G181" s="45"/>
      <c r="H181" s="46"/>
      <c r="I181" s="45"/>
      <c r="J181" s="46"/>
      <c r="K181" s="45"/>
      <c r="L181" s="46"/>
      <c r="M181" s="45"/>
      <c r="N181" s="46"/>
      <c r="O181" s="45"/>
      <c r="P181" s="46"/>
      <c r="Q181" s="46"/>
      <c r="R181" s="46"/>
    </row>
    <row r="182" customFormat="false" ht="15" hidden="false" customHeight="false" outlineLevel="0" collapsed="false">
      <c r="A182" s="40"/>
      <c r="B182" s="46"/>
      <c r="C182" s="40"/>
      <c r="D182" s="45"/>
      <c r="E182" s="45"/>
      <c r="F182" s="46"/>
      <c r="G182" s="45"/>
      <c r="H182" s="46"/>
      <c r="I182" s="45"/>
      <c r="J182" s="46"/>
      <c r="K182" s="45"/>
      <c r="L182" s="46"/>
      <c r="M182" s="45"/>
      <c r="N182" s="46"/>
      <c r="O182" s="45"/>
      <c r="P182" s="46"/>
      <c r="Q182" s="46"/>
      <c r="R182" s="46"/>
    </row>
    <row r="183" customFormat="false" ht="15" hidden="false" customHeight="false" outlineLevel="0" collapsed="false">
      <c r="A183" s="40"/>
      <c r="B183" s="46"/>
      <c r="C183" s="40"/>
      <c r="D183" s="45"/>
      <c r="E183" s="45"/>
      <c r="F183" s="46"/>
      <c r="G183" s="45"/>
      <c r="H183" s="46"/>
      <c r="I183" s="45"/>
      <c r="J183" s="46"/>
      <c r="K183" s="45"/>
      <c r="L183" s="46"/>
      <c r="M183" s="45"/>
      <c r="N183" s="46"/>
      <c r="O183" s="45"/>
      <c r="P183" s="46"/>
      <c r="Q183" s="46"/>
      <c r="R183" s="46"/>
    </row>
    <row r="184" customFormat="false" ht="15" hidden="false" customHeight="false" outlineLevel="0" collapsed="false">
      <c r="A184" s="40"/>
      <c r="B184" s="46"/>
      <c r="C184" s="40"/>
      <c r="D184" s="45"/>
      <c r="E184" s="45"/>
      <c r="F184" s="46"/>
      <c r="G184" s="45"/>
      <c r="H184" s="46"/>
      <c r="I184" s="45"/>
      <c r="J184" s="46"/>
      <c r="K184" s="45"/>
      <c r="L184" s="46"/>
      <c r="M184" s="45"/>
      <c r="N184" s="46"/>
      <c r="O184" s="45"/>
      <c r="P184" s="46"/>
      <c r="Q184" s="46"/>
      <c r="R184" s="46"/>
    </row>
    <row r="185" customFormat="false" ht="15" hidden="false" customHeight="false" outlineLevel="0" collapsed="false">
      <c r="A185" s="40"/>
      <c r="B185" s="46"/>
      <c r="C185" s="40"/>
      <c r="D185" s="45"/>
      <c r="E185" s="45"/>
      <c r="F185" s="46"/>
      <c r="G185" s="45"/>
      <c r="H185" s="46"/>
      <c r="I185" s="45"/>
      <c r="J185" s="46"/>
      <c r="K185" s="45"/>
      <c r="L185" s="46"/>
      <c r="M185" s="45"/>
      <c r="N185" s="46"/>
      <c r="O185" s="45"/>
      <c r="P185" s="46"/>
      <c r="Q185" s="46"/>
      <c r="R185" s="46"/>
    </row>
    <row r="186" customFormat="false" ht="15" hidden="false" customHeight="false" outlineLevel="0" collapsed="false">
      <c r="A186" s="40"/>
      <c r="B186" s="46"/>
      <c r="C186" s="40"/>
      <c r="D186" s="45"/>
      <c r="E186" s="45"/>
      <c r="F186" s="46"/>
      <c r="G186" s="45"/>
      <c r="H186" s="46"/>
      <c r="I186" s="45"/>
      <c r="J186" s="46"/>
      <c r="K186" s="45"/>
      <c r="L186" s="46"/>
      <c r="M186" s="45"/>
      <c r="N186" s="46"/>
      <c r="O186" s="45"/>
      <c r="P186" s="46"/>
      <c r="Q186" s="46"/>
      <c r="R186" s="46"/>
    </row>
    <row r="187" customFormat="false" ht="15" hidden="false" customHeight="false" outlineLevel="0" collapsed="false">
      <c r="A187" s="40"/>
      <c r="B187" s="46"/>
      <c r="C187" s="40"/>
      <c r="D187" s="45"/>
      <c r="E187" s="45"/>
      <c r="F187" s="46"/>
      <c r="G187" s="45"/>
      <c r="H187" s="46"/>
      <c r="I187" s="45"/>
      <c r="J187" s="46"/>
      <c r="K187" s="45"/>
      <c r="L187" s="46"/>
      <c r="M187" s="45"/>
      <c r="N187" s="46"/>
      <c r="O187" s="45"/>
      <c r="P187" s="46"/>
      <c r="Q187" s="46"/>
      <c r="R187" s="46"/>
    </row>
    <row r="188" customFormat="false" ht="15" hidden="false" customHeight="false" outlineLevel="0" collapsed="false">
      <c r="A188" s="40"/>
      <c r="B188" s="46"/>
      <c r="C188" s="40"/>
      <c r="D188" s="45"/>
      <c r="E188" s="45"/>
      <c r="F188" s="46"/>
      <c r="G188" s="45"/>
      <c r="H188" s="46"/>
      <c r="I188" s="45"/>
      <c r="J188" s="46"/>
      <c r="K188" s="45"/>
      <c r="L188" s="46"/>
      <c r="M188" s="45"/>
      <c r="N188" s="46"/>
      <c r="O188" s="45"/>
      <c r="P188" s="46"/>
      <c r="Q188" s="46"/>
      <c r="R188" s="46"/>
    </row>
    <row r="189" customFormat="false" ht="15" hidden="false" customHeight="false" outlineLevel="0" collapsed="false">
      <c r="A189" s="40"/>
      <c r="B189" s="46"/>
      <c r="C189" s="40"/>
      <c r="D189" s="45"/>
      <c r="E189" s="45"/>
      <c r="F189" s="46"/>
      <c r="G189" s="45"/>
      <c r="H189" s="46"/>
      <c r="I189" s="45"/>
      <c r="J189" s="46"/>
      <c r="K189" s="45"/>
      <c r="L189" s="46"/>
      <c r="M189" s="45"/>
      <c r="N189" s="46"/>
      <c r="O189" s="45"/>
      <c r="P189" s="46"/>
      <c r="Q189" s="46"/>
      <c r="R189" s="46"/>
    </row>
    <row r="190" customFormat="false" ht="15" hidden="false" customHeight="false" outlineLevel="0" collapsed="false">
      <c r="A190" s="40"/>
      <c r="B190" s="46"/>
      <c r="C190" s="40"/>
      <c r="D190" s="45"/>
      <c r="E190" s="45"/>
      <c r="F190" s="46"/>
      <c r="G190" s="45"/>
      <c r="H190" s="46"/>
      <c r="I190" s="45"/>
      <c r="J190" s="46"/>
      <c r="K190" s="45"/>
      <c r="L190" s="46"/>
      <c r="M190" s="45"/>
      <c r="N190" s="46"/>
      <c r="O190" s="45"/>
      <c r="P190" s="46"/>
      <c r="Q190" s="46"/>
      <c r="R190" s="46"/>
    </row>
    <row r="191" customFormat="false" ht="15" hidden="false" customHeight="false" outlineLevel="0" collapsed="false">
      <c r="A191" s="40"/>
      <c r="B191" s="46"/>
      <c r="C191" s="40"/>
      <c r="D191" s="45"/>
      <c r="E191" s="45"/>
      <c r="F191" s="46"/>
      <c r="G191" s="45"/>
      <c r="H191" s="46"/>
      <c r="I191" s="45"/>
      <c r="J191" s="46"/>
      <c r="K191" s="45"/>
      <c r="L191" s="46"/>
      <c r="M191" s="45"/>
      <c r="N191" s="46"/>
      <c r="O191" s="45"/>
      <c r="P191" s="46"/>
      <c r="Q191" s="46"/>
      <c r="R191" s="46"/>
    </row>
    <row r="192" customFormat="false" ht="15" hidden="false" customHeight="false" outlineLevel="0" collapsed="false">
      <c r="A192" s="40"/>
      <c r="B192" s="46"/>
      <c r="C192" s="40"/>
      <c r="D192" s="45"/>
      <c r="E192" s="45"/>
      <c r="F192" s="46"/>
      <c r="G192" s="45"/>
      <c r="H192" s="46"/>
      <c r="I192" s="45"/>
      <c r="J192" s="46"/>
      <c r="K192" s="45"/>
      <c r="L192" s="46"/>
      <c r="M192" s="45"/>
      <c r="N192" s="46"/>
      <c r="O192" s="45"/>
      <c r="P192" s="46"/>
      <c r="Q192" s="46"/>
      <c r="R192" s="46"/>
    </row>
    <row r="193" customFormat="false" ht="15" hidden="false" customHeight="false" outlineLevel="0" collapsed="false">
      <c r="A193" s="40"/>
      <c r="B193" s="46"/>
      <c r="C193" s="40"/>
      <c r="D193" s="45"/>
      <c r="E193" s="45"/>
      <c r="F193" s="46"/>
      <c r="G193" s="45"/>
      <c r="H193" s="46"/>
      <c r="I193" s="45"/>
      <c r="J193" s="46"/>
      <c r="K193" s="45"/>
      <c r="L193" s="46"/>
      <c r="M193" s="45"/>
      <c r="N193" s="46"/>
      <c r="O193" s="45"/>
      <c r="P193" s="46"/>
      <c r="Q193" s="46"/>
      <c r="R193" s="46"/>
    </row>
    <row r="194" customFormat="false" ht="15" hidden="false" customHeight="false" outlineLevel="0" collapsed="false">
      <c r="A194" s="40"/>
      <c r="B194" s="46"/>
      <c r="C194" s="40"/>
      <c r="D194" s="45"/>
      <c r="E194" s="45"/>
      <c r="F194" s="46"/>
      <c r="G194" s="45"/>
      <c r="H194" s="46"/>
      <c r="I194" s="45"/>
      <c r="J194" s="46"/>
      <c r="K194" s="45"/>
      <c r="L194" s="46"/>
      <c r="M194" s="45"/>
      <c r="N194" s="46"/>
      <c r="O194" s="45"/>
      <c r="P194" s="46"/>
      <c r="Q194" s="46"/>
      <c r="R194" s="46"/>
    </row>
    <row r="195" customFormat="false" ht="15" hidden="false" customHeight="false" outlineLevel="0" collapsed="false">
      <c r="A195" s="40"/>
      <c r="B195" s="46"/>
      <c r="C195" s="40"/>
      <c r="D195" s="45"/>
      <c r="E195" s="45"/>
      <c r="F195" s="46"/>
      <c r="G195" s="45"/>
      <c r="H195" s="46"/>
      <c r="I195" s="45"/>
      <c r="J195" s="46"/>
      <c r="K195" s="45"/>
      <c r="L195" s="46"/>
      <c r="M195" s="45"/>
      <c r="N195" s="46"/>
      <c r="O195" s="45"/>
      <c r="P195" s="46"/>
      <c r="Q195" s="46"/>
      <c r="R195" s="46"/>
    </row>
    <row r="196" customFormat="false" ht="15" hidden="false" customHeight="false" outlineLevel="0" collapsed="false">
      <c r="A196" s="40"/>
      <c r="B196" s="46"/>
      <c r="C196" s="40"/>
      <c r="D196" s="45"/>
      <c r="E196" s="45"/>
      <c r="F196" s="46"/>
      <c r="G196" s="45"/>
      <c r="H196" s="46"/>
      <c r="I196" s="45"/>
      <c r="J196" s="46"/>
      <c r="K196" s="45"/>
      <c r="L196" s="46"/>
      <c r="M196" s="45"/>
      <c r="N196" s="46"/>
      <c r="O196" s="45"/>
      <c r="P196" s="46"/>
      <c r="Q196" s="46"/>
      <c r="R196" s="46"/>
    </row>
    <row r="197" customFormat="false" ht="15" hidden="false" customHeight="false" outlineLevel="0" collapsed="false">
      <c r="A197" s="40"/>
      <c r="B197" s="46"/>
      <c r="C197" s="40"/>
      <c r="D197" s="45"/>
      <c r="E197" s="45"/>
      <c r="F197" s="46"/>
      <c r="G197" s="45"/>
      <c r="H197" s="46"/>
      <c r="I197" s="45"/>
      <c r="J197" s="46"/>
      <c r="K197" s="45"/>
      <c r="L197" s="46"/>
      <c r="M197" s="45"/>
      <c r="N197" s="46"/>
      <c r="O197" s="45"/>
      <c r="P197" s="46"/>
      <c r="Q197" s="46"/>
      <c r="R197" s="46"/>
    </row>
    <row r="198" customFormat="false" ht="15" hidden="false" customHeight="false" outlineLevel="0" collapsed="false">
      <c r="A198" s="40"/>
      <c r="B198" s="46"/>
      <c r="C198" s="40"/>
      <c r="D198" s="45"/>
      <c r="E198" s="45"/>
      <c r="F198" s="46"/>
      <c r="G198" s="45"/>
      <c r="H198" s="46"/>
      <c r="I198" s="45"/>
      <c r="J198" s="46"/>
      <c r="K198" s="45"/>
      <c r="L198" s="46"/>
      <c r="M198" s="45"/>
      <c r="N198" s="46"/>
      <c r="O198" s="45"/>
      <c r="P198" s="46"/>
      <c r="Q198" s="46"/>
      <c r="R198" s="46"/>
    </row>
    <row r="199" customFormat="false" ht="15" hidden="false" customHeight="false" outlineLevel="0" collapsed="false">
      <c r="A199" s="40"/>
      <c r="B199" s="46"/>
      <c r="C199" s="40"/>
      <c r="D199" s="45"/>
      <c r="E199" s="45"/>
      <c r="F199" s="46"/>
      <c r="G199" s="45"/>
      <c r="H199" s="46"/>
      <c r="I199" s="45"/>
      <c r="J199" s="46"/>
      <c r="K199" s="45"/>
      <c r="L199" s="46"/>
      <c r="M199" s="45"/>
      <c r="N199" s="46"/>
      <c r="O199" s="45"/>
      <c r="P199" s="46"/>
      <c r="Q199" s="46"/>
      <c r="R199" s="46"/>
    </row>
    <row r="200" customFormat="false" ht="15" hidden="false" customHeight="false" outlineLevel="0" collapsed="false">
      <c r="A200" s="40"/>
      <c r="B200" s="46"/>
      <c r="C200" s="40"/>
      <c r="D200" s="45"/>
      <c r="E200" s="45"/>
      <c r="F200" s="46"/>
      <c r="G200" s="45"/>
      <c r="H200" s="46"/>
      <c r="I200" s="45"/>
      <c r="J200" s="46"/>
      <c r="K200" s="45"/>
      <c r="L200" s="46"/>
      <c r="M200" s="45"/>
      <c r="N200" s="46"/>
      <c r="O200" s="45"/>
      <c r="P200" s="46"/>
      <c r="Q200" s="46"/>
      <c r="R200" s="46"/>
    </row>
    <row r="201" customFormat="false" ht="15" hidden="false" customHeight="false" outlineLevel="0" collapsed="false">
      <c r="A201" s="40"/>
      <c r="B201" s="46"/>
      <c r="C201" s="40"/>
      <c r="D201" s="45"/>
      <c r="E201" s="45"/>
      <c r="F201" s="46"/>
      <c r="G201" s="45"/>
      <c r="H201" s="46"/>
      <c r="I201" s="45"/>
      <c r="J201" s="46"/>
      <c r="K201" s="45"/>
      <c r="L201" s="46"/>
      <c r="M201" s="45"/>
      <c r="N201" s="46"/>
      <c r="O201" s="45"/>
      <c r="P201" s="46"/>
      <c r="Q201" s="46"/>
      <c r="R201" s="46"/>
    </row>
    <row r="202" customFormat="false" ht="15" hidden="false" customHeight="false" outlineLevel="0" collapsed="false">
      <c r="A202" s="40"/>
      <c r="B202" s="46"/>
      <c r="C202" s="40"/>
      <c r="D202" s="45"/>
      <c r="E202" s="45"/>
      <c r="F202" s="46"/>
      <c r="G202" s="45"/>
      <c r="H202" s="46"/>
      <c r="I202" s="45"/>
      <c r="J202" s="46"/>
      <c r="K202" s="45"/>
      <c r="L202" s="46"/>
      <c r="M202" s="45"/>
      <c r="N202" s="46"/>
      <c r="O202" s="45"/>
      <c r="P202" s="46"/>
      <c r="Q202" s="46"/>
      <c r="R202" s="46"/>
    </row>
    <row r="203" customFormat="false" ht="15" hidden="false" customHeight="false" outlineLevel="0" collapsed="false">
      <c r="A203" s="40"/>
      <c r="B203" s="46"/>
      <c r="C203" s="40"/>
      <c r="D203" s="45"/>
      <c r="E203" s="45"/>
      <c r="F203" s="46"/>
      <c r="G203" s="45"/>
      <c r="H203" s="46"/>
      <c r="I203" s="45"/>
      <c r="J203" s="46"/>
      <c r="K203" s="45"/>
      <c r="L203" s="46"/>
      <c r="M203" s="45"/>
      <c r="N203" s="46"/>
      <c r="O203" s="45"/>
      <c r="P203" s="46"/>
      <c r="Q203" s="46"/>
      <c r="R203" s="46"/>
    </row>
    <row r="204" customFormat="false" ht="15" hidden="false" customHeight="false" outlineLevel="0" collapsed="false">
      <c r="A204" s="40"/>
      <c r="B204" s="46"/>
      <c r="C204" s="40"/>
      <c r="D204" s="45"/>
      <c r="E204" s="45"/>
      <c r="F204" s="46"/>
      <c r="G204" s="45"/>
      <c r="H204" s="46"/>
      <c r="I204" s="45"/>
      <c r="J204" s="46"/>
      <c r="K204" s="45"/>
      <c r="L204" s="46"/>
      <c r="M204" s="45"/>
      <c r="N204" s="46"/>
      <c r="O204" s="45"/>
      <c r="P204" s="46"/>
      <c r="Q204" s="46"/>
      <c r="R204" s="46"/>
    </row>
    <row r="205" customFormat="false" ht="15" hidden="false" customHeight="false" outlineLevel="0" collapsed="false">
      <c r="A205" s="40"/>
      <c r="B205" s="46"/>
      <c r="C205" s="40"/>
      <c r="D205" s="45"/>
      <c r="E205" s="45"/>
      <c r="F205" s="46"/>
      <c r="G205" s="45"/>
      <c r="H205" s="46"/>
      <c r="I205" s="45"/>
      <c r="J205" s="46"/>
      <c r="K205" s="45"/>
      <c r="L205" s="46"/>
      <c r="M205" s="45"/>
      <c r="N205" s="46"/>
      <c r="O205" s="45"/>
      <c r="P205" s="46"/>
      <c r="Q205" s="46"/>
      <c r="R205" s="46"/>
    </row>
    <row r="206" customFormat="false" ht="15" hidden="false" customHeight="false" outlineLevel="0" collapsed="false">
      <c r="A206" s="40"/>
      <c r="B206" s="46"/>
      <c r="C206" s="40"/>
      <c r="D206" s="45"/>
      <c r="E206" s="45"/>
      <c r="F206" s="46"/>
      <c r="G206" s="45"/>
      <c r="H206" s="46"/>
      <c r="I206" s="45"/>
      <c r="J206" s="46"/>
      <c r="K206" s="45"/>
      <c r="L206" s="46"/>
      <c r="M206" s="45"/>
      <c r="N206" s="46"/>
      <c r="O206" s="45"/>
      <c r="P206" s="46"/>
      <c r="Q206" s="46"/>
      <c r="R206" s="46"/>
    </row>
    <row r="207" customFormat="false" ht="15" hidden="false" customHeight="false" outlineLevel="0" collapsed="false">
      <c r="A207" s="40"/>
      <c r="B207" s="46"/>
      <c r="C207" s="40"/>
      <c r="D207" s="45"/>
      <c r="E207" s="45"/>
      <c r="F207" s="46"/>
      <c r="G207" s="45"/>
      <c r="H207" s="46"/>
      <c r="I207" s="45"/>
      <c r="J207" s="46"/>
      <c r="K207" s="45"/>
      <c r="L207" s="46"/>
      <c r="M207" s="45"/>
      <c r="N207" s="46"/>
      <c r="O207" s="45"/>
      <c r="P207" s="46"/>
      <c r="Q207" s="46"/>
      <c r="R207" s="46"/>
    </row>
    <row r="208" customFormat="false" ht="15" hidden="false" customHeight="false" outlineLevel="0" collapsed="false">
      <c r="A208" s="40"/>
      <c r="B208" s="46"/>
      <c r="C208" s="40"/>
      <c r="D208" s="45"/>
      <c r="E208" s="45"/>
      <c r="F208" s="46"/>
      <c r="G208" s="45"/>
      <c r="H208" s="46"/>
      <c r="I208" s="45"/>
      <c r="J208" s="46"/>
      <c r="K208" s="45"/>
      <c r="L208" s="46"/>
      <c r="M208" s="45"/>
      <c r="N208" s="46"/>
      <c r="O208" s="45"/>
      <c r="P208" s="46"/>
      <c r="Q208" s="46"/>
      <c r="R208" s="46"/>
    </row>
    <row r="209" customFormat="false" ht="15" hidden="false" customHeight="false" outlineLevel="0" collapsed="false">
      <c r="A209" s="40"/>
      <c r="B209" s="46"/>
      <c r="C209" s="40"/>
      <c r="D209" s="45"/>
      <c r="E209" s="45"/>
      <c r="F209" s="46"/>
      <c r="G209" s="45"/>
      <c r="H209" s="46"/>
      <c r="I209" s="45"/>
      <c r="J209" s="46"/>
      <c r="K209" s="45"/>
      <c r="L209" s="46"/>
      <c r="M209" s="45"/>
      <c r="N209" s="46"/>
      <c r="O209" s="45"/>
      <c r="P209" s="46"/>
      <c r="Q209" s="46"/>
      <c r="R209" s="46"/>
    </row>
    <row r="210" customFormat="false" ht="15" hidden="false" customHeight="false" outlineLevel="0" collapsed="false">
      <c r="A210" s="40"/>
      <c r="B210" s="46"/>
      <c r="C210" s="40"/>
      <c r="D210" s="45"/>
      <c r="E210" s="45"/>
      <c r="F210" s="46"/>
      <c r="G210" s="45"/>
      <c r="H210" s="46"/>
      <c r="I210" s="45"/>
      <c r="J210" s="46"/>
      <c r="K210" s="45"/>
      <c r="L210" s="46"/>
      <c r="M210" s="45"/>
      <c r="N210" s="46"/>
      <c r="O210" s="45"/>
      <c r="P210" s="46"/>
      <c r="Q210" s="46"/>
      <c r="R210" s="46"/>
    </row>
    <row r="211" customFormat="false" ht="15" hidden="false" customHeight="false" outlineLevel="0" collapsed="false">
      <c r="A211" s="40"/>
      <c r="B211" s="46"/>
      <c r="C211" s="40"/>
      <c r="D211" s="45"/>
      <c r="E211" s="45"/>
      <c r="F211" s="46"/>
      <c r="G211" s="45"/>
      <c r="H211" s="46"/>
      <c r="I211" s="45"/>
      <c r="J211" s="46"/>
      <c r="K211" s="45"/>
      <c r="L211" s="46"/>
      <c r="M211" s="45"/>
      <c r="N211" s="46"/>
      <c r="O211" s="45"/>
      <c r="P211" s="46"/>
      <c r="Q211" s="46"/>
      <c r="R211" s="46"/>
    </row>
    <row r="212" customFormat="false" ht="15" hidden="false" customHeight="false" outlineLevel="0" collapsed="false">
      <c r="A212" s="40"/>
      <c r="B212" s="46"/>
      <c r="C212" s="40"/>
      <c r="D212" s="45"/>
      <c r="E212" s="45"/>
      <c r="F212" s="46"/>
      <c r="G212" s="45"/>
      <c r="H212" s="46"/>
      <c r="I212" s="45"/>
      <c r="J212" s="46"/>
      <c r="K212" s="45"/>
      <c r="L212" s="46"/>
      <c r="M212" s="45"/>
      <c r="N212" s="46"/>
      <c r="O212" s="45"/>
      <c r="P212" s="46"/>
      <c r="Q212" s="46"/>
      <c r="R212" s="46"/>
    </row>
    <row r="213" customFormat="false" ht="15" hidden="false" customHeight="false" outlineLevel="0" collapsed="false">
      <c r="A213" s="40"/>
      <c r="B213" s="46"/>
      <c r="C213" s="40"/>
      <c r="D213" s="45"/>
      <c r="E213" s="45"/>
      <c r="F213" s="46"/>
      <c r="G213" s="45"/>
      <c r="H213" s="46"/>
      <c r="I213" s="45"/>
      <c r="J213" s="46"/>
      <c r="K213" s="45"/>
      <c r="L213" s="46"/>
      <c r="M213" s="45"/>
      <c r="N213" s="46"/>
      <c r="O213" s="45"/>
      <c r="P213" s="46"/>
      <c r="Q213" s="46"/>
      <c r="R213" s="46"/>
    </row>
    <row r="214" customFormat="false" ht="15" hidden="false" customHeight="false" outlineLevel="0" collapsed="false">
      <c r="A214" s="40"/>
      <c r="B214" s="46"/>
      <c r="C214" s="40"/>
      <c r="D214" s="45"/>
      <c r="E214" s="45"/>
      <c r="F214" s="46"/>
      <c r="G214" s="45"/>
      <c r="H214" s="46"/>
      <c r="I214" s="45"/>
      <c r="J214" s="46"/>
      <c r="K214" s="45"/>
      <c r="L214" s="46"/>
      <c r="M214" s="45"/>
      <c r="N214" s="46"/>
      <c r="O214" s="45"/>
      <c r="P214" s="46"/>
      <c r="Q214" s="46"/>
      <c r="R214" s="46"/>
    </row>
    <row r="215" customFormat="false" ht="15" hidden="false" customHeight="false" outlineLevel="0" collapsed="false">
      <c r="A215" s="40"/>
      <c r="B215" s="46"/>
      <c r="C215" s="40"/>
      <c r="D215" s="45"/>
      <c r="E215" s="45"/>
      <c r="F215" s="46"/>
      <c r="G215" s="45"/>
      <c r="H215" s="46"/>
      <c r="I215" s="45"/>
      <c r="J215" s="46"/>
      <c r="K215" s="45"/>
      <c r="L215" s="46"/>
      <c r="M215" s="45"/>
      <c r="N215" s="46"/>
      <c r="O215" s="45"/>
      <c r="P215" s="46"/>
      <c r="Q215" s="46"/>
      <c r="R215" s="46"/>
    </row>
    <row r="216" customFormat="false" ht="15" hidden="false" customHeight="false" outlineLevel="0" collapsed="false">
      <c r="A216" s="40"/>
      <c r="B216" s="46"/>
      <c r="C216" s="40"/>
      <c r="D216" s="45"/>
      <c r="E216" s="45"/>
      <c r="F216" s="46"/>
      <c r="G216" s="45"/>
      <c r="H216" s="46"/>
      <c r="I216" s="45"/>
      <c r="J216" s="46"/>
      <c r="K216" s="45"/>
      <c r="L216" s="46"/>
      <c r="M216" s="45"/>
      <c r="N216" s="46"/>
      <c r="O216" s="45"/>
      <c r="P216" s="46"/>
      <c r="Q216" s="46"/>
      <c r="R216" s="46"/>
    </row>
    <row r="217" customFormat="false" ht="15" hidden="false" customHeight="false" outlineLevel="0" collapsed="false">
      <c r="A217" s="40"/>
      <c r="B217" s="46"/>
      <c r="C217" s="40"/>
      <c r="D217" s="45"/>
      <c r="E217" s="45"/>
      <c r="F217" s="46"/>
      <c r="G217" s="45"/>
      <c r="H217" s="46"/>
      <c r="I217" s="45"/>
      <c r="J217" s="46"/>
      <c r="K217" s="45"/>
      <c r="L217" s="46"/>
      <c r="M217" s="45"/>
      <c r="N217" s="46"/>
      <c r="O217" s="45"/>
      <c r="P217" s="46"/>
      <c r="Q217" s="46"/>
      <c r="R217" s="46"/>
    </row>
    <row r="218" customFormat="false" ht="15" hidden="false" customHeight="false" outlineLevel="0" collapsed="false">
      <c r="A218" s="40"/>
      <c r="B218" s="46"/>
      <c r="C218" s="40"/>
      <c r="D218" s="45"/>
      <c r="E218" s="45"/>
      <c r="F218" s="46"/>
      <c r="G218" s="45"/>
      <c r="H218" s="46"/>
      <c r="I218" s="45"/>
      <c r="J218" s="46"/>
      <c r="K218" s="45"/>
      <c r="L218" s="46"/>
      <c r="M218" s="45"/>
      <c r="N218" s="46"/>
      <c r="O218" s="45"/>
      <c r="P218" s="46"/>
      <c r="Q218" s="46"/>
      <c r="R218" s="46"/>
    </row>
    <row r="219" customFormat="false" ht="15" hidden="false" customHeight="false" outlineLevel="0" collapsed="false">
      <c r="A219" s="40"/>
      <c r="B219" s="46"/>
      <c r="C219" s="40"/>
      <c r="D219" s="45"/>
      <c r="E219" s="45"/>
      <c r="F219" s="46"/>
      <c r="G219" s="45"/>
      <c r="H219" s="46"/>
      <c r="I219" s="45"/>
      <c r="J219" s="46"/>
      <c r="K219" s="45"/>
      <c r="L219" s="46"/>
      <c r="M219" s="45"/>
      <c r="N219" s="46"/>
      <c r="O219" s="45"/>
      <c r="P219" s="46"/>
      <c r="Q219" s="46"/>
      <c r="R219" s="46"/>
    </row>
    <row r="220" customFormat="false" ht="15" hidden="false" customHeight="false" outlineLevel="0" collapsed="false">
      <c r="A220" s="40"/>
      <c r="B220" s="46"/>
      <c r="C220" s="40"/>
      <c r="D220" s="45"/>
      <c r="E220" s="45"/>
      <c r="F220" s="46"/>
      <c r="G220" s="45"/>
      <c r="H220" s="46"/>
      <c r="I220" s="45"/>
      <c r="J220" s="46"/>
      <c r="K220" s="45"/>
      <c r="L220" s="46"/>
      <c r="M220" s="45"/>
      <c r="N220" s="46"/>
      <c r="O220" s="45"/>
      <c r="P220" s="46"/>
      <c r="Q220" s="46"/>
      <c r="R220" s="46"/>
    </row>
    <row r="221" customFormat="false" ht="15" hidden="false" customHeight="false" outlineLevel="0" collapsed="false">
      <c r="A221" s="40"/>
      <c r="B221" s="46"/>
      <c r="C221" s="40"/>
      <c r="D221" s="45"/>
      <c r="E221" s="45"/>
      <c r="F221" s="46"/>
      <c r="G221" s="45"/>
      <c r="H221" s="46"/>
      <c r="I221" s="45"/>
      <c r="J221" s="46"/>
      <c r="K221" s="45"/>
      <c r="L221" s="46"/>
      <c r="M221" s="45"/>
      <c r="N221" s="46"/>
      <c r="O221" s="45"/>
      <c r="P221" s="46"/>
      <c r="Q221" s="46"/>
      <c r="R221" s="46"/>
    </row>
    <row r="222" customFormat="false" ht="15" hidden="false" customHeight="false" outlineLevel="0" collapsed="false">
      <c r="A222" s="40"/>
      <c r="B222" s="46"/>
      <c r="C222" s="40"/>
      <c r="D222" s="45"/>
      <c r="E222" s="45"/>
      <c r="F222" s="46"/>
      <c r="G222" s="45"/>
      <c r="H222" s="46"/>
      <c r="I222" s="45"/>
      <c r="J222" s="46"/>
      <c r="K222" s="45"/>
      <c r="L222" s="46"/>
      <c r="M222" s="45"/>
      <c r="N222" s="46"/>
      <c r="O222" s="45"/>
      <c r="P222" s="46"/>
      <c r="Q222" s="46"/>
      <c r="R222" s="46"/>
    </row>
    <row r="223" customFormat="false" ht="15" hidden="false" customHeight="false" outlineLevel="0" collapsed="false">
      <c r="A223" s="40"/>
      <c r="B223" s="46"/>
      <c r="C223" s="40"/>
      <c r="D223" s="45"/>
      <c r="E223" s="45"/>
      <c r="F223" s="46"/>
      <c r="G223" s="45"/>
      <c r="H223" s="46"/>
      <c r="I223" s="45"/>
      <c r="J223" s="46"/>
      <c r="K223" s="45"/>
      <c r="L223" s="46"/>
      <c r="M223" s="45"/>
      <c r="N223" s="46"/>
      <c r="O223" s="45"/>
      <c r="P223" s="46"/>
      <c r="Q223" s="46"/>
      <c r="R223" s="46"/>
    </row>
    <row r="224" customFormat="false" ht="15" hidden="false" customHeight="false" outlineLevel="0" collapsed="false">
      <c r="A224" s="40"/>
      <c r="B224" s="46"/>
      <c r="C224" s="40"/>
      <c r="D224" s="45"/>
      <c r="E224" s="45"/>
      <c r="F224" s="46"/>
      <c r="G224" s="45"/>
      <c r="H224" s="46"/>
      <c r="I224" s="45"/>
      <c r="J224" s="46"/>
      <c r="K224" s="45"/>
      <c r="L224" s="46"/>
      <c r="M224" s="45"/>
      <c r="N224" s="46"/>
      <c r="O224" s="45"/>
      <c r="P224" s="46"/>
      <c r="Q224" s="46"/>
      <c r="R224" s="46"/>
    </row>
    <row r="225" customFormat="false" ht="15" hidden="false" customHeight="false" outlineLevel="0" collapsed="false">
      <c r="A225" s="40"/>
      <c r="B225" s="46"/>
      <c r="C225" s="40"/>
      <c r="D225" s="45"/>
      <c r="E225" s="45"/>
      <c r="F225" s="46"/>
      <c r="G225" s="45"/>
      <c r="H225" s="46"/>
      <c r="I225" s="45"/>
      <c r="J225" s="46"/>
      <c r="K225" s="45"/>
      <c r="L225" s="46"/>
      <c r="M225" s="45"/>
      <c r="N225" s="46"/>
      <c r="O225" s="45"/>
      <c r="P225" s="46"/>
      <c r="Q225" s="46"/>
      <c r="R225" s="46"/>
    </row>
    <row r="226" customFormat="false" ht="15" hidden="false" customHeight="false" outlineLevel="0" collapsed="false">
      <c r="A226" s="40"/>
      <c r="B226" s="46"/>
      <c r="C226" s="40"/>
      <c r="D226" s="45"/>
      <c r="E226" s="45"/>
      <c r="F226" s="46"/>
      <c r="G226" s="45"/>
      <c r="H226" s="46"/>
      <c r="I226" s="45"/>
      <c r="J226" s="46"/>
      <c r="K226" s="45"/>
      <c r="L226" s="46"/>
      <c r="M226" s="45"/>
      <c r="N226" s="46"/>
      <c r="O226" s="45"/>
      <c r="P226" s="46"/>
      <c r="Q226" s="46"/>
      <c r="R226" s="46"/>
    </row>
    <row r="227" customFormat="false" ht="15" hidden="false" customHeight="false" outlineLevel="0" collapsed="false">
      <c r="A227" s="40"/>
      <c r="B227" s="46"/>
      <c r="C227" s="40"/>
      <c r="D227" s="45"/>
      <c r="E227" s="45"/>
      <c r="F227" s="46"/>
      <c r="G227" s="45"/>
      <c r="H227" s="46"/>
      <c r="I227" s="45"/>
      <c r="J227" s="46"/>
      <c r="K227" s="45"/>
      <c r="L227" s="46"/>
      <c r="M227" s="45"/>
      <c r="N227" s="46"/>
      <c r="O227" s="45"/>
      <c r="P227" s="46"/>
      <c r="Q227" s="46"/>
      <c r="R227" s="46"/>
    </row>
    <row r="228" customFormat="false" ht="15" hidden="false" customHeight="false" outlineLevel="0" collapsed="false">
      <c r="A228" s="40"/>
      <c r="B228" s="46"/>
      <c r="C228" s="40"/>
      <c r="D228" s="45"/>
      <c r="E228" s="45"/>
      <c r="F228" s="46"/>
      <c r="G228" s="45"/>
      <c r="H228" s="46"/>
      <c r="I228" s="45"/>
      <c r="J228" s="46"/>
      <c r="K228" s="45"/>
      <c r="L228" s="46"/>
      <c r="M228" s="45"/>
      <c r="N228" s="46"/>
      <c r="O228" s="45"/>
      <c r="P228" s="46"/>
      <c r="Q228" s="46"/>
      <c r="R228" s="46"/>
    </row>
    <row r="229" customFormat="false" ht="15" hidden="false" customHeight="false" outlineLevel="0" collapsed="false">
      <c r="A229" s="40"/>
      <c r="B229" s="46"/>
      <c r="C229" s="40"/>
      <c r="D229" s="45"/>
      <c r="E229" s="45"/>
      <c r="F229" s="46"/>
      <c r="G229" s="45"/>
      <c r="H229" s="46"/>
      <c r="I229" s="45"/>
      <c r="J229" s="46"/>
      <c r="K229" s="45"/>
      <c r="L229" s="46"/>
      <c r="M229" s="45"/>
      <c r="N229" s="46"/>
      <c r="O229" s="45"/>
      <c r="P229" s="46"/>
      <c r="Q229" s="46"/>
      <c r="R229" s="46"/>
    </row>
    <row r="230" customFormat="false" ht="15" hidden="false" customHeight="false" outlineLevel="0" collapsed="false">
      <c r="A230" s="40"/>
      <c r="B230" s="46"/>
      <c r="C230" s="40"/>
      <c r="D230" s="45"/>
      <c r="E230" s="45"/>
      <c r="F230" s="46"/>
      <c r="G230" s="45"/>
      <c r="H230" s="46"/>
      <c r="I230" s="45"/>
      <c r="J230" s="46"/>
      <c r="K230" s="45"/>
      <c r="L230" s="46"/>
      <c r="M230" s="45"/>
      <c r="N230" s="46"/>
      <c r="O230" s="45"/>
      <c r="P230" s="46"/>
      <c r="Q230" s="46"/>
      <c r="R230" s="46"/>
    </row>
    <row r="231" customFormat="false" ht="15" hidden="false" customHeight="false" outlineLevel="0" collapsed="false">
      <c r="A231" s="40"/>
      <c r="B231" s="46"/>
      <c r="C231" s="40"/>
      <c r="D231" s="45"/>
      <c r="E231" s="45"/>
      <c r="F231" s="46"/>
      <c r="G231" s="45"/>
      <c r="H231" s="46"/>
      <c r="I231" s="45"/>
      <c r="J231" s="46"/>
      <c r="K231" s="45"/>
      <c r="L231" s="46"/>
      <c r="M231" s="45"/>
      <c r="N231" s="46"/>
      <c r="O231" s="45"/>
      <c r="P231" s="46"/>
      <c r="Q231" s="46"/>
      <c r="R231" s="46"/>
    </row>
    <row r="232" customFormat="false" ht="15" hidden="false" customHeight="false" outlineLevel="0" collapsed="false">
      <c r="A232" s="40"/>
      <c r="B232" s="46"/>
      <c r="C232" s="40"/>
      <c r="D232" s="45"/>
      <c r="E232" s="45"/>
      <c r="F232" s="46"/>
      <c r="G232" s="45"/>
      <c r="H232" s="46"/>
      <c r="I232" s="45"/>
      <c r="J232" s="46"/>
      <c r="K232" s="45"/>
      <c r="L232" s="46"/>
      <c r="M232" s="45"/>
      <c r="N232" s="46"/>
      <c r="O232" s="45"/>
      <c r="P232" s="46"/>
      <c r="Q232" s="46"/>
      <c r="R232" s="46"/>
    </row>
    <row r="233" customFormat="false" ht="15" hidden="false" customHeight="false" outlineLevel="0" collapsed="false">
      <c r="A233" s="40"/>
      <c r="B233" s="46"/>
      <c r="C233" s="40"/>
      <c r="D233" s="45"/>
      <c r="E233" s="45"/>
      <c r="F233" s="46"/>
      <c r="G233" s="45"/>
      <c r="H233" s="46"/>
      <c r="I233" s="45"/>
      <c r="J233" s="46"/>
      <c r="K233" s="45"/>
      <c r="L233" s="46"/>
      <c r="M233" s="45"/>
      <c r="N233" s="46"/>
      <c r="O233" s="45"/>
      <c r="P233" s="46"/>
      <c r="Q233" s="46"/>
      <c r="R233" s="46"/>
    </row>
    <row r="234" customFormat="false" ht="15" hidden="false" customHeight="false" outlineLevel="0" collapsed="false">
      <c r="A234" s="40"/>
      <c r="B234" s="46"/>
      <c r="C234" s="40"/>
      <c r="D234" s="45"/>
      <c r="E234" s="45"/>
      <c r="F234" s="46"/>
      <c r="G234" s="45"/>
      <c r="H234" s="46"/>
      <c r="I234" s="45"/>
      <c r="J234" s="46"/>
      <c r="K234" s="45"/>
      <c r="L234" s="46"/>
      <c r="M234" s="45"/>
      <c r="N234" s="46"/>
      <c r="O234" s="45"/>
      <c r="P234" s="46"/>
      <c r="Q234" s="46"/>
      <c r="R234" s="46"/>
    </row>
    <row r="235" customFormat="false" ht="15" hidden="false" customHeight="false" outlineLevel="0" collapsed="false">
      <c r="A235" s="40"/>
      <c r="B235" s="46"/>
      <c r="C235" s="40"/>
      <c r="D235" s="45"/>
      <c r="E235" s="45"/>
      <c r="F235" s="46"/>
      <c r="G235" s="45"/>
      <c r="H235" s="46"/>
      <c r="I235" s="45"/>
      <c r="J235" s="46"/>
      <c r="K235" s="45"/>
      <c r="L235" s="46"/>
      <c r="M235" s="45"/>
      <c r="N235" s="46"/>
      <c r="O235" s="45"/>
      <c r="P235" s="46"/>
      <c r="Q235" s="46"/>
      <c r="R235" s="46"/>
    </row>
    <row r="236" customFormat="false" ht="15" hidden="false" customHeight="false" outlineLevel="0" collapsed="false">
      <c r="A236" s="40"/>
      <c r="B236" s="46"/>
      <c r="C236" s="40"/>
      <c r="D236" s="45"/>
      <c r="E236" s="45"/>
      <c r="F236" s="46"/>
      <c r="G236" s="45"/>
      <c r="H236" s="46"/>
      <c r="I236" s="45"/>
      <c r="J236" s="46"/>
      <c r="K236" s="45"/>
      <c r="L236" s="46"/>
      <c r="M236" s="45"/>
      <c r="N236" s="46"/>
      <c r="O236" s="45"/>
      <c r="P236" s="46"/>
      <c r="Q236" s="46"/>
      <c r="R236" s="46"/>
    </row>
    <row r="237" customFormat="false" ht="15" hidden="false" customHeight="false" outlineLevel="0" collapsed="false">
      <c r="A237" s="40"/>
      <c r="B237" s="46"/>
      <c r="C237" s="40"/>
      <c r="D237" s="45"/>
      <c r="E237" s="45"/>
      <c r="F237" s="46"/>
      <c r="G237" s="45"/>
      <c r="H237" s="46"/>
      <c r="I237" s="45"/>
      <c r="J237" s="46"/>
      <c r="K237" s="45"/>
      <c r="L237" s="46"/>
      <c r="M237" s="45"/>
      <c r="N237" s="46"/>
      <c r="O237" s="45"/>
      <c r="P237" s="46"/>
      <c r="Q237" s="46"/>
      <c r="R237" s="46"/>
    </row>
    <row r="238" customFormat="false" ht="15" hidden="false" customHeight="false" outlineLevel="0" collapsed="false">
      <c r="A238" s="40"/>
      <c r="B238" s="46"/>
      <c r="C238" s="40"/>
      <c r="D238" s="45"/>
      <c r="E238" s="45"/>
      <c r="F238" s="46"/>
      <c r="G238" s="45"/>
      <c r="H238" s="46"/>
      <c r="I238" s="45"/>
      <c r="J238" s="46"/>
      <c r="K238" s="45"/>
      <c r="L238" s="46"/>
      <c r="M238" s="45"/>
      <c r="N238" s="46"/>
      <c r="O238" s="45"/>
      <c r="P238" s="46"/>
      <c r="Q238" s="46"/>
      <c r="R238" s="46"/>
    </row>
    <row r="239" customFormat="false" ht="15" hidden="false" customHeight="false" outlineLevel="0" collapsed="false">
      <c r="A239" s="40"/>
      <c r="B239" s="46"/>
      <c r="C239" s="40"/>
      <c r="D239" s="45"/>
      <c r="E239" s="45"/>
      <c r="F239" s="46"/>
      <c r="G239" s="45"/>
      <c r="H239" s="46"/>
      <c r="I239" s="45"/>
      <c r="J239" s="46"/>
      <c r="K239" s="45"/>
      <c r="L239" s="46"/>
      <c r="M239" s="45"/>
      <c r="N239" s="46"/>
      <c r="O239" s="45"/>
      <c r="P239" s="46"/>
      <c r="Q239" s="46"/>
      <c r="R239" s="46"/>
    </row>
    <row r="240" customFormat="false" ht="15" hidden="false" customHeight="false" outlineLevel="0" collapsed="false">
      <c r="A240" s="40"/>
      <c r="B240" s="46"/>
      <c r="C240" s="40"/>
      <c r="D240" s="45"/>
      <c r="E240" s="45"/>
      <c r="F240" s="46"/>
      <c r="G240" s="45"/>
      <c r="H240" s="46"/>
      <c r="I240" s="45"/>
      <c r="J240" s="46"/>
      <c r="K240" s="45"/>
      <c r="L240" s="46"/>
      <c r="M240" s="45"/>
      <c r="N240" s="46"/>
      <c r="O240" s="45"/>
      <c r="P240" s="46"/>
      <c r="Q240" s="46"/>
      <c r="R240" s="46"/>
    </row>
    <row r="241" customFormat="false" ht="15" hidden="false" customHeight="false" outlineLevel="0" collapsed="false">
      <c r="A241" s="40"/>
      <c r="B241" s="46"/>
      <c r="C241" s="40"/>
      <c r="D241" s="45"/>
      <c r="E241" s="45"/>
      <c r="F241" s="46"/>
      <c r="G241" s="45"/>
      <c r="H241" s="46"/>
      <c r="I241" s="45"/>
      <c r="J241" s="46"/>
      <c r="K241" s="45"/>
      <c r="L241" s="46"/>
      <c r="M241" s="45"/>
      <c r="N241" s="46"/>
      <c r="O241" s="45"/>
      <c r="P241" s="46"/>
      <c r="Q241" s="46"/>
      <c r="R241" s="46"/>
    </row>
    <row r="242" customFormat="false" ht="15" hidden="false" customHeight="false" outlineLevel="0" collapsed="false">
      <c r="A242" s="40"/>
      <c r="B242" s="46"/>
      <c r="C242" s="40"/>
      <c r="D242" s="45"/>
      <c r="E242" s="45"/>
      <c r="F242" s="46"/>
      <c r="G242" s="45"/>
      <c r="H242" s="46"/>
      <c r="I242" s="45"/>
      <c r="J242" s="46"/>
      <c r="K242" s="45"/>
      <c r="L242" s="46"/>
      <c r="M242" s="45"/>
      <c r="N242" s="46"/>
      <c r="O242" s="45"/>
      <c r="P242" s="46"/>
      <c r="Q242" s="46"/>
      <c r="R242" s="46"/>
    </row>
    <row r="243" customFormat="false" ht="15" hidden="false" customHeight="false" outlineLevel="0" collapsed="false">
      <c r="A243" s="40"/>
      <c r="B243" s="46"/>
      <c r="C243" s="40"/>
      <c r="D243" s="45"/>
      <c r="E243" s="45"/>
      <c r="F243" s="46"/>
      <c r="G243" s="45"/>
      <c r="H243" s="46"/>
      <c r="I243" s="45"/>
      <c r="J243" s="46"/>
      <c r="K243" s="45"/>
      <c r="L243" s="46"/>
      <c r="M243" s="45"/>
      <c r="N243" s="46"/>
      <c r="O243" s="45"/>
      <c r="P243" s="46"/>
      <c r="Q243" s="46"/>
      <c r="R243" s="46"/>
    </row>
    <row r="244" customFormat="false" ht="15" hidden="false" customHeight="false" outlineLevel="0" collapsed="false">
      <c r="A244" s="40"/>
      <c r="B244" s="46"/>
      <c r="C244" s="40"/>
      <c r="D244" s="45"/>
      <c r="E244" s="45"/>
      <c r="F244" s="46"/>
      <c r="G244" s="45"/>
      <c r="H244" s="46"/>
      <c r="I244" s="45"/>
      <c r="J244" s="46"/>
      <c r="K244" s="45"/>
      <c r="L244" s="46"/>
      <c r="M244" s="45"/>
      <c r="N244" s="46"/>
      <c r="O244" s="45"/>
      <c r="P244" s="46"/>
      <c r="Q244" s="46"/>
      <c r="R244" s="46"/>
    </row>
    <row r="245" customFormat="false" ht="15" hidden="false" customHeight="false" outlineLevel="0" collapsed="false">
      <c r="A245" s="40"/>
      <c r="B245" s="46"/>
      <c r="C245" s="40"/>
      <c r="D245" s="45"/>
      <c r="E245" s="45"/>
      <c r="F245" s="46"/>
      <c r="G245" s="45"/>
      <c r="H245" s="46"/>
      <c r="I245" s="45"/>
      <c r="J245" s="46"/>
      <c r="K245" s="45"/>
      <c r="L245" s="46"/>
      <c r="M245" s="45"/>
      <c r="N245" s="46"/>
      <c r="O245" s="45"/>
      <c r="P245" s="46"/>
      <c r="Q245" s="46"/>
      <c r="R245" s="46"/>
    </row>
    <row r="246" customFormat="false" ht="15" hidden="false" customHeight="false" outlineLevel="0" collapsed="false">
      <c r="A246" s="40"/>
      <c r="B246" s="46"/>
      <c r="C246" s="40"/>
      <c r="D246" s="45"/>
      <c r="E246" s="45"/>
      <c r="F246" s="46"/>
      <c r="G246" s="45"/>
      <c r="H246" s="46"/>
      <c r="I246" s="45"/>
      <c r="J246" s="46"/>
      <c r="K246" s="45"/>
      <c r="L246" s="46"/>
      <c r="M246" s="45"/>
      <c r="N246" s="46"/>
      <c r="O246" s="45"/>
      <c r="P246" s="46"/>
      <c r="Q246" s="46"/>
      <c r="R246" s="46"/>
    </row>
    <row r="247" customFormat="false" ht="15" hidden="false" customHeight="false" outlineLevel="0" collapsed="false">
      <c r="A247" s="40"/>
      <c r="B247" s="46"/>
      <c r="C247" s="40"/>
      <c r="D247" s="45"/>
      <c r="E247" s="45"/>
      <c r="F247" s="46"/>
      <c r="G247" s="45"/>
      <c r="H247" s="46"/>
      <c r="I247" s="45"/>
      <c r="J247" s="46"/>
      <c r="K247" s="45"/>
      <c r="L247" s="46"/>
      <c r="M247" s="45"/>
      <c r="N247" s="46"/>
      <c r="O247" s="45"/>
      <c r="P247" s="46"/>
      <c r="Q247" s="46"/>
      <c r="R247" s="46"/>
    </row>
    <row r="248" customFormat="false" ht="15" hidden="false" customHeight="false" outlineLevel="0" collapsed="false">
      <c r="A248" s="40"/>
      <c r="B248" s="46"/>
      <c r="C248" s="40"/>
      <c r="D248" s="45"/>
      <c r="E248" s="45"/>
      <c r="F248" s="46"/>
      <c r="G248" s="45"/>
      <c r="H248" s="46"/>
      <c r="I248" s="45"/>
      <c r="J248" s="46"/>
      <c r="K248" s="45"/>
      <c r="L248" s="46"/>
      <c r="M248" s="45"/>
      <c r="N248" s="46"/>
      <c r="O248" s="45"/>
      <c r="P248" s="46"/>
      <c r="Q248" s="46"/>
      <c r="R248" s="46"/>
    </row>
    <row r="249" customFormat="false" ht="15" hidden="false" customHeight="false" outlineLevel="0" collapsed="false">
      <c r="A249" s="40"/>
      <c r="B249" s="46"/>
      <c r="C249" s="40"/>
      <c r="D249" s="45"/>
      <c r="E249" s="45"/>
      <c r="F249" s="46"/>
      <c r="G249" s="45"/>
      <c r="H249" s="46"/>
      <c r="I249" s="45"/>
      <c r="J249" s="46"/>
      <c r="K249" s="45"/>
      <c r="L249" s="46"/>
      <c r="M249" s="45"/>
      <c r="N249" s="46"/>
      <c r="O249" s="45"/>
      <c r="P249" s="46"/>
      <c r="Q249" s="46"/>
      <c r="R249" s="46"/>
    </row>
    <row r="250" customFormat="false" ht="15" hidden="false" customHeight="false" outlineLevel="0" collapsed="false">
      <c r="A250" s="40"/>
      <c r="B250" s="46"/>
      <c r="C250" s="40"/>
      <c r="D250" s="45"/>
      <c r="E250" s="45"/>
      <c r="F250" s="46"/>
      <c r="G250" s="45"/>
      <c r="H250" s="46"/>
      <c r="I250" s="45"/>
      <c r="J250" s="46"/>
      <c r="K250" s="45"/>
      <c r="L250" s="46"/>
      <c r="M250" s="45"/>
      <c r="N250" s="46"/>
      <c r="O250" s="45"/>
      <c r="P250" s="46"/>
      <c r="Q250" s="46"/>
      <c r="R250" s="46"/>
    </row>
    <row r="251" customFormat="false" ht="15" hidden="false" customHeight="false" outlineLevel="0" collapsed="false">
      <c r="A251" s="40"/>
      <c r="B251" s="46"/>
      <c r="C251" s="40"/>
      <c r="D251" s="45"/>
      <c r="E251" s="45"/>
      <c r="F251" s="46"/>
      <c r="G251" s="45"/>
      <c r="H251" s="46"/>
      <c r="I251" s="45"/>
      <c r="J251" s="46"/>
      <c r="K251" s="45"/>
      <c r="L251" s="46"/>
      <c r="M251" s="45"/>
      <c r="N251" s="46"/>
      <c r="O251" s="45"/>
      <c r="P251" s="46"/>
      <c r="Q251" s="46"/>
      <c r="R251" s="46"/>
    </row>
    <row r="252" customFormat="false" ht="15" hidden="false" customHeight="false" outlineLevel="0" collapsed="false">
      <c r="A252" s="40"/>
      <c r="B252" s="46"/>
      <c r="C252" s="40"/>
      <c r="D252" s="45"/>
      <c r="E252" s="45"/>
      <c r="F252" s="46"/>
      <c r="G252" s="45"/>
      <c r="H252" s="46"/>
      <c r="I252" s="45"/>
      <c r="J252" s="46"/>
      <c r="K252" s="45"/>
      <c r="L252" s="46"/>
      <c r="M252" s="45"/>
      <c r="N252" s="46"/>
      <c r="O252" s="45"/>
      <c r="P252" s="46"/>
      <c r="Q252" s="46"/>
      <c r="R252" s="46"/>
    </row>
    <row r="253" customFormat="false" ht="15" hidden="false" customHeight="false" outlineLevel="0" collapsed="false">
      <c r="A253" s="40"/>
      <c r="B253" s="46"/>
      <c r="C253" s="40"/>
      <c r="D253" s="45"/>
      <c r="E253" s="45"/>
      <c r="F253" s="46"/>
      <c r="G253" s="45"/>
      <c r="H253" s="46"/>
      <c r="I253" s="45"/>
      <c r="J253" s="46"/>
      <c r="K253" s="45"/>
      <c r="L253" s="46"/>
      <c r="M253" s="45"/>
      <c r="N253" s="46"/>
      <c r="O253" s="45"/>
      <c r="P253" s="46"/>
      <c r="Q253" s="46"/>
      <c r="R253" s="46"/>
    </row>
    <row r="254" customFormat="false" ht="15" hidden="false" customHeight="false" outlineLevel="0" collapsed="false">
      <c r="A254" s="40"/>
      <c r="B254" s="46"/>
      <c r="C254" s="40"/>
      <c r="D254" s="45"/>
      <c r="E254" s="45"/>
      <c r="F254" s="46"/>
      <c r="G254" s="45"/>
      <c r="H254" s="46"/>
      <c r="I254" s="45"/>
      <c r="J254" s="46"/>
      <c r="K254" s="45"/>
      <c r="L254" s="46"/>
      <c r="M254" s="45"/>
      <c r="N254" s="46"/>
      <c r="O254" s="45"/>
      <c r="P254" s="46"/>
      <c r="Q254" s="46"/>
      <c r="R254" s="46"/>
    </row>
    <row r="255" customFormat="false" ht="15" hidden="false" customHeight="false" outlineLevel="0" collapsed="false">
      <c r="A255" s="40"/>
      <c r="B255" s="46"/>
      <c r="C255" s="40"/>
      <c r="D255" s="45"/>
      <c r="E255" s="45"/>
      <c r="F255" s="46"/>
      <c r="G255" s="45"/>
      <c r="H255" s="46"/>
      <c r="I255" s="45"/>
      <c r="J255" s="46"/>
      <c r="K255" s="45"/>
      <c r="L255" s="46"/>
      <c r="M255" s="45"/>
      <c r="N255" s="46"/>
      <c r="O255" s="45"/>
      <c r="P255" s="46"/>
      <c r="Q255" s="46"/>
      <c r="R255" s="46"/>
    </row>
    <row r="256" customFormat="false" ht="15" hidden="false" customHeight="false" outlineLevel="0" collapsed="false">
      <c r="A256" s="40"/>
      <c r="B256" s="46"/>
      <c r="C256" s="40"/>
      <c r="D256" s="45"/>
      <c r="E256" s="45"/>
      <c r="F256" s="46"/>
      <c r="G256" s="45"/>
      <c r="H256" s="46"/>
      <c r="I256" s="45"/>
      <c r="J256" s="46"/>
      <c r="K256" s="45"/>
      <c r="L256" s="46"/>
      <c r="M256" s="45"/>
      <c r="N256" s="46"/>
      <c r="O256" s="45"/>
      <c r="P256" s="46"/>
      <c r="Q256" s="46"/>
      <c r="R256" s="46"/>
    </row>
    <row r="257" customFormat="false" ht="15" hidden="false" customHeight="false" outlineLevel="0" collapsed="false">
      <c r="A257" s="40"/>
      <c r="B257" s="46"/>
      <c r="C257" s="40"/>
      <c r="D257" s="45"/>
      <c r="E257" s="45"/>
      <c r="F257" s="46"/>
      <c r="G257" s="45"/>
      <c r="H257" s="46"/>
      <c r="I257" s="45"/>
      <c r="J257" s="46"/>
      <c r="K257" s="45"/>
      <c r="L257" s="46"/>
      <c r="M257" s="45"/>
      <c r="N257" s="46"/>
      <c r="O257" s="45"/>
      <c r="P257" s="46"/>
      <c r="Q257" s="46"/>
      <c r="R257" s="46"/>
    </row>
    <row r="258" customFormat="false" ht="15" hidden="false" customHeight="false" outlineLevel="0" collapsed="false">
      <c r="A258" s="40"/>
      <c r="B258" s="46"/>
      <c r="C258" s="40"/>
      <c r="D258" s="45"/>
      <c r="E258" s="45"/>
      <c r="F258" s="46"/>
      <c r="G258" s="45"/>
      <c r="H258" s="46"/>
      <c r="I258" s="45"/>
      <c r="J258" s="46"/>
      <c r="K258" s="45"/>
      <c r="L258" s="46"/>
      <c r="M258" s="45"/>
      <c r="N258" s="46"/>
      <c r="O258" s="45"/>
      <c r="P258" s="46"/>
      <c r="Q258" s="46"/>
      <c r="R258" s="46"/>
    </row>
    <row r="259" customFormat="false" ht="15" hidden="false" customHeight="false" outlineLevel="0" collapsed="false">
      <c r="A259" s="40"/>
      <c r="B259" s="46"/>
      <c r="C259" s="40"/>
      <c r="D259" s="45"/>
      <c r="E259" s="45"/>
      <c r="F259" s="46"/>
      <c r="G259" s="45"/>
      <c r="H259" s="46"/>
      <c r="I259" s="45"/>
      <c r="J259" s="46"/>
      <c r="K259" s="45"/>
      <c r="L259" s="46"/>
      <c r="M259" s="45"/>
      <c r="N259" s="46"/>
      <c r="O259" s="45"/>
      <c r="P259" s="46"/>
      <c r="Q259" s="46"/>
      <c r="R259" s="46"/>
    </row>
    <row r="260" customFormat="false" ht="15" hidden="false" customHeight="false" outlineLevel="0" collapsed="false">
      <c r="A260" s="40"/>
      <c r="B260" s="46"/>
      <c r="C260" s="40"/>
      <c r="D260" s="45"/>
      <c r="E260" s="45"/>
      <c r="F260" s="46"/>
      <c r="G260" s="45"/>
      <c r="H260" s="46"/>
      <c r="I260" s="45"/>
      <c r="J260" s="46"/>
      <c r="K260" s="45"/>
      <c r="L260" s="46"/>
      <c r="M260" s="45"/>
      <c r="N260" s="46"/>
      <c r="O260" s="45"/>
      <c r="P260" s="46"/>
      <c r="Q260" s="46"/>
      <c r="R260" s="46"/>
    </row>
    <row r="261" customFormat="false" ht="15" hidden="false" customHeight="false" outlineLevel="0" collapsed="false">
      <c r="A261" s="40"/>
      <c r="B261" s="46"/>
      <c r="C261" s="40"/>
      <c r="D261" s="45"/>
      <c r="E261" s="45"/>
      <c r="F261" s="46"/>
      <c r="G261" s="45"/>
      <c r="H261" s="46"/>
      <c r="I261" s="45"/>
      <c r="J261" s="46"/>
      <c r="K261" s="45"/>
      <c r="L261" s="46"/>
      <c r="M261" s="45"/>
      <c r="N261" s="46"/>
      <c r="O261" s="45"/>
      <c r="P261" s="46"/>
      <c r="Q261" s="46"/>
      <c r="R261" s="46"/>
    </row>
    <row r="262" customFormat="false" ht="15" hidden="false" customHeight="false" outlineLevel="0" collapsed="false">
      <c r="A262" s="40"/>
      <c r="B262" s="46"/>
      <c r="C262" s="40"/>
      <c r="D262" s="45"/>
      <c r="E262" s="45"/>
      <c r="F262" s="46"/>
      <c r="G262" s="45"/>
      <c r="H262" s="46"/>
      <c r="I262" s="45"/>
      <c r="J262" s="46"/>
      <c r="K262" s="45"/>
      <c r="L262" s="46"/>
      <c r="M262" s="45"/>
      <c r="N262" s="46"/>
      <c r="O262" s="45"/>
      <c r="P262" s="46"/>
      <c r="Q262" s="46"/>
      <c r="R262" s="46"/>
    </row>
    <row r="263" customFormat="false" ht="15" hidden="false" customHeight="false" outlineLevel="0" collapsed="false">
      <c r="A263" s="40"/>
      <c r="B263" s="46"/>
      <c r="C263" s="40"/>
      <c r="D263" s="45"/>
      <c r="E263" s="45"/>
      <c r="F263" s="46"/>
      <c r="G263" s="45"/>
      <c r="H263" s="46"/>
      <c r="I263" s="45"/>
      <c r="J263" s="46"/>
      <c r="K263" s="45"/>
      <c r="L263" s="46"/>
      <c r="M263" s="45"/>
      <c r="N263" s="46"/>
      <c r="O263" s="45"/>
      <c r="P263" s="46"/>
      <c r="Q263" s="46"/>
      <c r="R263" s="46"/>
    </row>
    <row r="264" customFormat="false" ht="15" hidden="false" customHeight="false" outlineLevel="0" collapsed="false">
      <c r="A264" s="40"/>
      <c r="B264" s="46"/>
      <c r="C264" s="40"/>
      <c r="D264" s="45"/>
      <c r="E264" s="45"/>
      <c r="F264" s="46"/>
      <c r="G264" s="45"/>
      <c r="H264" s="46"/>
      <c r="I264" s="45"/>
      <c r="J264" s="46"/>
      <c r="K264" s="45"/>
      <c r="L264" s="46"/>
      <c r="M264" s="45"/>
      <c r="N264" s="46"/>
      <c r="O264" s="45"/>
      <c r="P264" s="46"/>
      <c r="Q264" s="46"/>
      <c r="R264" s="46"/>
    </row>
    <row r="265" customFormat="false" ht="15" hidden="false" customHeight="false" outlineLevel="0" collapsed="false">
      <c r="A265" s="40"/>
      <c r="B265" s="46"/>
      <c r="C265" s="40"/>
      <c r="D265" s="45"/>
      <c r="E265" s="45"/>
      <c r="F265" s="46"/>
      <c r="G265" s="45"/>
      <c r="H265" s="46"/>
      <c r="I265" s="45"/>
      <c r="J265" s="46"/>
      <c r="K265" s="45"/>
      <c r="L265" s="46"/>
      <c r="M265" s="45"/>
      <c r="N265" s="46"/>
      <c r="O265" s="45"/>
      <c r="P265" s="46"/>
      <c r="Q265" s="46"/>
      <c r="R265" s="46"/>
    </row>
    <row r="266" customFormat="false" ht="15" hidden="false" customHeight="false" outlineLevel="0" collapsed="false">
      <c r="A266" s="40"/>
      <c r="B266" s="46"/>
      <c r="C266" s="40"/>
      <c r="D266" s="45"/>
      <c r="E266" s="45"/>
      <c r="F266" s="46"/>
      <c r="G266" s="45"/>
      <c r="H266" s="46"/>
      <c r="I266" s="45"/>
      <c r="J266" s="46"/>
      <c r="K266" s="45"/>
      <c r="L266" s="46"/>
      <c r="M266" s="45"/>
      <c r="N266" s="46"/>
      <c r="O266" s="45"/>
      <c r="P266" s="46"/>
      <c r="Q266" s="46"/>
      <c r="R266" s="46"/>
    </row>
    <row r="267" customFormat="false" ht="15" hidden="false" customHeight="false" outlineLevel="0" collapsed="false">
      <c r="A267" s="40"/>
      <c r="B267" s="46"/>
      <c r="C267" s="40"/>
      <c r="D267" s="45"/>
      <c r="E267" s="45"/>
      <c r="F267" s="46"/>
      <c r="G267" s="45"/>
      <c r="H267" s="46"/>
      <c r="I267" s="45"/>
      <c r="J267" s="46"/>
      <c r="K267" s="45"/>
      <c r="L267" s="46"/>
      <c r="M267" s="45"/>
      <c r="N267" s="46"/>
      <c r="O267" s="45"/>
      <c r="P267" s="46"/>
      <c r="Q267" s="46"/>
      <c r="R267" s="46"/>
    </row>
    <row r="268" customFormat="false" ht="15" hidden="false" customHeight="false" outlineLevel="0" collapsed="false">
      <c r="A268" s="40"/>
      <c r="B268" s="46"/>
      <c r="C268" s="40"/>
      <c r="D268" s="45"/>
      <c r="E268" s="45"/>
      <c r="F268" s="46"/>
      <c r="G268" s="45"/>
      <c r="H268" s="46"/>
      <c r="I268" s="45"/>
      <c r="J268" s="46"/>
      <c r="K268" s="45"/>
      <c r="L268" s="46"/>
      <c r="M268" s="45"/>
      <c r="N268" s="46"/>
      <c r="O268" s="45"/>
      <c r="P268" s="46"/>
      <c r="Q268" s="46"/>
      <c r="R268" s="46"/>
    </row>
    <row r="269" customFormat="false" ht="15" hidden="false" customHeight="false" outlineLevel="0" collapsed="false">
      <c r="A269" s="40"/>
      <c r="B269" s="46"/>
      <c r="C269" s="40"/>
      <c r="D269" s="45"/>
      <c r="E269" s="45"/>
      <c r="F269" s="46"/>
      <c r="G269" s="45"/>
      <c r="H269" s="46"/>
      <c r="I269" s="45"/>
      <c r="J269" s="46"/>
      <c r="K269" s="45"/>
      <c r="L269" s="46"/>
      <c r="M269" s="45"/>
      <c r="N269" s="46"/>
      <c r="O269" s="45"/>
      <c r="P269" s="46"/>
      <c r="Q269" s="46"/>
      <c r="R269" s="46"/>
    </row>
    <row r="270" customFormat="false" ht="15" hidden="false" customHeight="false" outlineLevel="0" collapsed="false">
      <c r="A270" s="40"/>
      <c r="B270" s="46"/>
      <c r="C270" s="40"/>
      <c r="D270" s="45"/>
      <c r="E270" s="45"/>
      <c r="F270" s="46"/>
      <c r="G270" s="45"/>
      <c r="H270" s="46"/>
      <c r="I270" s="45"/>
      <c r="J270" s="46"/>
      <c r="K270" s="45"/>
      <c r="L270" s="46"/>
      <c r="M270" s="45"/>
      <c r="N270" s="46"/>
      <c r="O270" s="45"/>
      <c r="P270" s="46"/>
      <c r="Q270" s="46"/>
      <c r="R270" s="46"/>
    </row>
    <row r="271" customFormat="false" ht="15" hidden="false" customHeight="false" outlineLevel="0" collapsed="false">
      <c r="A271" s="40"/>
      <c r="B271" s="46"/>
      <c r="C271" s="40"/>
      <c r="D271" s="45"/>
      <c r="E271" s="45"/>
      <c r="F271" s="46"/>
      <c r="G271" s="45"/>
      <c r="H271" s="46"/>
      <c r="I271" s="45"/>
      <c r="J271" s="46"/>
      <c r="K271" s="45"/>
      <c r="L271" s="46"/>
      <c r="M271" s="45"/>
      <c r="N271" s="46"/>
      <c r="O271" s="45"/>
      <c r="P271" s="46"/>
      <c r="Q271" s="46"/>
      <c r="R271" s="46"/>
    </row>
    <row r="272" customFormat="false" ht="15" hidden="false" customHeight="false" outlineLevel="0" collapsed="false">
      <c r="A272" s="40"/>
      <c r="B272" s="46"/>
      <c r="C272" s="40"/>
      <c r="D272" s="45"/>
      <c r="E272" s="45"/>
      <c r="F272" s="46"/>
      <c r="G272" s="45"/>
      <c r="H272" s="46"/>
      <c r="I272" s="45"/>
      <c r="J272" s="46"/>
      <c r="K272" s="45"/>
      <c r="L272" s="46"/>
      <c r="M272" s="45"/>
      <c r="N272" s="46"/>
      <c r="O272" s="45"/>
      <c r="P272" s="46"/>
      <c r="Q272" s="46"/>
      <c r="R272" s="46"/>
    </row>
    <row r="273" customFormat="false" ht="15" hidden="false" customHeight="false" outlineLevel="0" collapsed="false">
      <c r="A273" s="40"/>
      <c r="B273" s="46"/>
      <c r="C273" s="40"/>
      <c r="D273" s="45"/>
      <c r="E273" s="45"/>
      <c r="F273" s="46"/>
      <c r="G273" s="45"/>
      <c r="H273" s="46"/>
      <c r="I273" s="45"/>
      <c r="J273" s="46"/>
      <c r="K273" s="45"/>
      <c r="L273" s="46"/>
      <c r="M273" s="45"/>
      <c r="N273" s="46"/>
      <c r="O273" s="45"/>
      <c r="P273" s="46"/>
      <c r="Q273" s="46"/>
      <c r="R273" s="46"/>
    </row>
    <row r="274" customFormat="false" ht="15" hidden="false" customHeight="false" outlineLevel="0" collapsed="false">
      <c r="A274" s="40"/>
      <c r="B274" s="46"/>
      <c r="C274" s="40"/>
      <c r="D274" s="45"/>
      <c r="E274" s="45"/>
      <c r="F274" s="46"/>
      <c r="G274" s="45"/>
      <c r="H274" s="46"/>
      <c r="I274" s="45"/>
      <c r="J274" s="46"/>
      <c r="K274" s="45"/>
      <c r="L274" s="46"/>
      <c r="M274" s="45"/>
      <c r="N274" s="46"/>
      <c r="O274" s="45"/>
      <c r="P274" s="46"/>
      <c r="Q274" s="46"/>
      <c r="R274" s="46"/>
    </row>
    <row r="275" customFormat="false" ht="15" hidden="false" customHeight="false" outlineLevel="0" collapsed="false">
      <c r="A275" s="40"/>
      <c r="B275" s="46"/>
      <c r="C275" s="40"/>
      <c r="D275" s="45"/>
      <c r="E275" s="45"/>
      <c r="F275" s="46"/>
      <c r="G275" s="45"/>
      <c r="H275" s="46"/>
      <c r="I275" s="45"/>
      <c r="J275" s="46"/>
      <c r="K275" s="45"/>
      <c r="L275" s="46"/>
      <c r="M275" s="45"/>
      <c r="N275" s="46"/>
      <c r="O275" s="45"/>
      <c r="P275" s="46"/>
      <c r="Q275" s="46"/>
      <c r="R275" s="46"/>
    </row>
    <row r="276" customFormat="false" ht="15" hidden="false" customHeight="false" outlineLevel="0" collapsed="false">
      <c r="A276" s="40"/>
      <c r="B276" s="46"/>
      <c r="C276" s="40"/>
      <c r="D276" s="45"/>
      <c r="E276" s="45"/>
      <c r="F276" s="46"/>
      <c r="G276" s="45"/>
      <c r="H276" s="46"/>
      <c r="I276" s="45"/>
      <c r="J276" s="46"/>
      <c r="K276" s="45"/>
      <c r="L276" s="46"/>
      <c r="M276" s="45"/>
      <c r="N276" s="46"/>
      <c r="O276" s="45"/>
      <c r="P276" s="46"/>
      <c r="Q276" s="46"/>
      <c r="R276" s="46"/>
    </row>
    <row r="277" customFormat="false" ht="15" hidden="false" customHeight="false" outlineLevel="0" collapsed="false">
      <c r="A277" s="40"/>
      <c r="B277" s="46"/>
      <c r="C277" s="40"/>
      <c r="D277" s="45"/>
      <c r="E277" s="45"/>
      <c r="F277" s="46"/>
      <c r="G277" s="45"/>
      <c r="H277" s="46"/>
      <c r="I277" s="45"/>
      <c r="J277" s="46"/>
      <c r="K277" s="45"/>
      <c r="L277" s="46"/>
      <c r="M277" s="45"/>
      <c r="N277" s="46"/>
      <c r="O277" s="45"/>
      <c r="P277" s="46"/>
      <c r="Q277" s="46"/>
      <c r="R277" s="46"/>
    </row>
    <row r="278" customFormat="false" ht="15" hidden="false" customHeight="false" outlineLevel="0" collapsed="false">
      <c r="A278" s="40"/>
      <c r="B278" s="46"/>
      <c r="C278" s="40"/>
      <c r="D278" s="45"/>
      <c r="E278" s="45"/>
      <c r="F278" s="46"/>
      <c r="G278" s="45"/>
      <c r="H278" s="46"/>
      <c r="I278" s="45"/>
      <c r="J278" s="46"/>
      <c r="K278" s="45"/>
      <c r="L278" s="46"/>
      <c r="M278" s="45"/>
      <c r="N278" s="46"/>
      <c r="O278" s="45"/>
      <c r="P278" s="46"/>
      <c r="Q278" s="46"/>
      <c r="R278" s="46"/>
    </row>
    <row r="279" customFormat="false" ht="15" hidden="false" customHeight="false" outlineLevel="0" collapsed="false">
      <c r="A279" s="40"/>
      <c r="B279" s="46"/>
      <c r="C279" s="40"/>
      <c r="D279" s="45"/>
      <c r="E279" s="45"/>
      <c r="F279" s="46"/>
      <c r="G279" s="45"/>
      <c r="H279" s="46"/>
      <c r="I279" s="45"/>
      <c r="J279" s="46"/>
      <c r="K279" s="45"/>
      <c r="L279" s="46"/>
      <c r="M279" s="45"/>
      <c r="N279" s="46"/>
      <c r="O279" s="45"/>
      <c r="P279" s="46"/>
      <c r="Q279" s="46"/>
      <c r="R279" s="46"/>
    </row>
    <row r="280" customFormat="false" ht="15" hidden="false" customHeight="false" outlineLevel="0" collapsed="false">
      <c r="A280" s="40"/>
      <c r="B280" s="46"/>
      <c r="C280" s="40"/>
      <c r="D280" s="45"/>
      <c r="E280" s="45"/>
      <c r="F280" s="46"/>
      <c r="G280" s="45"/>
      <c r="H280" s="46"/>
      <c r="I280" s="45"/>
      <c r="J280" s="46"/>
      <c r="K280" s="45"/>
      <c r="L280" s="46"/>
      <c r="M280" s="45"/>
      <c r="N280" s="46"/>
      <c r="O280" s="45"/>
      <c r="P280" s="46"/>
      <c r="Q280" s="46"/>
      <c r="R280" s="46"/>
    </row>
    <row r="281" customFormat="false" ht="15" hidden="false" customHeight="false" outlineLevel="0" collapsed="false">
      <c r="A281" s="40"/>
      <c r="B281" s="46"/>
      <c r="C281" s="40"/>
      <c r="D281" s="45"/>
      <c r="E281" s="45"/>
      <c r="F281" s="46"/>
      <c r="G281" s="45"/>
      <c r="H281" s="46"/>
      <c r="I281" s="45"/>
      <c r="J281" s="46"/>
      <c r="K281" s="45"/>
      <c r="L281" s="46"/>
      <c r="M281" s="45"/>
      <c r="N281" s="46"/>
      <c r="O281" s="45"/>
      <c r="P281" s="46"/>
      <c r="Q281" s="46"/>
      <c r="R281" s="46"/>
    </row>
    <row r="282" customFormat="false" ht="15" hidden="false" customHeight="false" outlineLevel="0" collapsed="false">
      <c r="A282" s="40"/>
      <c r="B282" s="46"/>
      <c r="C282" s="40"/>
      <c r="D282" s="45"/>
      <c r="E282" s="45"/>
      <c r="F282" s="46"/>
      <c r="G282" s="45"/>
      <c r="H282" s="46"/>
      <c r="I282" s="45"/>
      <c r="J282" s="46"/>
      <c r="K282" s="45"/>
      <c r="L282" s="46"/>
      <c r="M282" s="45"/>
      <c r="N282" s="46"/>
      <c r="O282" s="45"/>
      <c r="P282" s="46"/>
      <c r="Q282" s="46"/>
      <c r="R282" s="46"/>
    </row>
    <row r="283" customFormat="false" ht="15" hidden="false" customHeight="false" outlineLevel="0" collapsed="false">
      <c r="A283" s="40"/>
      <c r="B283" s="46"/>
      <c r="C283" s="40"/>
      <c r="D283" s="45"/>
      <c r="E283" s="45"/>
      <c r="F283" s="46"/>
      <c r="G283" s="45"/>
      <c r="H283" s="46"/>
      <c r="I283" s="45"/>
      <c r="J283" s="46"/>
      <c r="K283" s="45"/>
      <c r="L283" s="46"/>
      <c r="M283" s="45"/>
      <c r="N283" s="46"/>
      <c r="O283" s="45"/>
      <c r="P283" s="46"/>
      <c r="Q283" s="46"/>
      <c r="R283" s="46"/>
    </row>
    <row r="284" customFormat="false" ht="15" hidden="false" customHeight="false" outlineLevel="0" collapsed="false">
      <c r="A284" s="40"/>
      <c r="B284" s="46"/>
      <c r="C284" s="40"/>
      <c r="D284" s="45"/>
      <c r="E284" s="45"/>
      <c r="F284" s="46"/>
      <c r="G284" s="45"/>
      <c r="H284" s="46"/>
      <c r="I284" s="45"/>
      <c r="J284" s="46"/>
      <c r="K284" s="45"/>
      <c r="L284" s="46"/>
      <c r="M284" s="45"/>
      <c r="N284" s="46"/>
      <c r="O284" s="45"/>
      <c r="P284" s="46"/>
      <c r="Q284" s="46"/>
      <c r="R284" s="46"/>
    </row>
    <row r="285" customFormat="false" ht="15" hidden="false" customHeight="false" outlineLevel="0" collapsed="false">
      <c r="A285" s="40"/>
      <c r="B285" s="46"/>
      <c r="C285" s="40"/>
      <c r="D285" s="45"/>
      <c r="E285" s="45"/>
      <c r="F285" s="46"/>
      <c r="G285" s="45"/>
      <c r="H285" s="46"/>
      <c r="I285" s="45"/>
      <c r="J285" s="46"/>
      <c r="K285" s="45"/>
      <c r="L285" s="46"/>
      <c r="M285" s="45"/>
      <c r="N285" s="46"/>
      <c r="O285" s="45"/>
      <c r="P285" s="46"/>
      <c r="Q285" s="46"/>
      <c r="R285" s="46"/>
    </row>
    <row r="286" customFormat="false" ht="15" hidden="false" customHeight="false" outlineLevel="0" collapsed="false">
      <c r="A286" s="40"/>
      <c r="B286" s="46"/>
      <c r="C286" s="40"/>
      <c r="D286" s="45"/>
      <c r="E286" s="45"/>
      <c r="F286" s="46"/>
      <c r="G286" s="45"/>
      <c r="H286" s="46"/>
      <c r="I286" s="45"/>
      <c r="J286" s="46"/>
      <c r="K286" s="45"/>
      <c r="L286" s="46"/>
      <c r="M286" s="45"/>
      <c r="N286" s="46"/>
      <c r="O286" s="45"/>
      <c r="P286" s="46"/>
      <c r="Q286" s="46"/>
      <c r="R286" s="46"/>
    </row>
    <row r="287" customFormat="false" ht="15" hidden="false" customHeight="false" outlineLevel="0" collapsed="false">
      <c r="A287" s="40"/>
      <c r="B287" s="46"/>
      <c r="C287" s="40"/>
      <c r="D287" s="45"/>
      <c r="E287" s="45"/>
      <c r="F287" s="46"/>
      <c r="G287" s="45"/>
      <c r="H287" s="46"/>
      <c r="I287" s="45"/>
      <c r="J287" s="46"/>
      <c r="K287" s="45"/>
      <c r="L287" s="46"/>
      <c r="M287" s="45"/>
      <c r="N287" s="46"/>
      <c r="O287" s="45"/>
      <c r="P287" s="46"/>
      <c r="Q287" s="46"/>
      <c r="R287" s="46"/>
    </row>
    <row r="288" customFormat="false" ht="15" hidden="false" customHeight="false" outlineLevel="0" collapsed="false">
      <c r="A288" s="40"/>
      <c r="B288" s="46"/>
      <c r="C288" s="40"/>
      <c r="D288" s="45"/>
      <c r="E288" s="45"/>
      <c r="F288" s="46"/>
      <c r="G288" s="45"/>
      <c r="H288" s="46"/>
      <c r="I288" s="45"/>
      <c r="J288" s="46"/>
      <c r="K288" s="45"/>
      <c r="L288" s="46"/>
      <c r="M288" s="45"/>
      <c r="N288" s="46"/>
      <c r="O288" s="45"/>
      <c r="P288" s="46"/>
      <c r="Q288" s="46"/>
      <c r="R288" s="46"/>
    </row>
    <row r="289" customFormat="false" ht="15" hidden="false" customHeight="false" outlineLevel="0" collapsed="false">
      <c r="A289" s="40"/>
      <c r="B289" s="46"/>
      <c r="C289" s="40"/>
      <c r="D289" s="45"/>
      <c r="E289" s="45"/>
      <c r="F289" s="46"/>
      <c r="G289" s="45"/>
      <c r="H289" s="46"/>
      <c r="I289" s="45"/>
      <c r="J289" s="46"/>
      <c r="K289" s="45"/>
      <c r="L289" s="46"/>
      <c r="M289" s="45"/>
      <c r="N289" s="46"/>
      <c r="O289" s="45"/>
      <c r="P289" s="46"/>
      <c r="Q289" s="46"/>
      <c r="R289" s="46"/>
    </row>
    <row r="290" customFormat="false" ht="15" hidden="false" customHeight="false" outlineLevel="0" collapsed="false">
      <c r="A290" s="40"/>
      <c r="B290" s="46"/>
      <c r="C290" s="40"/>
      <c r="D290" s="45"/>
      <c r="E290" s="45"/>
      <c r="F290" s="46"/>
      <c r="G290" s="45"/>
      <c r="H290" s="46"/>
      <c r="I290" s="45"/>
      <c r="J290" s="46"/>
      <c r="K290" s="45"/>
      <c r="L290" s="46"/>
      <c r="M290" s="45"/>
      <c r="N290" s="46"/>
      <c r="O290" s="45"/>
      <c r="P290" s="46"/>
      <c r="Q290" s="46"/>
      <c r="R290" s="46"/>
    </row>
    <row r="291" customFormat="false" ht="15" hidden="false" customHeight="false" outlineLevel="0" collapsed="false">
      <c r="A291" s="40"/>
      <c r="B291" s="46"/>
      <c r="C291" s="40"/>
      <c r="D291" s="45"/>
      <c r="E291" s="45"/>
      <c r="F291" s="46"/>
      <c r="G291" s="45"/>
      <c r="H291" s="46"/>
      <c r="I291" s="45"/>
      <c r="J291" s="46"/>
      <c r="K291" s="45"/>
      <c r="L291" s="46"/>
      <c r="M291" s="45"/>
      <c r="N291" s="46"/>
      <c r="O291" s="45"/>
      <c r="P291" s="46"/>
      <c r="Q291" s="46"/>
      <c r="R291" s="46"/>
    </row>
    <row r="292" customFormat="false" ht="15" hidden="false" customHeight="false" outlineLevel="0" collapsed="false">
      <c r="A292" s="40"/>
      <c r="B292" s="46"/>
      <c r="C292" s="40"/>
      <c r="D292" s="45"/>
      <c r="E292" s="45"/>
      <c r="F292" s="46"/>
      <c r="G292" s="45"/>
      <c r="H292" s="46"/>
      <c r="I292" s="45"/>
      <c r="J292" s="46"/>
      <c r="K292" s="45"/>
      <c r="L292" s="46"/>
      <c r="M292" s="45"/>
      <c r="N292" s="46"/>
      <c r="O292" s="45"/>
      <c r="P292" s="46"/>
      <c r="Q292" s="46"/>
      <c r="R292" s="46"/>
    </row>
    <row r="293" customFormat="false" ht="15" hidden="false" customHeight="false" outlineLevel="0" collapsed="false">
      <c r="A293" s="40"/>
      <c r="B293" s="46"/>
      <c r="C293" s="40"/>
      <c r="D293" s="45"/>
      <c r="E293" s="45"/>
      <c r="F293" s="46"/>
      <c r="G293" s="45"/>
      <c r="H293" s="46"/>
      <c r="I293" s="45"/>
      <c r="J293" s="46"/>
      <c r="K293" s="45"/>
      <c r="L293" s="46"/>
      <c r="M293" s="45"/>
      <c r="N293" s="46"/>
      <c r="O293" s="45"/>
      <c r="P293" s="46"/>
      <c r="Q293" s="46"/>
      <c r="R293" s="46"/>
    </row>
    <row r="294" customFormat="false" ht="15" hidden="false" customHeight="false" outlineLevel="0" collapsed="false">
      <c r="A294" s="40"/>
      <c r="B294" s="46"/>
      <c r="C294" s="40"/>
      <c r="D294" s="45"/>
      <c r="E294" s="45"/>
      <c r="F294" s="46"/>
      <c r="G294" s="45"/>
      <c r="H294" s="46"/>
      <c r="I294" s="45"/>
      <c r="J294" s="46"/>
      <c r="K294" s="45"/>
      <c r="L294" s="46"/>
      <c r="M294" s="45"/>
      <c r="N294" s="46"/>
      <c r="O294" s="45"/>
      <c r="P294" s="46"/>
      <c r="Q294" s="46"/>
      <c r="R294" s="46"/>
    </row>
    <row r="295" customFormat="false" ht="15" hidden="false" customHeight="false" outlineLevel="0" collapsed="false">
      <c r="A295" s="40"/>
      <c r="B295" s="46"/>
      <c r="C295" s="40"/>
      <c r="D295" s="45"/>
      <c r="E295" s="45"/>
      <c r="F295" s="46"/>
      <c r="G295" s="45"/>
      <c r="H295" s="46"/>
      <c r="I295" s="45"/>
      <c r="J295" s="46"/>
      <c r="K295" s="45"/>
      <c r="L295" s="46"/>
      <c r="M295" s="45"/>
      <c r="N295" s="46"/>
      <c r="O295" s="45"/>
      <c r="P295" s="46"/>
      <c r="Q295" s="46"/>
      <c r="R295" s="46"/>
    </row>
    <row r="296" customFormat="false" ht="15" hidden="false" customHeight="false" outlineLevel="0" collapsed="false">
      <c r="A296" s="40"/>
      <c r="B296" s="46"/>
      <c r="C296" s="40"/>
      <c r="D296" s="45"/>
      <c r="E296" s="45"/>
      <c r="F296" s="46"/>
      <c r="G296" s="45"/>
      <c r="H296" s="46"/>
      <c r="I296" s="45"/>
      <c r="J296" s="46"/>
      <c r="K296" s="45"/>
      <c r="L296" s="46"/>
      <c r="M296" s="45"/>
      <c r="N296" s="46"/>
      <c r="O296" s="45"/>
      <c r="P296" s="46"/>
      <c r="Q296" s="46"/>
      <c r="R296" s="46"/>
    </row>
    <row r="297" customFormat="false" ht="15" hidden="false" customHeight="false" outlineLevel="0" collapsed="false">
      <c r="A297" s="40"/>
      <c r="B297" s="46"/>
      <c r="C297" s="40"/>
      <c r="D297" s="45"/>
      <c r="E297" s="45"/>
      <c r="F297" s="46"/>
      <c r="G297" s="45"/>
      <c r="H297" s="46"/>
      <c r="I297" s="45"/>
      <c r="J297" s="46"/>
      <c r="K297" s="45"/>
      <c r="L297" s="46"/>
      <c r="M297" s="45"/>
      <c r="N297" s="46"/>
      <c r="O297" s="45"/>
      <c r="P297" s="46"/>
      <c r="Q297" s="46"/>
      <c r="R297" s="46"/>
    </row>
    <row r="298" customFormat="false" ht="15" hidden="false" customHeight="false" outlineLevel="0" collapsed="false">
      <c r="A298" s="40"/>
      <c r="B298" s="46"/>
      <c r="C298" s="40"/>
      <c r="D298" s="45"/>
      <c r="E298" s="45"/>
      <c r="F298" s="46"/>
      <c r="G298" s="45"/>
      <c r="H298" s="46"/>
      <c r="I298" s="45"/>
      <c r="J298" s="46"/>
      <c r="K298" s="45"/>
      <c r="L298" s="46"/>
      <c r="M298" s="45"/>
      <c r="N298" s="46"/>
      <c r="O298" s="45"/>
      <c r="P298" s="46"/>
      <c r="Q298" s="46"/>
      <c r="R298" s="46"/>
    </row>
    <row r="299" customFormat="false" ht="15" hidden="false" customHeight="false" outlineLevel="0" collapsed="false">
      <c r="A299" s="40"/>
      <c r="B299" s="46"/>
      <c r="C299" s="40"/>
      <c r="D299" s="45"/>
      <c r="E299" s="45"/>
      <c r="F299" s="46"/>
      <c r="G299" s="45"/>
      <c r="H299" s="46"/>
      <c r="I299" s="45"/>
      <c r="J299" s="46"/>
      <c r="K299" s="45"/>
      <c r="L299" s="46"/>
      <c r="M299" s="45"/>
      <c r="N299" s="46"/>
      <c r="O299" s="45"/>
      <c r="P299" s="46"/>
      <c r="Q299" s="46"/>
      <c r="R299" s="46"/>
    </row>
    <row r="300" customFormat="false" ht="15" hidden="false" customHeight="false" outlineLevel="0" collapsed="false">
      <c r="A300" s="40"/>
      <c r="B300" s="46"/>
      <c r="C300" s="40"/>
      <c r="D300" s="45"/>
      <c r="E300" s="45"/>
      <c r="F300" s="46"/>
      <c r="G300" s="45"/>
      <c r="H300" s="46"/>
      <c r="I300" s="45"/>
      <c r="J300" s="46"/>
      <c r="K300" s="45"/>
      <c r="L300" s="46"/>
      <c r="M300" s="45"/>
      <c r="N300" s="46"/>
      <c r="O300" s="45"/>
      <c r="P300" s="46"/>
      <c r="Q300" s="46"/>
      <c r="R300" s="46"/>
    </row>
    <row r="301" customFormat="false" ht="15" hidden="false" customHeight="false" outlineLevel="0" collapsed="false">
      <c r="A301" s="40"/>
      <c r="B301" s="46"/>
      <c r="C301" s="40"/>
      <c r="D301" s="45"/>
      <c r="E301" s="45"/>
      <c r="F301" s="46"/>
      <c r="G301" s="45"/>
      <c r="H301" s="46"/>
      <c r="I301" s="45"/>
      <c r="J301" s="46"/>
      <c r="K301" s="45"/>
      <c r="L301" s="46"/>
      <c r="M301" s="45"/>
      <c r="N301" s="46"/>
      <c r="O301" s="45"/>
      <c r="P301" s="46"/>
      <c r="Q301" s="46"/>
      <c r="R301" s="46"/>
    </row>
    <row r="302" customFormat="false" ht="15" hidden="false" customHeight="false" outlineLevel="0" collapsed="false">
      <c r="A302" s="40"/>
      <c r="B302" s="46"/>
      <c r="C302" s="40"/>
      <c r="D302" s="45"/>
      <c r="E302" s="45"/>
      <c r="F302" s="46"/>
      <c r="G302" s="45"/>
      <c r="H302" s="46"/>
      <c r="I302" s="45"/>
      <c r="J302" s="46"/>
      <c r="K302" s="45"/>
      <c r="L302" s="46"/>
      <c r="M302" s="45"/>
      <c r="N302" s="46"/>
      <c r="O302" s="45"/>
      <c r="P302" s="46"/>
      <c r="Q302" s="46"/>
      <c r="R302" s="46"/>
    </row>
    <row r="303" customFormat="false" ht="15" hidden="false" customHeight="false" outlineLevel="0" collapsed="false">
      <c r="A303" s="40"/>
      <c r="B303" s="46"/>
      <c r="C303" s="40"/>
      <c r="D303" s="45"/>
      <c r="E303" s="45"/>
      <c r="F303" s="46"/>
      <c r="G303" s="45"/>
      <c r="H303" s="46"/>
      <c r="I303" s="45"/>
      <c r="J303" s="46"/>
      <c r="K303" s="45"/>
      <c r="L303" s="46"/>
      <c r="M303" s="45"/>
      <c r="N303" s="46"/>
      <c r="O303" s="45"/>
      <c r="P303" s="46"/>
      <c r="Q303" s="46"/>
      <c r="R303" s="46"/>
    </row>
    <row r="304" customFormat="false" ht="15" hidden="false" customHeight="false" outlineLevel="0" collapsed="false">
      <c r="A304" s="40"/>
      <c r="B304" s="46"/>
      <c r="C304" s="40"/>
      <c r="D304" s="45"/>
      <c r="E304" s="45"/>
      <c r="F304" s="46"/>
      <c r="G304" s="45"/>
      <c r="H304" s="46"/>
      <c r="I304" s="45"/>
      <c r="J304" s="46"/>
      <c r="K304" s="45"/>
      <c r="L304" s="46"/>
      <c r="M304" s="45"/>
      <c r="N304" s="46"/>
      <c r="O304" s="45"/>
      <c r="P304" s="46"/>
      <c r="Q304" s="46"/>
      <c r="R304" s="46"/>
    </row>
    <row r="305" customFormat="false" ht="15" hidden="false" customHeight="false" outlineLevel="0" collapsed="false">
      <c r="A305" s="40"/>
      <c r="B305" s="46"/>
      <c r="C305" s="40"/>
      <c r="D305" s="45"/>
      <c r="E305" s="45"/>
      <c r="F305" s="46"/>
      <c r="G305" s="45"/>
      <c r="H305" s="46"/>
      <c r="I305" s="45"/>
      <c r="J305" s="46"/>
      <c r="K305" s="45"/>
      <c r="L305" s="46"/>
      <c r="M305" s="45"/>
      <c r="N305" s="46"/>
      <c r="O305" s="45"/>
      <c r="P305" s="46"/>
      <c r="Q305" s="46"/>
      <c r="R305" s="46"/>
    </row>
  </sheetData>
  <autoFilter ref="A5:R305"/>
  <conditionalFormatting sqref="D6:D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conditionalFormatting sqref="E6:E305">
    <cfRule type="cellIs" priority="5" operator="equal" aboveAverage="0" equalAverage="0" bottom="0" percent="0" rank="0" text="" dxfId="8">
      <formula>"Green"</formula>
    </cfRule>
    <cfRule type="cellIs" priority="6" operator="equal" aboveAverage="0" equalAverage="0" bottom="0" percent="0" rank="0" text="" dxfId="9">
      <formula>"Amber"</formula>
    </cfRule>
    <cfRule type="cellIs" priority="7" operator="equal" aboveAverage="0" equalAverage="0" bottom="0" percent="0" rank="0" text="" dxfId="10">
      <formula>"Red"</formula>
    </cfRule>
  </conditionalFormatting>
  <conditionalFormatting sqref="G6:G305">
    <cfRule type="cellIs" priority="8" operator="equal" aboveAverage="0" equalAverage="0" bottom="0" percent="0" rank="0" text="" dxfId="8">
      <formula>"Green"</formula>
    </cfRule>
    <cfRule type="cellIs" priority="9" operator="equal" aboveAverage="0" equalAverage="0" bottom="0" percent="0" rank="0" text="" dxfId="9">
      <formula>"Amber"</formula>
    </cfRule>
    <cfRule type="cellIs" priority="10" operator="equal" aboveAverage="0" equalAverage="0" bottom="0" percent="0" rank="0" text="" dxfId="10">
      <formula>"Red"</formula>
    </cfRule>
  </conditionalFormatting>
  <conditionalFormatting sqref="I6:I305">
    <cfRule type="cellIs" priority="11" operator="equal" aboveAverage="0" equalAverage="0" bottom="0" percent="0" rank="0" text="" dxfId="8">
      <formula>"Green"</formula>
    </cfRule>
    <cfRule type="cellIs" priority="12" operator="equal" aboveAverage="0" equalAverage="0" bottom="0" percent="0" rank="0" text="" dxfId="9">
      <formula>"Amber"</formula>
    </cfRule>
    <cfRule type="cellIs" priority="13" operator="equal" aboveAverage="0" equalAverage="0" bottom="0" percent="0" rank="0" text="" dxfId="10">
      <formula>"Red"</formula>
    </cfRule>
  </conditionalFormatting>
  <conditionalFormatting sqref="K6:K305">
    <cfRule type="cellIs" priority="14" operator="equal" aboveAverage="0" equalAverage="0" bottom="0" percent="0" rank="0" text="" dxfId="8">
      <formula>"Green"</formula>
    </cfRule>
    <cfRule type="cellIs" priority="15" operator="equal" aboveAverage="0" equalAverage="0" bottom="0" percent="0" rank="0" text="" dxfId="9">
      <formula>"Amber"</formula>
    </cfRule>
    <cfRule type="cellIs" priority="16" operator="equal" aboveAverage="0" equalAverage="0" bottom="0" percent="0" rank="0" text="" dxfId="10">
      <formula>"Red"</formula>
    </cfRule>
  </conditionalFormatting>
  <conditionalFormatting sqref="M6:M305">
    <cfRule type="cellIs" priority="17" operator="equal" aboveAverage="0" equalAverage="0" bottom="0" percent="0" rank="0" text="" dxfId="8">
      <formula>"Green"</formula>
    </cfRule>
    <cfRule type="cellIs" priority="18" operator="equal" aboveAverage="0" equalAverage="0" bottom="0" percent="0" rank="0" text="" dxfId="9">
      <formula>"Amber"</formula>
    </cfRule>
    <cfRule type="cellIs" priority="19" operator="equal" aboveAverage="0" equalAverage="0" bottom="0" percent="0" rank="0" text="" dxfId="10">
      <formula>"Red"</formula>
    </cfRule>
  </conditionalFormatting>
  <conditionalFormatting sqref="O6:O305">
    <cfRule type="cellIs" priority="20" operator="equal" aboveAverage="0" equalAverage="0" bottom="0" percent="0" rank="0" text="" dxfId="8">
      <formula>"Green"</formula>
    </cfRule>
    <cfRule type="cellIs" priority="21" operator="equal" aboveAverage="0" equalAverage="0" bottom="0" percent="0" rank="0" text="" dxfId="9">
      <formula>"Amber"</formula>
    </cfRule>
    <cfRule type="cellIs" priority="22" operator="equal" aboveAverage="0" equalAverage="0" bottom="0" percent="0" rank="0" text="" dxfId="10">
      <formula>"Red"</formula>
    </cfRule>
  </conditionalFormatting>
  <dataValidations count="10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D6:D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E6:E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I6:I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K6:K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M6:M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O6:O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5" min="4" style="1" width="50"/>
    <col collapsed="false" customWidth="true" hidden="false" outlineLevel="0" max="6" min="6" style="1" width="60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30"/>
  </cols>
  <sheetData>
    <row r="1" customFormat="false" ht="21.75" hidden="false" customHeight="true" outlineLevel="0" collapsed="false">
      <c r="A1" s="22" t="s">
        <v>466</v>
      </c>
    </row>
    <row r="2" customFormat="false" ht="15" hidden="false" customHeight="true" outlineLevel="0" collapsed="false">
      <c r="A2" s="23" t="s">
        <v>467</v>
      </c>
    </row>
    <row r="3" customFormat="false" ht="15" hidden="false" customHeight="true" outlineLevel="0" collapsed="false">
      <c r="A3" s="35" t="s">
        <v>468</v>
      </c>
    </row>
    <row r="5" customFormat="false" ht="43.5" hidden="false" customHeight="true" outlineLevel="0" collapsed="false">
      <c r="A5" s="39" t="s">
        <v>232</v>
      </c>
      <c r="B5" s="39" t="s">
        <v>84</v>
      </c>
      <c r="C5" s="39" t="s">
        <v>469</v>
      </c>
      <c r="D5" s="39" t="s">
        <v>470</v>
      </c>
      <c r="E5" s="39" t="s">
        <v>471</v>
      </c>
      <c r="F5" s="39" t="s">
        <v>472</v>
      </c>
      <c r="G5" s="39" t="s">
        <v>473</v>
      </c>
      <c r="H5" s="39" t="s">
        <v>474</v>
      </c>
      <c r="I5" s="39" t="s">
        <v>262</v>
      </c>
    </row>
    <row r="6" customFormat="false" ht="42.75" hidden="false" customHeight="true" outlineLevel="0" collapsed="false">
      <c r="A6" s="40" t="n">
        <v>46290</v>
      </c>
      <c r="B6" s="46" t="s">
        <v>475</v>
      </c>
      <c r="C6" s="46" t="s">
        <v>476</v>
      </c>
      <c r="D6" s="46" t="s">
        <v>477</v>
      </c>
      <c r="E6" s="46" t="s">
        <v>478</v>
      </c>
      <c r="F6" s="46" t="s">
        <v>479</v>
      </c>
      <c r="G6" s="45"/>
      <c r="H6" s="46"/>
      <c r="I6" s="46" t="s">
        <v>171</v>
      </c>
    </row>
    <row r="7" customFormat="false" ht="15" hidden="false" customHeight="false" outlineLevel="0" collapsed="false">
      <c r="A7" s="40"/>
      <c r="B7" s="46"/>
      <c r="C7" s="46"/>
      <c r="D7" s="46"/>
      <c r="E7" s="46"/>
      <c r="F7" s="46"/>
      <c r="G7" s="45"/>
      <c r="H7" s="46"/>
      <c r="I7" s="46"/>
    </row>
    <row r="8" customFormat="false" ht="15" hidden="false" customHeight="false" outlineLevel="0" collapsed="false">
      <c r="A8" s="40"/>
      <c r="B8" s="46"/>
      <c r="C8" s="46"/>
      <c r="D8" s="46"/>
      <c r="E8" s="46"/>
      <c r="F8" s="46"/>
      <c r="G8" s="45"/>
      <c r="H8" s="46"/>
      <c r="I8" s="46"/>
    </row>
    <row r="9" customFormat="false" ht="15" hidden="false" customHeight="false" outlineLevel="0" collapsed="false">
      <c r="A9" s="40"/>
      <c r="B9" s="46"/>
      <c r="C9" s="46"/>
      <c r="D9" s="46"/>
      <c r="E9" s="46"/>
      <c r="F9" s="46"/>
      <c r="G9" s="45"/>
      <c r="H9" s="46"/>
      <c r="I9" s="46"/>
    </row>
    <row r="10" customFormat="false" ht="15" hidden="false" customHeight="false" outlineLevel="0" collapsed="false">
      <c r="A10" s="40"/>
      <c r="B10" s="46"/>
      <c r="C10" s="46"/>
      <c r="D10" s="46"/>
      <c r="E10" s="46"/>
      <c r="F10" s="46"/>
      <c r="G10" s="45"/>
      <c r="H10" s="46"/>
      <c r="I10" s="46"/>
    </row>
    <row r="11" customFormat="false" ht="15" hidden="false" customHeight="false" outlineLevel="0" collapsed="false">
      <c r="A11" s="40"/>
      <c r="B11" s="46"/>
      <c r="C11" s="46"/>
      <c r="D11" s="46"/>
      <c r="E11" s="46"/>
      <c r="F11" s="46"/>
      <c r="G11" s="45"/>
      <c r="H11" s="46"/>
      <c r="I11" s="46"/>
    </row>
    <row r="12" customFormat="false" ht="15" hidden="false" customHeight="false" outlineLevel="0" collapsed="false">
      <c r="A12" s="40"/>
      <c r="B12" s="46"/>
      <c r="C12" s="46"/>
      <c r="D12" s="46"/>
      <c r="E12" s="46"/>
      <c r="F12" s="46"/>
      <c r="G12" s="45"/>
      <c r="H12" s="46"/>
      <c r="I12" s="46"/>
    </row>
    <row r="13" customFormat="false" ht="15" hidden="false" customHeight="false" outlineLevel="0" collapsed="false">
      <c r="A13" s="40"/>
      <c r="B13" s="46"/>
      <c r="C13" s="46"/>
      <c r="D13" s="46"/>
      <c r="E13" s="46"/>
      <c r="F13" s="46"/>
      <c r="G13" s="45"/>
      <c r="H13" s="46"/>
      <c r="I13" s="46"/>
    </row>
    <row r="14" customFormat="false" ht="15" hidden="false" customHeight="false" outlineLevel="0" collapsed="false">
      <c r="A14" s="40"/>
      <c r="B14" s="46"/>
      <c r="C14" s="46"/>
      <c r="D14" s="46"/>
      <c r="E14" s="46"/>
      <c r="F14" s="46"/>
      <c r="G14" s="45"/>
      <c r="H14" s="46"/>
      <c r="I14" s="46"/>
    </row>
    <row r="15" customFormat="false" ht="15" hidden="false" customHeight="false" outlineLevel="0" collapsed="false">
      <c r="A15" s="40"/>
      <c r="B15" s="46"/>
      <c r="C15" s="46"/>
      <c r="D15" s="46"/>
      <c r="E15" s="46"/>
      <c r="F15" s="46"/>
      <c r="G15" s="45"/>
      <c r="H15" s="46"/>
      <c r="I15" s="46"/>
    </row>
    <row r="16" customFormat="false" ht="15" hidden="false" customHeight="false" outlineLevel="0" collapsed="false">
      <c r="A16" s="40"/>
      <c r="B16" s="46"/>
      <c r="C16" s="46"/>
      <c r="D16" s="46"/>
      <c r="E16" s="46"/>
      <c r="F16" s="46"/>
      <c r="G16" s="45"/>
      <c r="H16" s="46"/>
      <c r="I16" s="46"/>
    </row>
    <row r="17" customFormat="false" ht="15" hidden="false" customHeight="false" outlineLevel="0" collapsed="false">
      <c r="A17" s="40"/>
      <c r="B17" s="46"/>
      <c r="C17" s="46"/>
      <c r="D17" s="46"/>
      <c r="E17" s="46"/>
      <c r="F17" s="46"/>
      <c r="G17" s="45"/>
      <c r="H17" s="46"/>
      <c r="I17" s="46"/>
    </row>
    <row r="18" customFormat="false" ht="15" hidden="false" customHeight="false" outlineLevel="0" collapsed="false">
      <c r="A18" s="40"/>
      <c r="B18" s="46"/>
      <c r="C18" s="46"/>
      <c r="D18" s="46"/>
      <c r="E18" s="46"/>
      <c r="F18" s="46"/>
      <c r="G18" s="45"/>
      <c r="H18" s="46"/>
      <c r="I18" s="46"/>
    </row>
    <row r="19" customFormat="false" ht="15" hidden="false" customHeight="false" outlineLevel="0" collapsed="false">
      <c r="A19" s="40"/>
      <c r="B19" s="46"/>
      <c r="C19" s="46"/>
      <c r="D19" s="46"/>
      <c r="E19" s="46"/>
      <c r="F19" s="46"/>
      <c r="G19" s="45"/>
      <c r="H19" s="46"/>
      <c r="I19" s="46"/>
    </row>
    <row r="20" customFormat="false" ht="15" hidden="false" customHeight="false" outlineLevel="0" collapsed="false">
      <c r="A20" s="40"/>
      <c r="B20" s="46"/>
      <c r="C20" s="46"/>
      <c r="D20" s="46"/>
      <c r="E20" s="46"/>
      <c r="F20" s="46"/>
      <c r="G20" s="45"/>
      <c r="H20" s="46"/>
      <c r="I20" s="46"/>
    </row>
    <row r="21" customFormat="false" ht="15" hidden="false" customHeight="false" outlineLevel="0" collapsed="false">
      <c r="A21" s="40"/>
      <c r="B21" s="46"/>
      <c r="C21" s="46"/>
      <c r="D21" s="46"/>
      <c r="E21" s="46"/>
      <c r="F21" s="46"/>
      <c r="G21" s="45"/>
      <c r="H21" s="46"/>
      <c r="I21" s="46"/>
    </row>
    <row r="22" customFormat="false" ht="15" hidden="false" customHeight="false" outlineLevel="0" collapsed="false">
      <c r="A22" s="40"/>
      <c r="B22" s="46"/>
      <c r="C22" s="46"/>
      <c r="D22" s="46"/>
      <c r="E22" s="46"/>
      <c r="F22" s="46"/>
      <c r="G22" s="45"/>
      <c r="H22" s="46"/>
      <c r="I22" s="46"/>
    </row>
    <row r="23" customFormat="false" ht="15" hidden="false" customHeight="false" outlineLevel="0" collapsed="false">
      <c r="A23" s="40"/>
      <c r="B23" s="46"/>
      <c r="C23" s="46"/>
      <c r="D23" s="46"/>
      <c r="E23" s="46"/>
      <c r="F23" s="46"/>
      <c r="G23" s="45"/>
      <c r="H23" s="46"/>
      <c r="I23" s="46"/>
    </row>
    <row r="24" customFormat="false" ht="15" hidden="false" customHeight="false" outlineLevel="0" collapsed="false">
      <c r="A24" s="40"/>
      <c r="B24" s="46"/>
      <c r="C24" s="46"/>
      <c r="D24" s="46"/>
      <c r="E24" s="46"/>
      <c r="F24" s="46"/>
      <c r="G24" s="45"/>
      <c r="H24" s="46"/>
      <c r="I24" s="46"/>
    </row>
    <row r="25" customFormat="false" ht="15" hidden="false" customHeight="false" outlineLevel="0" collapsed="false">
      <c r="A25" s="40"/>
      <c r="B25" s="46"/>
      <c r="C25" s="46"/>
      <c r="D25" s="46"/>
      <c r="E25" s="46"/>
      <c r="F25" s="46"/>
      <c r="G25" s="45"/>
      <c r="H25" s="46"/>
      <c r="I25" s="46"/>
    </row>
    <row r="26" customFormat="false" ht="15" hidden="false" customHeight="false" outlineLevel="0" collapsed="false">
      <c r="A26" s="40"/>
      <c r="B26" s="46"/>
      <c r="C26" s="46"/>
      <c r="D26" s="46"/>
      <c r="E26" s="46"/>
      <c r="F26" s="46"/>
      <c r="G26" s="45"/>
      <c r="H26" s="46"/>
      <c r="I26" s="46"/>
    </row>
    <row r="27" customFormat="false" ht="15" hidden="false" customHeight="false" outlineLevel="0" collapsed="false">
      <c r="A27" s="40"/>
      <c r="B27" s="46"/>
      <c r="C27" s="46"/>
      <c r="D27" s="46"/>
      <c r="E27" s="46"/>
      <c r="F27" s="46"/>
      <c r="G27" s="45"/>
      <c r="H27" s="46"/>
      <c r="I27" s="46"/>
    </row>
    <row r="28" customFormat="false" ht="15" hidden="false" customHeight="false" outlineLevel="0" collapsed="false">
      <c r="A28" s="40"/>
      <c r="B28" s="46"/>
      <c r="C28" s="46"/>
      <c r="D28" s="46"/>
      <c r="E28" s="46"/>
      <c r="F28" s="46"/>
      <c r="G28" s="45"/>
      <c r="H28" s="46"/>
      <c r="I28" s="46"/>
    </row>
    <row r="29" customFormat="false" ht="15" hidden="false" customHeight="false" outlineLevel="0" collapsed="false">
      <c r="A29" s="40"/>
      <c r="B29" s="46"/>
      <c r="C29" s="46"/>
      <c r="D29" s="46"/>
      <c r="E29" s="46"/>
      <c r="F29" s="46"/>
      <c r="G29" s="45"/>
      <c r="H29" s="46"/>
      <c r="I29" s="46"/>
    </row>
    <row r="30" customFormat="false" ht="15" hidden="false" customHeight="false" outlineLevel="0" collapsed="false">
      <c r="A30" s="40"/>
      <c r="B30" s="46"/>
      <c r="C30" s="46"/>
      <c r="D30" s="46"/>
      <c r="E30" s="46"/>
      <c r="F30" s="46"/>
      <c r="G30" s="45"/>
      <c r="H30" s="46"/>
      <c r="I30" s="46"/>
    </row>
    <row r="31" customFormat="false" ht="15" hidden="false" customHeight="false" outlineLevel="0" collapsed="false">
      <c r="A31" s="40"/>
      <c r="B31" s="46"/>
      <c r="C31" s="46"/>
      <c r="D31" s="46"/>
      <c r="E31" s="46"/>
      <c r="F31" s="46"/>
      <c r="G31" s="45"/>
      <c r="H31" s="46"/>
      <c r="I31" s="46"/>
    </row>
    <row r="32" customFormat="false" ht="15" hidden="false" customHeight="false" outlineLevel="0" collapsed="false">
      <c r="A32" s="40"/>
      <c r="B32" s="46"/>
      <c r="C32" s="46"/>
      <c r="D32" s="46"/>
      <c r="E32" s="46"/>
      <c r="F32" s="46"/>
      <c r="G32" s="45"/>
      <c r="H32" s="46"/>
      <c r="I32" s="46"/>
    </row>
    <row r="33" customFormat="false" ht="15" hidden="false" customHeight="false" outlineLevel="0" collapsed="false">
      <c r="A33" s="40"/>
      <c r="B33" s="46"/>
      <c r="C33" s="46"/>
      <c r="D33" s="46"/>
      <c r="E33" s="46"/>
      <c r="F33" s="46"/>
      <c r="G33" s="45"/>
      <c r="H33" s="46"/>
      <c r="I33" s="46"/>
    </row>
    <row r="34" customFormat="false" ht="15" hidden="false" customHeight="false" outlineLevel="0" collapsed="false">
      <c r="A34" s="40"/>
      <c r="B34" s="46"/>
      <c r="C34" s="46"/>
      <c r="D34" s="46"/>
      <c r="E34" s="46"/>
      <c r="F34" s="46"/>
      <c r="G34" s="45"/>
      <c r="H34" s="46"/>
      <c r="I34" s="46"/>
    </row>
    <row r="35" customFormat="false" ht="15" hidden="false" customHeight="false" outlineLevel="0" collapsed="false">
      <c r="A35" s="40"/>
      <c r="B35" s="46"/>
      <c r="C35" s="46"/>
      <c r="D35" s="46"/>
      <c r="E35" s="46"/>
      <c r="F35" s="46"/>
      <c r="G35" s="45"/>
      <c r="H35" s="46"/>
      <c r="I35" s="46"/>
    </row>
    <row r="36" customFormat="false" ht="15" hidden="false" customHeight="false" outlineLevel="0" collapsed="false">
      <c r="A36" s="40"/>
      <c r="B36" s="46"/>
      <c r="C36" s="46"/>
      <c r="D36" s="46"/>
      <c r="E36" s="46"/>
      <c r="F36" s="46"/>
      <c r="G36" s="45"/>
      <c r="H36" s="46"/>
      <c r="I36" s="46"/>
    </row>
    <row r="37" customFormat="false" ht="15" hidden="false" customHeight="false" outlineLevel="0" collapsed="false">
      <c r="A37" s="40"/>
      <c r="B37" s="46"/>
      <c r="C37" s="46"/>
      <c r="D37" s="46"/>
      <c r="E37" s="46"/>
      <c r="F37" s="46"/>
      <c r="G37" s="45"/>
      <c r="H37" s="46"/>
      <c r="I37" s="46"/>
    </row>
    <row r="38" customFormat="false" ht="15" hidden="false" customHeight="false" outlineLevel="0" collapsed="false">
      <c r="A38" s="40"/>
      <c r="B38" s="46"/>
      <c r="C38" s="46"/>
      <c r="D38" s="46"/>
      <c r="E38" s="46"/>
      <c r="F38" s="46"/>
      <c r="G38" s="45"/>
      <c r="H38" s="46"/>
      <c r="I38" s="46"/>
    </row>
    <row r="39" customFormat="false" ht="15" hidden="false" customHeight="false" outlineLevel="0" collapsed="false">
      <c r="A39" s="40"/>
      <c r="B39" s="46"/>
      <c r="C39" s="46"/>
      <c r="D39" s="46"/>
      <c r="E39" s="46"/>
      <c r="F39" s="46"/>
      <c r="G39" s="45"/>
      <c r="H39" s="46"/>
      <c r="I39" s="46"/>
    </row>
    <row r="40" customFormat="false" ht="15" hidden="false" customHeight="false" outlineLevel="0" collapsed="false">
      <c r="A40" s="40"/>
      <c r="B40" s="46"/>
      <c r="C40" s="46"/>
      <c r="D40" s="46"/>
      <c r="E40" s="46"/>
      <c r="F40" s="46"/>
      <c r="G40" s="45"/>
      <c r="H40" s="46"/>
      <c r="I40" s="46"/>
    </row>
    <row r="41" customFormat="false" ht="15" hidden="false" customHeight="false" outlineLevel="0" collapsed="false">
      <c r="A41" s="40"/>
      <c r="B41" s="46"/>
      <c r="C41" s="46"/>
      <c r="D41" s="46"/>
      <c r="E41" s="46"/>
      <c r="F41" s="46"/>
      <c r="G41" s="45"/>
      <c r="H41" s="46"/>
      <c r="I41" s="46"/>
    </row>
    <row r="42" customFormat="false" ht="15" hidden="false" customHeight="false" outlineLevel="0" collapsed="false">
      <c r="A42" s="40"/>
      <c r="B42" s="46"/>
      <c r="C42" s="46"/>
      <c r="D42" s="46"/>
      <c r="E42" s="46"/>
      <c r="F42" s="46"/>
      <c r="G42" s="45"/>
      <c r="H42" s="46"/>
      <c r="I42" s="46"/>
    </row>
    <row r="43" customFormat="false" ht="15" hidden="false" customHeight="false" outlineLevel="0" collapsed="false">
      <c r="A43" s="40"/>
      <c r="B43" s="46"/>
      <c r="C43" s="46"/>
      <c r="D43" s="46"/>
      <c r="E43" s="46"/>
      <c r="F43" s="46"/>
      <c r="G43" s="45"/>
      <c r="H43" s="46"/>
      <c r="I43" s="46"/>
    </row>
    <row r="44" customFormat="false" ht="15" hidden="false" customHeight="false" outlineLevel="0" collapsed="false">
      <c r="A44" s="40"/>
      <c r="B44" s="46"/>
      <c r="C44" s="46"/>
      <c r="D44" s="46"/>
      <c r="E44" s="46"/>
      <c r="F44" s="46"/>
      <c r="G44" s="45"/>
      <c r="H44" s="46"/>
      <c r="I44" s="46"/>
    </row>
    <row r="45" customFormat="false" ht="15" hidden="false" customHeight="false" outlineLevel="0" collapsed="false">
      <c r="A45" s="40"/>
      <c r="B45" s="46"/>
      <c r="C45" s="46"/>
      <c r="D45" s="46"/>
      <c r="E45" s="46"/>
      <c r="F45" s="46"/>
      <c r="G45" s="45"/>
      <c r="H45" s="46"/>
      <c r="I45" s="46"/>
    </row>
    <row r="46" customFormat="false" ht="15" hidden="false" customHeight="false" outlineLevel="0" collapsed="false">
      <c r="A46" s="40"/>
      <c r="B46" s="46"/>
      <c r="C46" s="46"/>
      <c r="D46" s="46"/>
      <c r="E46" s="46"/>
      <c r="F46" s="46"/>
      <c r="G46" s="45"/>
      <c r="H46" s="46"/>
      <c r="I46" s="46"/>
    </row>
    <row r="47" customFormat="false" ht="15" hidden="false" customHeight="false" outlineLevel="0" collapsed="false">
      <c r="A47" s="40"/>
      <c r="B47" s="46"/>
      <c r="C47" s="46"/>
      <c r="D47" s="46"/>
      <c r="E47" s="46"/>
      <c r="F47" s="46"/>
      <c r="G47" s="45"/>
      <c r="H47" s="46"/>
      <c r="I47" s="46"/>
    </row>
    <row r="48" customFormat="false" ht="15" hidden="false" customHeight="false" outlineLevel="0" collapsed="false">
      <c r="A48" s="40"/>
      <c r="B48" s="46"/>
      <c r="C48" s="46"/>
      <c r="D48" s="46"/>
      <c r="E48" s="46"/>
      <c r="F48" s="46"/>
      <c r="G48" s="45"/>
      <c r="H48" s="46"/>
      <c r="I48" s="46"/>
    </row>
    <row r="49" customFormat="false" ht="15" hidden="false" customHeight="false" outlineLevel="0" collapsed="false">
      <c r="A49" s="40"/>
      <c r="B49" s="46"/>
      <c r="C49" s="46"/>
      <c r="D49" s="46"/>
      <c r="E49" s="46"/>
      <c r="F49" s="46"/>
      <c r="G49" s="45"/>
      <c r="H49" s="46"/>
      <c r="I49" s="46"/>
    </row>
    <row r="50" customFormat="false" ht="15" hidden="false" customHeight="false" outlineLevel="0" collapsed="false">
      <c r="A50" s="40"/>
      <c r="B50" s="46"/>
      <c r="C50" s="46"/>
      <c r="D50" s="46"/>
      <c r="E50" s="46"/>
      <c r="F50" s="46"/>
      <c r="G50" s="45"/>
      <c r="H50" s="46"/>
      <c r="I50" s="46"/>
    </row>
    <row r="51" customFormat="false" ht="15" hidden="false" customHeight="false" outlineLevel="0" collapsed="false">
      <c r="A51" s="40"/>
      <c r="B51" s="46"/>
      <c r="C51" s="46"/>
      <c r="D51" s="46"/>
      <c r="E51" s="46"/>
      <c r="F51" s="46"/>
      <c r="G51" s="45"/>
      <c r="H51" s="46"/>
      <c r="I51" s="46"/>
    </row>
    <row r="52" customFormat="false" ht="15" hidden="false" customHeight="false" outlineLevel="0" collapsed="false">
      <c r="A52" s="40"/>
      <c r="B52" s="46"/>
      <c r="C52" s="46"/>
      <c r="D52" s="46"/>
      <c r="E52" s="46"/>
      <c r="F52" s="46"/>
      <c r="G52" s="45"/>
      <c r="H52" s="46"/>
      <c r="I52" s="46"/>
    </row>
    <row r="53" customFormat="false" ht="15" hidden="false" customHeight="false" outlineLevel="0" collapsed="false">
      <c r="A53" s="40"/>
      <c r="B53" s="46"/>
      <c r="C53" s="46"/>
      <c r="D53" s="46"/>
      <c r="E53" s="46"/>
      <c r="F53" s="46"/>
      <c r="G53" s="45"/>
      <c r="H53" s="46"/>
      <c r="I53" s="46"/>
    </row>
    <row r="54" customFormat="false" ht="15" hidden="false" customHeight="false" outlineLevel="0" collapsed="false">
      <c r="A54" s="40"/>
      <c r="B54" s="46"/>
      <c r="C54" s="46"/>
      <c r="D54" s="46"/>
      <c r="E54" s="46"/>
      <c r="F54" s="46"/>
      <c r="G54" s="45"/>
      <c r="H54" s="46"/>
      <c r="I54" s="46"/>
    </row>
    <row r="55" customFormat="false" ht="15" hidden="false" customHeight="false" outlineLevel="0" collapsed="false">
      <c r="A55" s="40"/>
      <c r="B55" s="46"/>
      <c r="C55" s="46"/>
      <c r="D55" s="46"/>
      <c r="E55" s="46"/>
      <c r="F55" s="46"/>
      <c r="G55" s="45"/>
      <c r="H55" s="46"/>
      <c r="I55" s="46"/>
    </row>
    <row r="56" customFormat="false" ht="15" hidden="false" customHeight="false" outlineLevel="0" collapsed="false">
      <c r="A56" s="40"/>
      <c r="B56" s="46"/>
      <c r="C56" s="46"/>
      <c r="D56" s="46"/>
      <c r="E56" s="46"/>
      <c r="F56" s="46"/>
      <c r="G56" s="45"/>
      <c r="H56" s="46"/>
      <c r="I56" s="46"/>
    </row>
    <row r="57" customFormat="false" ht="15" hidden="false" customHeight="false" outlineLevel="0" collapsed="false">
      <c r="A57" s="40"/>
      <c r="B57" s="46"/>
      <c r="C57" s="46"/>
      <c r="D57" s="46"/>
      <c r="E57" s="46"/>
      <c r="F57" s="46"/>
      <c r="G57" s="45"/>
      <c r="H57" s="46"/>
      <c r="I57" s="46"/>
    </row>
    <row r="58" customFormat="false" ht="15" hidden="false" customHeight="false" outlineLevel="0" collapsed="false">
      <c r="A58" s="40"/>
      <c r="B58" s="46"/>
      <c r="C58" s="46"/>
      <c r="D58" s="46"/>
      <c r="E58" s="46"/>
      <c r="F58" s="46"/>
      <c r="G58" s="45"/>
      <c r="H58" s="46"/>
      <c r="I58" s="46"/>
    </row>
    <row r="59" customFormat="false" ht="15" hidden="false" customHeight="false" outlineLevel="0" collapsed="false">
      <c r="A59" s="40"/>
      <c r="B59" s="46"/>
      <c r="C59" s="46"/>
      <c r="D59" s="46"/>
      <c r="E59" s="46"/>
      <c r="F59" s="46"/>
      <c r="G59" s="45"/>
      <c r="H59" s="46"/>
      <c r="I59" s="46"/>
    </row>
    <row r="60" customFormat="false" ht="15" hidden="false" customHeight="false" outlineLevel="0" collapsed="false">
      <c r="A60" s="40"/>
      <c r="B60" s="46"/>
      <c r="C60" s="46"/>
      <c r="D60" s="46"/>
      <c r="E60" s="46"/>
      <c r="F60" s="46"/>
      <c r="G60" s="45"/>
      <c r="H60" s="46"/>
      <c r="I60" s="46"/>
    </row>
    <row r="61" customFormat="false" ht="15" hidden="false" customHeight="false" outlineLevel="0" collapsed="false">
      <c r="A61" s="40"/>
      <c r="B61" s="46"/>
      <c r="C61" s="46"/>
      <c r="D61" s="46"/>
      <c r="E61" s="46"/>
      <c r="F61" s="46"/>
      <c r="G61" s="45"/>
      <c r="H61" s="46"/>
      <c r="I61" s="46"/>
    </row>
    <row r="62" customFormat="false" ht="15" hidden="false" customHeight="false" outlineLevel="0" collapsed="false">
      <c r="A62" s="40"/>
      <c r="B62" s="46"/>
      <c r="C62" s="46"/>
      <c r="D62" s="46"/>
      <c r="E62" s="46"/>
      <c r="F62" s="46"/>
      <c r="G62" s="45"/>
      <c r="H62" s="46"/>
      <c r="I62" s="46"/>
    </row>
    <row r="63" customFormat="false" ht="15" hidden="false" customHeight="false" outlineLevel="0" collapsed="false">
      <c r="A63" s="40"/>
      <c r="B63" s="46"/>
      <c r="C63" s="46"/>
      <c r="D63" s="46"/>
      <c r="E63" s="46"/>
      <c r="F63" s="46"/>
      <c r="G63" s="45"/>
      <c r="H63" s="46"/>
      <c r="I63" s="46"/>
    </row>
    <row r="64" customFormat="false" ht="15" hidden="false" customHeight="false" outlineLevel="0" collapsed="false">
      <c r="A64" s="40"/>
      <c r="B64" s="46"/>
      <c r="C64" s="46"/>
      <c r="D64" s="46"/>
      <c r="E64" s="46"/>
      <c r="F64" s="46"/>
      <c r="G64" s="45"/>
      <c r="H64" s="46"/>
      <c r="I64" s="46"/>
    </row>
    <row r="65" customFormat="false" ht="15" hidden="false" customHeight="false" outlineLevel="0" collapsed="false">
      <c r="A65" s="40"/>
      <c r="B65" s="46"/>
      <c r="C65" s="46"/>
      <c r="D65" s="46"/>
      <c r="E65" s="46"/>
      <c r="F65" s="46"/>
      <c r="G65" s="45"/>
      <c r="H65" s="46"/>
      <c r="I65" s="46"/>
    </row>
    <row r="66" customFormat="false" ht="15" hidden="false" customHeight="false" outlineLevel="0" collapsed="false">
      <c r="A66" s="40"/>
      <c r="B66" s="46"/>
      <c r="C66" s="46"/>
      <c r="D66" s="46"/>
      <c r="E66" s="46"/>
      <c r="F66" s="46"/>
      <c r="G66" s="45"/>
      <c r="H66" s="46"/>
      <c r="I66" s="46"/>
    </row>
    <row r="67" customFormat="false" ht="15" hidden="false" customHeight="false" outlineLevel="0" collapsed="false">
      <c r="A67" s="40"/>
      <c r="B67" s="46"/>
      <c r="C67" s="46"/>
      <c r="D67" s="46"/>
      <c r="E67" s="46"/>
      <c r="F67" s="46"/>
      <c r="G67" s="45"/>
      <c r="H67" s="46"/>
      <c r="I67" s="46"/>
    </row>
    <row r="68" customFormat="false" ht="15" hidden="false" customHeight="false" outlineLevel="0" collapsed="false">
      <c r="A68" s="40"/>
      <c r="B68" s="46"/>
      <c r="C68" s="46"/>
      <c r="D68" s="46"/>
      <c r="E68" s="46"/>
      <c r="F68" s="46"/>
      <c r="G68" s="45"/>
      <c r="H68" s="46"/>
      <c r="I68" s="46"/>
    </row>
    <row r="69" customFormat="false" ht="15" hidden="false" customHeight="false" outlineLevel="0" collapsed="false">
      <c r="A69" s="40"/>
      <c r="B69" s="46"/>
      <c r="C69" s="46"/>
      <c r="D69" s="46"/>
      <c r="E69" s="46"/>
      <c r="F69" s="46"/>
      <c r="G69" s="45"/>
      <c r="H69" s="46"/>
      <c r="I69" s="46"/>
    </row>
    <row r="70" customFormat="false" ht="15" hidden="false" customHeight="false" outlineLevel="0" collapsed="false">
      <c r="A70" s="40"/>
      <c r="B70" s="46"/>
      <c r="C70" s="46"/>
      <c r="D70" s="46"/>
      <c r="E70" s="46"/>
      <c r="F70" s="46"/>
      <c r="G70" s="45"/>
      <c r="H70" s="46"/>
      <c r="I70" s="46"/>
    </row>
    <row r="71" customFormat="false" ht="15" hidden="false" customHeight="false" outlineLevel="0" collapsed="false">
      <c r="A71" s="40"/>
      <c r="B71" s="46"/>
      <c r="C71" s="46"/>
      <c r="D71" s="46"/>
      <c r="E71" s="46"/>
      <c r="F71" s="46"/>
      <c r="G71" s="45"/>
      <c r="H71" s="46"/>
      <c r="I71" s="46"/>
    </row>
    <row r="72" customFormat="false" ht="15" hidden="false" customHeight="false" outlineLevel="0" collapsed="false">
      <c r="A72" s="40"/>
      <c r="B72" s="46"/>
      <c r="C72" s="46"/>
      <c r="D72" s="46"/>
      <c r="E72" s="46"/>
      <c r="F72" s="46"/>
      <c r="G72" s="45"/>
      <c r="H72" s="46"/>
      <c r="I72" s="46"/>
    </row>
    <row r="73" customFormat="false" ht="15" hidden="false" customHeight="false" outlineLevel="0" collapsed="false">
      <c r="A73" s="40"/>
      <c r="B73" s="46"/>
      <c r="C73" s="46"/>
      <c r="D73" s="46"/>
      <c r="E73" s="46"/>
      <c r="F73" s="46"/>
      <c r="G73" s="45"/>
      <c r="H73" s="46"/>
      <c r="I73" s="46"/>
    </row>
    <row r="74" customFormat="false" ht="15" hidden="false" customHeight="false" outlineLevel="0" collapsed="false">
      <c r="A74" s="40"/>
      <c r="B74" s="46"/>
      <c r="C74" s="46"/>
      <c r="D74" s="46"/>
      <c r="E74" s="46"/>
      <c r="F74" s="46"/>
      <c r="G74" s="45"/>
      <c r="H74" s="46"/>
      <c r="I74" s="46"/>
    </row>
    <row r="75" customFormat="false" ht="15" hidden="false" customHeight="false" outlineLevel="0" collapsed="false">
      <c r="A75" s="40"/>
      <c r="B75" s="46"/>
      <c r="C75" s="46"/>
      <c r="D75" s="46"/>
      <c r="E75" s="46"/>
      <c r="F75" s="46"/>
      <c r="G75" s="45"/>
      <c r="H75" s="46"/>
      <c r="I75" s="46"/>
    </row>
    <row r="76" customFormat="false" ht="15" hidden="false" customHeight="false" outlineLevel="0" collapsed="false">
      <c r="A76" s="40"/>
      <c r="B76" s="46"/>
      <c r="C76" s="46"/>
      <c r="D76" s="46"/>
      <c r="E76" s="46"/>
      <c r="F76" s="46"/>
      <c r="G76" s="45"/>
      <c r="H76" s="46"/>
      <c r="I76" s="46"/>
    </row>
    <row r="77" customFormat="false" ht="15" hidden="false" customHeight="false" outlineLevel="0" collapsed="false">
      <c r="A77" s="40"/>
      <c r="B77" s="46"/>
      <c r="C77" s="46"/>
      <c r="D77" s="46"/>
      <c r="E77" s="46"/>
      <c r="F77" s="46"/>
      <c r="G77" s="45"/>
      <c r="H77" s="46"/>
      <c r="I77" s="46"/>
    </row>
    <row r="78" customFormat="false" ht="15" hidden="false" customHeight="false" outlineLevel="0" collapsed="false">
      <c r="A78" s="40"/>
      <c r="B78" s="46"/>
      <c r="C78" s="46"/>
      <c r="D78" s="46"/>
      <c r="E78" s="46"/>
      <c r="F78" s="46"/>
      <c r="G78" s="45"/>
      <c r="H78" s="46"/>
      <c r="I78" s="46"/>
    </row>
    <row r="79" customFormat="false" ht="15" hidden="false" customHeight="false" outlineLevel="0" collapsed="false">
      <c r="A79" s="40"/>
      <c r="B79" s="46"/>
      <c r="C79" s="46"/>
      <c r="D79" s="46"/>
      <c r="E79" s="46"/>
      <c r="F79" s="46"/>
      <c r="G79" s="45"/>
      <c r="H79" s="46"/>
      <c r="I79" s="46"/>
    </row>
    <row r="80" customFormat="false" ht="15" hidden="false" customHeight="false" outlineLevel="0" collapsed="false">
      <c r="A80" s="40"/>
      <c r="B80" s="46"/>
      <c r="C80" s="46"/>
      <c r="D80" s="46"/>
      <c r="E80" s="46"/>
      <c r="F80" s="46"/>
      <c r="G80" s="45"/>
      <c r="H80" s="46"/>
      <c r="I80" s="46"/>
    </row>
    <row r="81" customFormat="false" ht="15" hidden="false" customHeight="false" outlineLevel="0" collapsed="false">
      <c r="A81" s="40"/>
      <c r="B81" s="46"/>
      <c r="C81" s="46"/>
      <c r="D81" s="46"/>
      <c r="E81" s="46"/>
      <c r="F81" s="46"/>
      <c r="G81" s="45"/>
      <c r="H81" s="46"/>
      <c r="I81" s="46"/>
    </row>
    <row r="82" customFormat="false" ht="15" hidden="false" customHeight="false" outlineLevel="0" collapsed="false">
      <c r="A82" s="40"/>
      <c r="B82" s="46"/>
      <c r="C82" s="46"/>
      <c r="D82" s="46"/>
      <c r="E82" s="46"/>
      <c r="F82" s="46"/>
      <c r="G82" s="45"/>
      <c r="H82" s="46"/>
      <c r="I82" s="46"/>
    </row>
    <row r="83" customFormat="false" ht="15" hidden="false" customHeight="false" outlineLevel="0" collapsed="false">
      <c r="A83" s="40"/>
      <c r="B83" s="46"/>
      <c r="C83" s="46"/>
      <c r="D83" s="46"/>
      <c r="E83" s="46"/>
      <c r="F83" s="46"/>
      <c r="G83" s="45"/>
      <c r="H83" s="46"/>
      <c r="I83" s="46"/>
    </row>
    <row r="84" customFormat="false" ht="15" hidden="false" customHeight="false" outlineLevel="0" collapsed="false">
      <c r="A84" s="40"/>
      <c r="B84" s="46"/>
      <c r="C84" s="46"/>
      <c r="D84" s="46"/>
      <c r="E84" s="46"/>
      <c r="F84" s="46"/>
      <c r="G84" s="45"/>
      <c r="H84" s="46"/>
      <c r="I84" s="46"/>
    </row>
    <row r="85" customFormat="false" ht="15" hidden="false" customHeight="false" outlineLevel="0" collapsed="false">
      <c r="A85" s="40"/>
      <c r="B85" s="46"/>
      <c r="C85" s="46"/>
      <c r="D85" s="46"/>
      <c r="E85" s="46"/>
      <c r="F85" s="46"/>
      <c r="G85" s="45"/>
      <c r="H85" s="46"/>
      <c r="I85" s="46"/>
    </row>
    <row r="86" customFormat="false" ht="15" hidden="false" customHeight="false" outlineLevel="0" collapsed="false">
      <c r="A86" s="40"/>
      <c r="B86" s="46"/>
      <c r="C86" s="46"/>
      <c r="D86" s="46"/>
      <c r="E86" s="46"/>
      <c r="F86" s="46"/>
      <c r="G86" s="45"/>
      <c r="H86" s="46"/>
      <c r="I86" s="46"/>
    </row>
    <row r="87" customFormat="false" ht="15" hidden="false" customHeight="false" outlineLevel="0" collapsed="false">
      <c r="A87" s="40"/>
      <c r="B87" s="46"/>
      <c r="C87" s="46"/>
      <c r="D87" s="46"/>
      <c r="E87" s="46"/>
      <c r="F87" s="46"/>
      <c r="G87" s="45"/>
      <c r="H87" s="46"/>
      <c r="I87" s="46"/>
    </row>
    <row r="88" customFormat="false" ht="15" hidden="false" customHeight="false" outlineLevel="0" collapsed="false">
      <c r="A88" s="40"/>
      <c r="B88" s="46"/>
      <c r="C88" s="46"/>
      <c r="D88" s="46"/>
      <c r="E88" s="46"/>
      <c r="F88" s="46"/>
      <c r="G88" s="45"/>
      <c r="H88" s="46"/>
      <c r="I88" s="46"/>
    </row>
    <row r="89" customFormat="false" ht="15" hidden="false" customHeight="false" outlineLevel="0" collapsed="false">
      <c r="A89" s="40"/>
      <c r="B89" s="46"/>
      <c r="C89" s="46"/>
      <c r="D89" s="46"/>
      <c r="E89" s="46"/>
      <c r="F89" s="46"/>
      <c r="G89" s="45"/>
      <c r="H89" s="46"/>
      <c r="I89" s="46"/>
    </row>
    <row r="90" customFormat="false" ht="15" hidden="false" customHeight="false" outlineLevel="0" collapsed="false">
      <c r="A90" s="40"/>
      <c r="B90" s="46"/>
      <c r="C90" s="46"/>
      <c r="D90" s="46"/>
      <c r="E90" s="46"/>
      <c r="F90" s="46"/>
      <c r="G90" s="45"/>
      <c r="H90" s="46"/>
      <c r="I90" s="46"/>
    </row>
    <row r="91" customFormat="false" ht="15" hidden="false" customHeight="false" outlineLevel="0" collapsed="false">
      <c r="A91" s="40"/>
      <c r="B91" s="46"/>
      <c r="C91" s="46"/>
      <c r="D91" s="46"/>
      <c r="E91" s="46"/>
      <c r="F91" s="46"/>
      <c r="G91" s="45"/>
      <c r="H91" s="46"/>
      <c r="I91" s="46"/>
    </row>
    <row r="92" customFormat="false" ht="15" hidden="false" customHeight="false" outlineLevel="0" collapsed="false">
      <c r="A92" s="40"/>
      <c r="B92" s="46"/>
      <c r="C92" s="46"/>
      <c r="D92" s="46"/>
      <c r="E92" s="46"/>
      <c r="F92" s="46"/>
      <c r="G92" s="45"/>
      <c r="H92" s="46"/>
      <c r="I92" s="46"/>
    </row>
    <row r="93" customFormat="false" ht="15" hidden="false" customHeight="false" outlineLevel="0" collapsed="false">
      <c r="A93" s="40"/>
      <c r="B93" s="46"/>
      <c r="C93" s="46"/>
      <c r="D93" s="46"/>
      <c r="E93" s="46"/>
      <c r="F93" s="46"/>
      <c r="G93" s="45"/>
      <c r="H93" s="46"/>
      <c r="I93" s="46"/>
    </row>
    <row r="94" customFormat="false" ht="15" hidden="false" customHeight="false" outlineLevel="0" collapsed="false">
      <c r="A94" s="40"/>
      <c r="B94" s="46"/>
      <c r="C94" s="46"/>
      <c r="D94" s="46"/>
      <c r="E94" s="46"/>
      <c r="F94" s="46"/>
      <c r="G94" s="45"/>
      <c r="H94" s="46"/>
      <c r="I94" s="46"/>
    </row>
    <row r="95" customFormat="false" ht="15" hidden="false" customHeight="false" outlineLevel="0" collapsed="false">
      <c r="A95" s="40"/>
      <c r="B95" s="46"/>
      <c r="C95" s="46"/>
      <c r="D95" s="46"/>
      <c r="E95" s="46"/>
      <c r="F95" s="46"/>
      <c r="G95" s="45"/>
      <c r="H95" s="46"/>
      <c r="I95" s="46"/>
    </row>
    <row r="96" customFormat="false" ht="15" hidden="false" customHeight="false" outlineLevel="0" collapsed="false">
      <c r="A96" s="40"/>
      <c r="B96" s="46"/>
      <c r="C96" s="46"/>
      <c r="D96" s="46"/>
      <c r="E96" s="46"/>
      <c r="F96" s="46"/>
      <c r="G96" s="45"/>
      <c r="H96" s="46"/>
      <c r="I96" s="46"/>
    </row>
    <row r="97" customFormat="false" ht="15" hidden="false" customHeight="false" outlineLevel="0" collapsed="false">
      <c r="A97" s="40"/>
      <c r="B97" s="46"/>
      <c r="C97" s="46"/>
      <c r="D97" s="46"/>
      <c r="E97" s="46"/>
      <c r="F97" s="46"/>
      <c r="G97" s="45"/>
      <c r="H97" s="46"/>
      <c r="I97" s="46"/>
    </row>
    <row r="98" customFormat="false" ht="15" hidden="false" customHeight="false" outlineLevel="0" collapsed="false">
      <c r="A98" s="40"/>
      <c r="B98" s="46"/>
      <c r="C98" s="46"/>
      <c r="D98" s="46"/>
      <c r="E98" s="46"/>
      <c r="F98" s="46"/>
      <c r="G98" s="45"/>
      <c r="H98" s="46"/>
      <c r="I98" s="46"/>
    </row>
    <row r="99" customFormat="false" ht="15" hidden="false" customHeight="false" outlineLevel="0" collapsed="false">
      <c r="A99" s="40"/>
      <c r="B99" s="46"/>
      <c r="C99" s="46"/>
      <c r="D99" s="46"/>
      <c r="E99" s="46"/>
      <c r="F99" s="46"/>
      <c r="G99" s="45"/>
      <c r="H99" s="46"/>
      <c r="I99" s="46"/>
    </row>
    <row r="100" customFormat="false" ht="15" hidden="false" customHeight="false" outlineLevel="0" collapsed="false">
      <c r="A100" s="40"/>
      <c r="B100" s="46"/>
      <c r="C100" s="46"/>
      <c r="D100" s="46"/>
      <c r="E100" s="46"/>
      <c r="F100" s="46"/>
      <c r="G100" s="45"/>
      <c r="H100" s="46"/>
      <c r="I100" s="46"/>
    </row>
    <row r="101" customFormat="false" ht="15" hidden="false" customHeight="false" outlineLevel="0" collapsed="false">
      <c r="A101" s="40"/>
      <c r="B101" s="46"/>
      <c r="C101" s="46"/>
      <c r="D101" s="46"/>
      <c r="E101" s="46"/>
      <c r="F101" s="46"/>
      <c r="G101" s="45"/>
      <c r="H101" s="46"/>
      <c r="I101" s="46"/>
    </row>
    <row r="102" customFormat="false" ht="15" hidden="false" customHeight="false" outlineLevel="0" collapsed="false">
      <c r="A102" s="40"/>
      <c r="B102" s="46"/>
      <c r="C102" s="46"/>
      <c r="D102" s="46"/>
      <c r="E102" s="46"/>
      <c r="F102" s="46"/>
      <c r="G102" s="45"/>
      <c r="H102" s="46"/>
      <c r="I102" s="46"/>
    </row>
    <row r="103" customFormat="false" ht="15" hidden="false" customHeight="false" outlineLevel="0" collapsed="false">
      <c r="A103" s="40"/>
      <c r="B103" s="46"/>
      <c r="C103" s="46"/>
      <c r="D103" s="46"/>
      <c r="E103" s="46"/>
      <c r="F103" s="46"/>
      <c r="G103" s="45"/>
      <c r="H103" s="46"/>
      <c r="I103" s="46"/>
    </row>
    <row r="104" customFormat="false" ht="15" hidden="false" customHeight="false" outlineLevel="0" collapsed="false">
      <c r="A104" s="40"/>
      <c r="B104" s="46"/>
      <c r="C104" s="46"/>
      <c r="D104" s="46"/>
      <c r="E104" s="46"/>
      <c r="F104" s="46"/>
      <c r="G104" s="45"/>
      <c r="H104" s="46"/>
      <c r="I104" s="46"/>
    </row>
    <row r="105" customFormat="false" ht="15" hidden="false" customHeight="false" outlineLevel="0" collapsed="false">
      <c r="A105" s="40"/>
      <c r="B105" s="46"/>
      <c r="C105" s="46"/>
      <c r="D105" s="46"/>
      <c r="E105" s="46"/>
      <c r="F105" s="46"/>
      <c r="G105" s="45"/>
      <c r="H105" s="46"/>
      <c r="I105" s="46"/>
    </row>
    <row r="106" customFormat="false" ht="15" hidden="false" customHeight="false" outlineLevel="0" collapsed="false">
      <c r="A106" s="40"/>
      <c r="B106" s="46"/>
      <c r="C106" s="46"/>
      <c r="D106" s="46"/>
      <c r="E106" s="46"/>
      <c r="F106" s="46"/>
      <c r="G106" s="45"/>
      <c r="H106" s="46"/>
      <c r="I106" s="46"/>
    </row>
    <row r="107" customFormat="false" ht="15" hidden="false" customHeight="false" outlineLevel="0" collapsed="false">
      <c r="A107" s="40"/>
      <c r="B107" s="46"/>
      <c r="C107" s="46"/>
      <c r="D107" s="46"/>
      <c r="E107" s="46"/>
      <c r="F107" s="46"/>
      <c r="G107" s="45"/>
      <c r="H107" s="46"/>
      <c r="I107" s="46"/>
    </row>
    <row r="108" customFormat="false" ht="15" hidden="false" customHeight="false" outlineLevel="0" collapsed="false">
      <c r="A108" s="40"/>
      <c r="B108" s="46"/>
      <c r="C108" s="46"/>
      <c r="D108" s="46"/>
      <c r="E108" s="46"/>
      <c r="F108" s="46"/>
      <c r="G108" s="45"/>
      <c r="H108" s="46"/>
      <c r="I108" s="46"/>
    </row>
    <row r="109" customFormat="false" ht="15" hidden="false" customHeight="false" outlineLevel="0" collapsed="false">
      <c r="A109" s="40"/>
      <c r="B109" s="46"/>
      <c r="C109" s="46"/>
      <c r="D109" s="46"/>
      <c r="E109" s="46"/>
      <c r="F109" s="46"/>
      <c r="G109" s="45"/>
      <c r="H109" s="46"/>
      <c r="I109" s="46"/>
    </row>
    <row r="110" customFormat="false" ht="15" hidden="false" customHeight="false" outlineLevel="0" collapsed="false">
      <c r="A110" s="40"/>
      <c r="B110" s="46"/>
      <c r="C110" s="46"/>
      <c r="D110" s="46"/>
      <c r="E110" s="46"/>
      <c r="F110" s="46"/>
      <c r="G110" s="45"/>
      <c r="H110" s="46"/>
      <c r="I110" s="46"/>
    </row>
    <row r="111" customFormat="false" ht="15" hidden="false" customHeight="false" outlineLevel="0" collapsed="false">
      <c r="A111" s="40"/>
      <c r="B111" s="46"/>
      <c r="C111" s="46"/>
      <c r="D111" s="46"/>
      <c r="E111" s="46"/>
      <c r="F111" s="46"/>
      <c r="G111" s="45"/>
      <c r="H111" s="46"/>
      <c r="I111" s="46"/>
    </row>
    <row r="112" customFormat="false" ht="15" hidden="false" customHeight="false" outlineLevel="0" collapsed="false">
      <c r="A112" s="40"/>
      <c r="B112" s="46"/>
      <c r="C112" s="46"/>
      <c r="D112" s="46"/>
      <c r="E112" s="46"/>
      <c r="F112" s="46"/>
      <c r="G112" s="45"/>
      <c r="H112" s="46"/>
      <c r="I112" s="46"/>
    </row>
    <row r="113" customFormat="false" ht="15" hidden="false" customHeight="false" outlineLevel="0" collapsed="false">
      <c r="A113" s="40"/>
      <c r="B113" s="46"/>
      <c r="C113" s="46"/>
      <c r="D113" s="46"/>
      <c r="E113" s="46"/>
      <c r="F113" s="46"/>
      <c r="G113" s="45"/>
      <c r="H113" s="46"/>
      <c r="I113" s="46"/>
    </row>
    <row r="114" customFormat="false" ht="15" hidden="false" customHeight="false" outlineLevel="0" collapsed="false">
      <c r="A114" s="40"/>
      <c r="B114" s="46"/>
      <c r="C114" s="46"/>
      <c r="D114" s="46"/>
      <c r="E114" s="46"/>
      <c r="F114" s="46"/>
      <c r="G114" s="45"/>
      <c r="H114" s="46"/>
      <c r="I114" s="46"/>
    </row>
    <row r="115" customFormat="false" ht="15" hidden="false" customHeight="false" outlineLevel="0" collapsed="false">
      <c r="A115" s="40"/>
      <c r="B115" s="46"/>
      <c r="C115" s="46"/>
      <c r="D115" s="46"/>
      <c r="E115" s="46"/>
      <c r="F115" s="46"/>
      <c r="G115" s="45"/>
      <c r="H115" s="46"/>
      <c r="I115" s="46"/>
    </row>
    <row r="116" customFormat="false" ht="15" hidden="false" customHeight="false" outlineLevel="0" collapsed="false">
      <c r="A116" s="40"/>
      <c r="B116" s="46"/>
      <c r="C116" s="46"/>
      <c r="D116" s="46"/>
      <c r="E116" s="46"/>
      <c r="F116" s="46"/>
      <c r="G116" s="45"/>
      <c r="H116" s="46"/>
      <c r="I116" s="46"/>
    </row>
    <row r="117" customFormat="false" ht="15" hidden="false" customHeight="false" outlineLevel="0" collapsed="false">
      <c r="A117" s="40"/>
      <c r="B117" s="46"/>
      <c r="C117" s="46"/>
      <c r="D117" s="46"/>
      <c r="E117" s="46"/>
      <c r="F117" s="46"/>
      <c r="G117" s="45"/>
      <c r="H117" s="46"/>
      <c r="I117" s="46"/>
    </row>
    <row r="118" customFormat="false" ht="15" hidden="false" customHeight="false" outlineLevel="0" collapsed="false">
      <c r="A118" s="40"/>
      <c r="B118" s="46"/>
      <c r="C118" s="46"/>
      <c r="D118" s="46"/>
      <c r="E118" s="46"/>
      <c r="F118" s="46"/>
      <c r="G118" s="45"/>
      <c r="H118" s="46"/>
      <c r="I118" s="46"/>
    </row>
    <row r="119" customFormat="false" ht="15" hidden="false" customHeight="false" outlineLevel="0" collapsed="false">
      <c r="A119" s="40"/>
      <c r="B119" s="46"/>
      <c r="C119" s="46"/>
      <c r="D119" s="46"/>
      <c r="E119" s="46"/>
      <c r="F119" s="46"/>
      <c r="G119" s="45"/>
      <c r="H119" s="46"/>
      <c r="I119" s="46"/>
    </row>
    <row r="120" customFormat="false" ht="15" hidden="false" customHeight="false" outlineLevel="0" collapsed="false">
      <c r="A120" s="40"/>
      <c r="B120" s="46"/>
      <c r="C120" s="46"/>
      <c r="D120" s="46"/>
      <c r="E120" s="46"/>
      <c r="F120" s="46"/>
      <c r="G120" s="45"/>
      <c r="H120" s="46"/>
      <c r="I120" s="46"/>
    </row>
    <row r="121" customFormat="false" ht="15" hidden="false" customHeight="false" outlineLevel="0" collapsed="false">
      <c r="A121" s="40"/>
      <c r="B121" s="46"/>
      <c r="C121" s="46"/>
      <c r="D121" s="46"/>
      <c r="E121" s="46"/>
      <c r="F121" s="46"/>
      <c r="G121" s="45"/>
      <c r="H121" s="46"/>
      <c r="I121" s="46"/>
    </row>
    <row r="122" customFormat="false" ht="15" hidden="false" customHeight="false" outlineLevel="0" collapsed="false">
      <c r="A122" s="40"/>
      <c r="B122" s="46"/>
      <c r="C122" s="46"/>
      <c r="D122" s="46"/>
      <c r="E122" s="46"/>
      <c r="F122" s="46"/>
      <c r="G122" s="45"/>
      <c r="H122" s="46"/>
      <c r="I122" s="46"/>
    </row>
    <row r="123" customFormat="false" ht="15" hidden="false" customHeight="false" outlineLevel="0" collapsed="false">
      <c r="A123" s="40"/>
      <c r="B123" s="46"/>
      <c r="C123" s="46"/>
      <c r="D123" s="46"/>
      <c r="E123" s="46"/>
      <c r="F123" s="46"/>
      <c r="G123" s="45"/>
      <c r="H123" s="46"/>
      <c r="I123" s="46"/>
    </row>
    <row r="124" customFormat="false" ht="15" hidden="false" customHeight="false" outlineLevel="0" collapsed="false">
      <c r="A124" s="40"/>
      <c r="B124" s="46"/>
      <c r="C124" s="46"/>
      <c r="D124" s="46"/>
      <c r="E124" s="46"/>
      <c r="F124" s="46"/>
      <c r="G124" s="45"/>
      <c r="H124" s="46"/>
      <c r="I124" s="46"/>
    </row>
    <row r="125" customFormat="false" ht="15" hidden="false" customHeight="false" outlineLevel="0" collapsed="false">
      <c r="A125" s="40"/>
      <c r="B125" s="46"/>
      <c r="C125" s="46"/>
      <c r="D125" s="46"/>
      <c r="E125" s="46"/>
      <c r="F125" s="46"/>
      <c r="G125" s="45"/>
      <c r="H125" s="46"/>
      <c r="I125" s="46"/>
    </row>
    <row r="126" customFormat="false" ht="15" hidden="false" customHeight="false" outlineLevel="0" collapsed="false">
      <c r="A126" s="40"/>
      <c r="B126" s="46"/>
      <c r="C126" s="46"/>
      <c r="D126" s="46"/>
      <c r="E126" s="46"/>
      <c r="F126" s="46"/>
      <c r="G126" s="45"/>
      <c r="H126" s="46"/>
      <c r="I126" s="46"/>
    </row>
    <row r="127" customFormat="false" ht="15" hidden="false" customHeight="false" outlineLevel="0" collapsed="false">
      <c r="A127" s="40"/>
      <c r="B127" s="46"/>
      <c r="C127" s="46"/>
      <c r="D127" s="46"/>
      <c r="E127" s="46"/>
      <c r="F127" s="46"/>
      <c r="G127" s="45"/>
      <c r="H127" s="46"/>
      <c r="I127" s="46"/>
    </row>
    <row r="128" customFormat="false" ht="15" hidden="false" customHeight="false" outlineLevel="0" collapsed="false">
      <c r="A128" s="40"/>
      <c r="B128" s="46"/>
      <c r="C128" s="46"/>
      <c r="D128" s="46"/>
      <c r="E128" s="46"/>
      <c r="F128" s="46"/>
      <c r="G128" s="45"/>
      <c r="H128" s="46"/>
      <c r="I128" s="46"/>
    </row>
    <row r="129" customFormat="false" ht="15" hidden="false" customHeight="false" outlineLevel="0" collapsed="false">
      <c r="A129" s="40"/>
      <c r="B129" s="46"/>
      <c r="C129" s="46"/>
      <c r="D129" s="46"/>
      <c r="E129" s="46"/>
      <c r="F129" s="46"/>
      <c r="G129" s="45"/>
      <c r="H129" s="46"/>
      <c r="I129" s="46"/>
    </row>
    <row r="130" customFormat="false" ht="15" hidden="false" customHeight="false" outlineLevel="0" collapsed="false">
      <c r="A130" s="40"/>
      <c r="B130" s="46"/>
      <c r="C130" s="46"/>
      <c r="D130" s="46"/>
      <c r="E130" s="46"/>
      <c r="F130" s="46"/>
      <c r="G130" s="45"/>
      <c r="H130" s="46"/>
      <c r="I130" s="46"/>
    </row>
    <row r="131" customFormat="false" ht="15" hidden="false" customHeight="false" outlineLevel="0" collapsed="false">
      <c r="A131" s="40"/>
      <c r="B131" s="46"/>
      <c r="C131" s="46"/>
      <c r="D131" s="46"/>
      <c r="E131" s="46"/>
      <c r="F131" s="46"/>
      <c r="G131" s="45"/>
      <c r="H131" s="46"/>
      <c r="I131" s="46"/>
    </row>
    <row r="132" customFormat="false" ht="15" hidden="false" customHeight="false" outlineLevel="0" collapsed="false">
      <c r="A132" s="40"/>
      <c r="B132" s="46"/>
      <c r="C132" s="46"/>
      <c r="D132" s="46"/>
      <c r="E132" s="46"/>
      <c r="F132" s="46"/>
      <c r="G132" s="45"/>
      <c r="H132" s="46"/>
      <c r="I132" s="46"/>
    </row>
    <row r="133" customFormat="false" ht="15" hidden="false" customHeight="false" outlineLevel="0" collapsed="false">
      <c r="A133" s="40"/>
      <c r="B133" s="46"/>
      <c r="C133" s="46"/>
      <c r="D133" s="46"/>
      <c r="E133" s="46"/>
      <c r="F133" s="46"/>
      <c r="G133" s="45"/>
      <c r="H133" s="46"/>
      <c r="I133" s="46"/>
    </row>
    <row r="134" customFormat="false" ht="15" hidden="false" customHeight="false" outlineLevel="0" collapsed="false">
      <c r="A134" s="40"/>
      <c r="B134" s="46"/>
      <c r="C134" s="46"/>
      <c r="D134" s="46"/>
      <c r="E134" s="46"/>
      <c r="F134" s="46"/>
      <c r="G134" s="45"/>
      <c r="H134" s="46"/>
      <c r="I134" s="46"/>
    </row>
    <row r="135" customFormat="false" ht="15" hidden="false" customHeight="false" outlineLevel="0" collapsed="false">
      <c r="A135" s="40"/>
      <c r="B135" s="46"/>
      <c r="C135" s="46"/>
      <c r="D135" s="46"/>
      <c r="E135" s="46"/>
      <c r="F135" s="46"/>
      <c r="G135" s="45"/>
      <c r="H135" s="46"/>
      <c r="I135" s="46"/>
    </row>
    <row r="136" customFormat="false" ht="15" hidden="false" customHeight="false" outlineLevel="0" collapsed="false">
      <c r="A136" s="40"/>
      <c r="B136" s="46"/>
      <c r="C136" s="46"/>
      <c r="D136" s="46"/>
      <c r="E136" s="46"/>
      <c r="F136" s="46"/>
      <c r="G136" s="45"/>
      <c r="H136" s="46"/>
      <c r="I136" s="46"/>
    </row>
    <row r="137" customFormat="false" ht="15" hidden="false" customHeight="false" outlineLevel="0" collapsed="false">
      <c r="A137" s="40"/>
      <c r="B137" s="46"/>
      <c r="C137" s="46"/>
      <c r="D137" s="46"/>
      <c r="E137" s="46"/>
      <c r="F137" s="46"/>
      <c r="G137" s="45"/>
      <c r="H137" s="46"/>
      <c r="I137" s="46"/>
    </row>
    <row r="138" customFormat="false" ht="15" hidden="false" customHeight="false" outlineLevel="0" collapsed="false">
      <c r="A138" s="40"/>
      <c r="B138" s="46"/>
      <c r="C138" s="46"/>
      <c r="D138" s="46"/>
      <c r="E138" s="46"/>
      <c r="F138" s="46"/>
      <c r="G138" s="45"/>
      <c r="H138" s="46"/>
      <c r="I138" s="46"/>
    </row>
    <row r="139" customFormat="false" ht="15" hidden="false" customHeight="false" outlineLevel="0" collapsed="false">
      <c r="A139" s="40"/>
      <c r="B139" s="46"/>
      <c r="C139" s="46"/>
      <c r="D139" s="46"/>
      <c r="E139" s="46"/>
      <c r="F139" s="46"/>
      <c r="G139" s="45"/>
      <c r="H139" s="46"/>
      <c r="I139" s="46"/>
    </row>
    <row r="140" customFormat="false" ht="15" hidden="false" customHeight="false" outlineLevel="0" collapsed="false">
      <c r="A140" s="40"/>
      <c r="B140" s="46"/>
      <c r="C140" s="46"/>
      <c r="D140" s="46"/>
      <c r="E140" s="46"/>
      <c r="F140" s="46"/>
      <c r="G140" s="45"/>
      <c r="H140" s="46"/>
      <c r="I140" s="46"/>
    </row>
    <row r="141" customFormat="false" ht="15" hidden="false" customHeight="false" outlineLevel="0" collapsed="false">
      <c r="A141" s="40"/>
      <c r="B141" s="46"/>
      <c r="C141" s="46"/>
      <c r="D141" s="46"/>
      <c r="E141" s="46"/>
      <c r="F141" s="46"/>
      <c r="G141" s="45"/>
      <c r="H141" s="46"/>
      <c r="I141" s="46"/>
    </row>
    <row r="142" customFormat="false" ht="15" hidden="false" customHeight="false" outlineLevel="0" collapsed="false">
      <c r="A142" s="40"/>
      <c r="B142" s="46"/>
      <c r="C142" s="46"/>
      <c r="D142" s="46"/>
      <c r="E142" s="46"/>
      <c r="F142" s="46"/>
      <c r="G142" s="45"/>
      <c r="H142" s="46"/>
      <c r="I142" s="46"/>
    </row>
    <row r="143" customFormat="false" ht="15" hidden="false" customHeight="false" outlineLevel="0" collapsed="false">
      <c r="A143" s="40"/>
      <c r="B143" s="46"/>
      <c r="C143" s="46"/>
      <c r="D143" s="46"/>
      <c r="E143" s="46"/>
      <c r="F143" s="46"/>
      <c r="G143" s="45"/>
      <c r="H143" s="46"/>
      <c r="I143" s="46"/>
    </row>
    <row r="144" customFormat="false" ht="15" hidden="false" customHeight="false" outlineLevel="0" collapsed="false">
      <c r="A144" s="40"/>
      <c r="B144" s="46"/>
      <c r="C144" s="46"/>
      <c r="D144" s="46"/>
      <c r="E144" s="46"/>
      <c r="F144" s="46"/>
      <c r="G144" s="45"/>
      <c r="H144" s="46"/>
      <c r="I144" s="46"/>
    </row>
    <row r="145" customFormat="false" ht="15" hidden="false" customHeight="false" outlineLevel="0" collapsed="false">
      <c r="A145" s="40"/>
      <c r="B145" s="46"/>
      <c r="C145" s="46"/>
      <c r="D145" s="46"/>
      <c r="E145" s="46"/>
      <c r="F145" s="46"/>
      <c r="G145" s="45"/>
      <c r="H145" s="46"/>
      <c r="I145" s="46"/>
    </row>
    <row r="146" customFormat="false" ht="15" hidden="false" customHeight="false" outlineLevel="0" collapsed="false">
      <c r="A146" s="40"/>
      <c r="B146" s="46"/>
      <c r="C146" s="46"/>
      <c r="D146" s="46"/>
      <c r="E146" s="46"/>
      <c r="F146" s="46"/>
      <c r="G146" s="45"/>
      <c r="H146" s="46"/>
      <c r="I146" s="46"/>
    </row>
    <row r="147" customFormat="false" ht="15" hidden="false" customHeight="false" outlineLevel="0" collapsed="false">
      <c r="A147" s="40"/>
      <c r="B147" s="46"/>
      <c r="C147" s="46"/>
      <c r="D147" s="46"/>
      <c r="E147" s="46"/>
      <c r="F147" s="46"/>
      <c r="G147" s="45"/>
      <c r="H147" s="46"/>
      <c r="I147" s="46"/>
    </row>
    <row r="148" customFormat="false" ht="15" hidden="false" customHeight="false" outlineLevel="0" collapsed="false">
      <c r="A148" s="40"/>
      <c r="B148" s="46"/>
      <c r="C148" s="46"/>
      <c r="D148" s="46"/>
      <c r="E148" s="46"/>
      <c r="F148" s="46"/>
      <c r="G148" s="45"/>
      <c r="H148" s="46"/>
      <c r="I148" s="46"/>
    </row>
    <row r="149" customFormat="false" ht="15" hidden="false" customHeight="false" outlineLevel="0" collapsed="false">
      <c r="A149" s="40"/>
      <c r="B149" s="46"/>
      <c r="C149" s="46"/>
      <c r="D149" s="46"/>
      <c r="E149" s="46"/>
      <c r="F149" s="46"/>
      <c r="G149" s="45"/>
      <c r="H149" s="46"/>
      <c r="I149" s="46"/>
    </row>
    <row r="150" customFormat="false" ht="15" hidden="false" customHeight="false" outlineLevel="0" collapsed="false">
      <c r="A150" s="40"/>
      <c r="B150" s="46"/>
      <c r="C150" s="46"/>
      <c r="D150" s="46"/>
      <c r="E150" s="46"/>
      <c r="F150" s="46"/>
      <c r="G150" s="45"/>
      <c r="H150" s="46"/>
      <c r="I150" s="46"/>
    </row>
    <row r="151" customFormat="false" ht="15" hidden="false" customHeight="false" outlineLevel="0" collapsed="false">
      <c r="A151" s="40"/>
      <c r="B151" s="46"/>
      <c r="C151" s="46"/>
      <c r="D151" s="46"/>
      <c r="E151" s="46"/>
      <c r="F151" s="46"/>
      <c r="G151" s="45"/>
      <c r="H151" s="46"/>
      <c r="I151" s="46"/>
    </row>
    <row r="152" customFormat="false" ht="15" hidden="false" customHeight="false" outlineLevel="0" collapsed="false">
      <c r="A152" s="40"/>
      <c r="B152" s="46"/>
      <c r="C152" s="46"/>
      <c r="D152" s="46"/>
      <c r="E152" s="46"/>
      <c r="F152" s="46"/>
      <c r="G152" s="45"/>
      <c r="H152" s="46"/>
      <c r="I152" s="46"/>
    </row>
    <row r="153" customFormat="false" ht="15" hidden="false" customHeight="false" outlineLevel="0" collapsed="false">
      <c r="A153" s="40"/>
      <c r="B153" s="46"/>
      <c r="C153" s="46"/>
      <c r="D153" s="46"/>
      <c r="E153" s="46"/>
      <c r="F153" s="46"/>
      <c r="G153" s="45"/>
      <c r="H153" s="46"/>
      <c r="I153" s="46"/>
    </row>
    <row r="154" customFormat="false" ht="15" hidden="false" customHeight="false" outlineLevel="0" collapsed="false">
      <c r="A154" s="40"/>
      <c r="B154" s="46"/>
      <c r="C154" s="46"/>
      <c r="D154" s="46"/>
      <c r="E154" s="46"/>
      <c r="F154" s="46"/>
      <c r="G154" s="45"/>
      <c r="H154" s="46"/>
      <c r="I154" s="46"/>
    </row>
    <row r="155" customFormat="false" ht="15" hidden="false" customHeight="false" outlineLevel="0" collapsed="false">
      <c r="A155" s="40"/>
      <c r="B155" s="46"/>
      <c r="C155" s="46"/>
      <c r="D155" s="46"/>
      <c r="E155" s="46"/>
      <c r="F155" s="46"/>
      <c r="G155" s="45"/>
      <c r="H155" s="46"/>
      <c r="I155" s="46"/>
    </row>
    <row r="156" customFormat="false" ht="15" hidden="false" customHeight="false" outlineLevel="0" collapsed="false">
      <c r="A156" s="40"/>
      <c r="B156" s="46"/>
      <c r="C156" s="46"/>
      <c r="D156" s="46"/>
      <c r="E156" s="46"/>
      <c r="F156" s="46"/>
      <c r="G156" s="45"/>
      <c r="H156" s="46"/>
      <c r="I156" s="46"/>
    </row>
    <row r="157" customFormat="false" ht="15" hidden="false" customHeight="false" outlineLevel="0" collapsed="false">
      <c r="A157" s="40"/>
      <c r="B157" s="46"/>
      <c r="C157" s="46"/>
      <c r="D157" s="46"/>
      <c r="E157" s="46"/>
      <c r="F157" s="46"/>
      <c r="G157" s="45"/>
      <c r="H157" s="46"/>
      <c r="I157" s="46"/>
    </row>
    <row r="158" customFormat="false" ht="15" hidden="false" customHeight="false" outlineLevel="0" collapsed="false">
      <c r="A158" s="40"/>
      <c r="B158" s="46"/>
      <c r="C158" s="46"/>
      <c r="D158" s="46"/>
      <c r="E158" s="46"/>
      <c r="F158" s="46"/>
      <c r="G158" s="45"/>
      <c r="H158" s="46"/>
      <c r="I158" s="46"/>
    </row>
    <row r="159" customFormat="false" ht="15" hidden="false" customHeight="false" outlineLevel="0" collapsed="false">
      <c r="A159" s="40"/>
      <c r="B159" s="46"/>
      <c r="C159" s="46"/>
      <c r="D159" s="46"/>
      <c r="E159" s="46"/>
      <c r="F159" s="46"/>
      <c r="G159" s="45"/>
      <c r="H159" s="46"/>
      <c r="I159" s="46"/>
    </row>
    <row r="160" customFormat="false" ht="15" hidden="false" customHeight="false" outlineLevel="0" collapsed="false">
      <c r="A160" s="40"/>
      <c r="B160" s="46"/>
      <c r="C160" s="46"/>
      <c r="D160" s="46"/>
      <c r="E160" s="46"/>
      <c r="F160" s="46"/>
      <c r="G160" s="45"/>
      <c r="H160" s="46"/>
      <c r="I160" s="46"/>
    </row>
    <row r="161" customFormat="false" ht="15" hidden="false" customHeight="false" outlineLevel="0" collapsed="false">
      <c r="A161" s="40"/>
      <c r="B161" s="46"/>
      <c r="C161" s="46"/>
      <c r="D161" s="46"/>
      <c r="E161" s="46"/>
      <c r="F161" s="46"/>
      <c r="G161" s="45"/>
      <c r="H161" s="46"/>
      <c r="I161" s="46"/>
    </row>
    <row r="162" customFormat="false" ht="15" hidden="false" customHeight="false" outlineLevel="0" collapsed="false">
      <c r="A162" s="40"/>
      <c r="B162" s="46"/>
      <c r="C162" s="46"/>
      <c r="D162" s="46"/>
      <c r="E162" s="46"/>
      <c r="F162" s="46"/>
      <c r="G162" s="45"/>
      <c r="H162" s="46"/>
      <c r="I162" s="46"/>
    </row>
    <row r="163" customFormat="false" ht="15" hidden="false" customHeight="false" outlineLevel="0" collapsed="false">
      <c r="A163" s="40"/>
      <c r="B163" s="46"/>
      <c r="C163" s="46"/>
      <c r="D163" s="46"/>
      <c r="E163" s="46"/>
      <c r="F163" s="46"/>
      <c r="G163" s="45"/>
      <c r="H163" s="46"/>
      <c r="I163" s="46"/>
    </row>
    <row r="164" customFormat="false" ht="15" hidden="false" customHeight="false" outlineLevel="0" collapsed="false">
      <c r="A164" s="40"/>
      <c r="B164" s="46"/>
      <c r="C164" s="46"/>
      <c r="D164" s="46"/>
      <c r="E164" s="46"/>
      <c r="F164" s="46"/>
      <c r="G164" s="45"/>
      <c r="H164" s="46"/>
      <c r="I164" s="46"/>
    </row>
    <row r="165" customFormat="false" ht="15" hidden="false" customHeight="false" outlineLevel="0" collapsed="false">
      <c r="A165" s="40"/>
      <c r="B165" s="46"/>
      <c r="C165" s="46"/>
      <c r="D165" s="46"/>
      <c r="E165" s="46"/>
      <c r="F165" s="46"/>
      <c r="G165" s="45"/>
      <c r="H165" s="46"/>
      <c r="I165" s="46"/>
    </row>
    <row r="166" customFormat="false" ht="15" hidden="false" customHeight="false" outlineLevel="0" collapsed="false">
      <c r="A166" s="40"/>
      <c r="B166" s="46"/>
      <c r="C166" s="46"/>
      <c r="D166" s="46"/>
      <c r="E166" s="46"/>
      <c r="F166" s="46"/>
      <c r="G166" s="45"/>
      <c r="H166" s="46"/>
      <c r="I166" s="46"/>
    </row>
    <row r="167" customFormat="false" ht="15" hidden="false" customHeight="false" outlineLevel="0" collapsed="false">
      <c r="A167" s="40"/>
      <c r="B167" s="46"/>
      <c r="C167" s="46"/>
      <c r="D167" s="46"/>
      <c r="E167" s="46"/>
      <c r="F167" s="46"/>
      <c r="G167" s="45"/>
      <c r="H167" s="46"/>
      <c r="I167" s="46"/>
    </row>
    <row r="168" customFormat="false" ht="15" hidden="false" customHeight="false" outlineLevel="0" collapsed="false">
      <c r="A168" s="40"/>
      <c r="B168" s="46"/>
      <c r="C168" s="46"/>
      <c r="D168" s="46"/>
      <c r="E168" s="46"/>
      <c r="F168" s="46"/>
      <c r="G168" s="45"/>
      <c r="H168" s="46"/>
      <c r="I168" s="46"/>
    </row>
    <row r="169" customFormat="false" ht="15" hidden="false" customHeight="false" outlineLevel="0" collapsed="false">
      <c r="A169" s="40"/>
      <c r="B169" s="46"/>
      <c r="C169" s="46"/>
      <c r="D169" s="46"/>
      <c r="E169" s="46"/>
      <c r="F169" s="46"/>
      <c r="G169" s="45"/>
      <c r="H169" s="46"/>
      <c r="I169" s="46"/>
    </row>
    <row r="170" customFormat="false" ht="15" hidden="false" customHeight="false" outlineLevel="0" collapsed="false">
      <c r="A170" s="40"/>
      <c r="B170" s="46"/>
      <c r="C170" s="46"/>
      <c r="D170" s="46"/>
      <c r="E170" s="46"/>
      <c r="F170" s="46"/>
      <c r="G170" s="45"/>
      <c r="H170" s="46"/>
      <c r="I170" s="46"/>
    </row>
    <row r="171" customFormat="false" ht="15" hidden="false" customHeight="false" outlineLevel="0" collapsed="false">
      <c r="A171" s="40"/>
      <c r="B171" s="46"/>
      <c r="C171" s="46"/>
      <c r="D171" s="46"/>
      <c r="E171" s="46"/>
      <c r="F171" s="46"/>
      <c r="G171" s="45"/>
      <c r="H171" s="46"/>
      <c r="I171" s="46"/>
    </row>
    <row r="172" customFormat="false" ht="15" hidden="false" customHeight="false" outlineLevel="0" collapsed="false">
      <c r="A172" s="40"/>
      <c r="B172" s="46"/>
      <c r="C172" s="46"/>
      <c r="D172" s="46"/>
      <c r="E172" s="46"/>
      <c r="F172" s="46"/>
      <c r="G172" s="45"/>
      <c r="H172" s="46"/>
      <c r="I172" s="46"/>
    </row>
    <row r="173" customFormat="false" ht="15" hidden="false" customHeight="false" outlineLevel="0" collapsed="false">
      <c r="A173" s="40"/>
      <c r="B173" s="46"/>
      <c r="C173" s="46"/>
      <c r="D173" s="46"/>
      <c r="E173" s="46"/>
      <c r="F173" s="46"/>
      <c r="G173" s="45"/>
      <c r="H173" s="46"/>
      <c r="I173" s="46"/>
    </row>
    <row r="174" customFormat="false" ht="15" hidden="false" customHeight="false" outlineLevel="0" collapsed="false">
      <c r="A174" s="40"/>
      <c r="B174" s="46"/>
      <c r="C174" s="46"/>
      <c r="D174" s="46"/>
      <c r="E174" s="46"/>
      <c r="F174" s="46"/>
      <c r="G174" s="45"/>
      <c r="H174" s="46"/>
      <c r="I174" s="46"/>
    </row>
    <row r="175" customFormat="false" ht="15" hidden="false" customHeight="false" outlineLevel="0" collapsed="false">
      <c r="A175" s="40"/>
      <c r="B175" s="46"/>
      <c r="C175" s="46"/>
      <c r="D175" s="46"/>
      <c r="E175" s="46"/>
      <c r="F175" s="46"/>
      <c r="G175" s="45"/>
      <c r="H175" s="46"/>
      <c r="I175" s="46"/>
    </row>
    <row r="176" customFormat="false" ht="15" hidden="false" customHeight="false" outlineLevel="0" collapsed="false">
      <c r="A176" s="40"/>
      <c r="B176" s="46"/>
      <c r="C176" s="46"/>
      <c r="D176" s="46"/>
      <c r="E176" s="46"/>
      <c r="F176" s="46"/>
      <c r="G176" s="45"/>
      <c r="H176" s="46"/>
      <c r="I176" s="46"/>
    </row>
    <row r="177" customFormat="false" ht="15" hidden="false" customHeight="false" outlineLevel="0" collapsed="false">
      <c r="A177" s="40"/>
      <c r="B177" s="46"/>
      <c r="C177" s="46"/>
      <c r="D177" s="46"/>
      <c r="E177" s="46"/>
      <c r="F177" s="46"/>
      <c r="G177" s="45"/>
      <c r="H177" s="46"/>
      <c r="I177" s="46"/>
    </row>
    <row r="178" customFormat="false" ht="15" hidden="false" customHeight="false" outlineLevel="0" collapsed="false">
      <c r="A178" s="40"/>
      <c r="B178" s="46"/>
      <c r="C178" s="46"/>
      <c r="D178" s="46"/>
      <c r="E178" s="46"/>
      <c r="F178" s="46"/>
      <c r="G178" s="45"/>
      <c r="H178" s="46"/>
      <c r="I178" s="46"/>
    </row>
    <row r="179" customFormat="false" ht="15" hidden="false" customHeight="false" outlineLevel="0" collapsed="false">
      <c r="A179" s="40"/>
      <c r="B179" s="46"/>
      <c r="C179" s="46"/>
      <c r="D179" s="46"/>
      <c r="E179" s="46"/>
      <c r="F179" s="46"/>
      <c r="G179" s="45"/>
      <c r="H179" s="46"/>
      <c r="I179" s="46"/>
    </row>
    <row r="180" customFormat="false" ht="15" hidden="false" customHeight="false" outlineLevel="0" collapsed="false">
      <c r="A180" s="40"/>
      <c r="B180" s="46"/>
      <c r="C180" s="46"/>
      <c r="D180" s="46"/>
      <c r="E180" s="46"/>
      <c r="F180" s="46"/>
      <c r="G180" s="45"/>
      <c r="H180" s="46"/>
      <c r="I180" s="46"/>
    </row>
    <row r="181" customFormat="false" ht="15" hidden="false" customHeight="false" outlineLevel="0" collapsed="false">
      <c r="A181" s="40"/>
      <c r="B181" s="46"/>
      <c r="C181" s="46"/>
      <c r="D181" s="46"/>
      <c r="E181" s="46"/>
      <c r="F181" s="46"/>
      <c r="G181" s="45"/>
      <c r="H181" s="46"/>
      <c r="I181" s="46"/>
    </row>
    <row r="182" customFormat="false" ht="15" hidden="false" customHeight="false" outlineLevel="0" collapsed="false">
      <c r="A182" s="40"/>
      <c r="B182" s="46"/>
      <c r="C182" s="46"/>
      <c r="D182" s="46"/>
      <c r="E182" s="46"/>
      <c r="F182" s="46"/>
      <c r="G182" s="45"/>
      <c r="H182" s="46"/>
      <c r="I182" s="46"/>
    </row>
    <row r="183" customFormat="false" ht="15" hidden="false" customHeight="false" outlineLevel="0" collapsed="false">
      <c r="A183" s="40"/>
      <c r="B183" s="46"/>
      <c r="C183" s="46"/>
      <c r="D183" s="46"/>
      <c r="E183" s="46"/>
      <c r="F183" s="46"/>
      <c r="G183" s="45"/>
      <c r="H183" s="46"/>
      <c r="I183" s="46"/>
    </row>
    <row r="184" customFormat="false" ht="15" hidden="false" customHeight="false" outlineLevel="0" collapsed="false">
      <c r="A184" s="40"/>
      <c r="B184" s="46"/>
      <c r="C184" s="46"/>
      <c r="D184" s="46"/>
      <c r="E184" s="46"/>
      <c r="F184" s="46"/>
      <c r="G184" s="45"/>
      <c r="H184" s="46"/>
      <c r="I184" s="46"/>
    </row>
    <row r="185" customFormat="false" ht="15" hidden="false" customHeight="false" outlineLevel="0" collapsed="false">
      <c r="A185" s="40"/>
      <c r="B185" s="46"/>
      <c r="C185" s="46"/>
      <c r="D185" s="46"/>
      <c r="E185" s="46"/>
      <c r="F185" s="46"/>
      <c r="G185" s="45"/>
      <c r="H185" s="46"/>
      <c r="I185" s="46"/>
    </row>
    <row r="186" customFormat="false" ht="15" hidden="false" customHeight="false" outlineLevel="0" collapsed="false">
      <c r="A186" s="40"/>
      <c r="B186" s="46"/>
      <c r="C186" s="46"/>
      <c r="D186" s="46"/>
      <c r="E186" s="46"/>
      <c r="F186" s="46"/>
      <c r="G186" s="45"/>
      <c r="H186" s="46"/>
      <c r="I186" s="46"/>
    </row>
    <row r="187" customFormat="false" ht="15" hidden="false" customHeight="false" outlineLevel="0" collapsed="false">
      <c r="A187" s="40"/>
      <c r="B187" s="46"/>
      <c r="C187" s="46"/>
      <c r="D187" s="46"/>
      <c r="E187" s="46"/>
      <c r="F187" s="46"/>
      <c r="G187" s="45"/>
      <c r="H187" s="46"/>
      <c r="I187" s="46"/>
    </row>
    <row r="188" customFormat="false" ht="15" hidden="false" customHeight="false" outlineLevel="0" collapsed="false">
      <c r="A188" s="40"/>
      <c r="B188" s="46"/>
      <c r="C188" s="46"/>
      <c r="D188" s="46"/>
      <c r="E188" s="46"/>
      <c r="F188" s="46"/>
      <c r="G188" s="45"/>
      <c r="H188" s="46"/>
      <c r="I188" s="46"/>
    </row>
    <row r="189" customFormat="false" ht="15" hidden="false" customHeight="false" outlineLevel="0" collapsed="false">
      <c r="A189" s="40"/>
      <c r="B189" s="46"/>
      <c r="C189" s="46"/>
      <c r="D189" s="46"/>
      <c r="E189" s="46"/>
      <c r="F189" s="46"/>
      <c r="G189" s="45"/>
      <c r="H189" s="46"/>
      <c r="I189" s="46"/>
    </row>
    <row r="190" customFormat="false" ht="15" hidden="false" customHeight="false" outlineLevel="0" collapsed="false">
      <c r="A190" s="40"/>
      <c r="B190" s="46"/>
      <c r="C190" s="46"/>
      <c r="D190" s="46"/>
      <c r="E190" s="46"/>
      <c r="F190" s="46"/>
      <c r="G190" s="45"/>
      <c r="H190" s="46"/>
      <c r="I190" s="46"/>
    </row>
    <row r="191" customFormat="false" ht="15" hidden="false" customHeight="false" outlineLevel="0" collapsed="false">
      <c r="A191" s="40"/>
      <c r="B191" s="46"/>
      <c r="C191" s="46"/>
      <c r="D191" s="46"/>
      <c r="E191" s="46"/>
      <c r="F191" s="46"/>
      <c r="G191" s="45"/>
      <c r="H191" s="46"/>
      <c r="I191" s="46"/>
    </row>
    <row r="192" customFormat="false" ht="15" hidden="false" customHeight="false" outlineLevel="0" collapsed="false">
      <c r="A192" s="40"/>
      <c r="B192" s="46"/>
      <c r="C192" s="46"/>
      <c r="D192" s="46"/>
      <c r="E192" s="46"/>
      <c r="F192" s="46"/>
      <c r="G192" s="45"/>
      <c r="H192" s="46"/>
      <c r="I192" s="46"/>
    </row>
    <row r="193" customFormat="false" ht="15" hidden="false" customHeight="false" outlineLevel="0" collapsed="false">
      <c r="A193" s="40"/>
      <c r="B193" s="46"/>
      <c r="C193" s="46"/>
      <c r="D193" s="46"/>
      <c r="E193" s="46"/>
      <c r="F193" s="46"/>
      <c r="G193" s="45"/>
      <c r="H193" s="46"/>
      <c r="I193" s="46"/>
    </row>
    <row r="194" customFormat="false" ht="15" hidden="false" customHeight="false" outlineLevel="0" collapsed="false">
      <c r="A194" s="40"/>
      <c r="B194" s="46"/>
      <c r="C194" s="46"/>
      <c r="D194" s="46"/>
      <c r="E194" s="46"/>
      <c r="F194" s="46"/>
      <c r="G194" s="45"/>
      <c r="H194" s="46"/>
      <c r="I194" s="46"/>
    </row>
    <row r="195" customFormat="false" ht="15" hidden="false" customHeight="false" outlineLevel="0" collapsed="false">
      <c r="A195" s="40"/>
      <c r="B195" s="46"/>
      <c r="C195" s="46"/>
      <c r="D195" s="46"/>
      <c r="E195" s="46"/>
      <c r="F195" s="46"/>
      <c r="G195" s="45"/>
      <c r="H195" s="46"/>
      <c r="I195" s="46"/>
    </row>
    <row r="196" customFormat="false" ht="15" hidden="false" customHeight="false" outlineLevel="0" collapsed="false">
      <c r="A196" s="40"/>
      <c r="B196" s="46"/>
      <c r="C196" s="46"/>
      <c r="D196" s="46"/>
      <c r="E196" s="46"/>
      <c r="F196" s="46"/>
      <c r="G196" s="45"/>
      <c r="H196" s="46"/>
      <c r="I196" s="46"/>
    </row>
    <row r="197" customFormat="false" ht="15" hidden="false" customHeight="false" outlineLevel="0" collapsed="false">
      <c r="A197" s="40"/>
      <c r="B197" s="46"/>
      <c r="C197" s="46"/>
      <c r="D197" s="46"/>
      <c r="E197" s="46"/>
      <c r="F197" s="46"/>
      <c r="G197" s="45"/>
      <c r="H197" s="46"/>
      <c r="I197" s="46"/>
    </row>
    <row r="198" customFormat="false" ht="15" hidden="false" customHeight="false" outlineLevel="0" collapsed="false">
      <c r="A198" s="40"/>
      <c r="B198" s="46"/>
      <c r="C198" s="46"/>
      <c r="D198" s="46"/>
      <c r="E198" s="46"/>
      <c r="F198" s="46"/>
      <c r="G198" s="45"/>
      <c r="H198" s="46"/>
      <c r="I198" s="46"/>
    </row>
    <row r="199" customFormat="false" ht="15" hidden="false" customHeight="false" outlineLevel="0" collapsed="false">
      <c r="A199" s="40"/>
      <c r="B199" s="46"/>
      <c r="C199" s="46"/>
      <c r="D199" s="46"/>
      <c r="E199" s="46"/>
      <c r="F199" s="46"/>
      <c r="G199" s="45"/>
      <c r="H199" s="46"/>
      <c r="I199" s="46"/>
    </row>
    <row r="200" customFormat="false" ht="15" hidden="false" customHeight="false" outlineLevel="0" collapsed="false">
      <c r="A200" s="40"/>
      <c r="B200" s="46"/>
      <c r="C200" s="46"/>
      <c r="D200" s="46"/>
      <c r="E200" s="46"/>
      <c r="F200" s="46"/>
      <c r="G200" s="45"/>
      <c r="H200" s="46"/>
      <c r="I200" s="46"/>
    </row>
    <row r="201" customFormat="false" ht="15" hidden="false" customHeight="false" outlineLevel="0" collapsed="false">
      <c r="A201" s="40"/>
      <c r="B201" s="46"/>
      <c r="C201" s="46"/>
      <c r="D201" s="46"/>
      <c r="E201" s="46"/>
      <c r="F201" s="46"/>
      <c r="G201" s="45"/>
      <c r="H201" s="46"/>
      <c r="I201" s="46"/>
    </row>
    <row r="202" customFormat="false" ht="15" hidden="false" customHeight="false" outlineLevel="0" collapsed="false">
      <c r="A202" s="40"/>
      <c r="B202" s="46"/>
      <c r="C202" s="46"/>
      <c r="D202" s="46"/>
      <c r="E202" s="46"/>
      <c r="F202" s="46"/>
      <c r="G202" s="45"/>
      <c r="H202" s="46"/>
      <c r="I202" s="46"/>
    </row>
    <row r="203" customFormat="false" ht="15" hidden="false" customHeight="false" outlineLevel="0" collapsed="false">
      <c r="A203" s="40"/>
      <c r="B203" s="46"/>
      <c r="C203" s="46"/>
      <c r="D203" s="46"/>
      <c r="E203" s="46"/>
      <c r="F203" s="46"/>
      <c r="G203" s="45"/>
      <c r="H203" s="46"/>
      <c r="I203" s="46"/>
    </row>
    <row r="204" customFormat="false" ht="15" hidden="false" customHeight="false" outlineLevel="0" collapsed="false">
      <c r="A204" s="40"/>
      <c r="B204" s="46"/>
      <c r="C204" s="46"/>
      <c r="D204" s="46"/>
      <c r="E204" s="46"/>
      <c r="F204" s="46"/>
      <c r="G204" s="45"/>
      <c r="H204" s="46"/>
      <c r="I204" s="46"/>
    </row>
    <row r="205" customFormat="false" ht="15" hidden="false" customHeight="false" outlineLevel="0" collapsed="false">
      <c r="A205" s="40"/>
      <c r="B205" s="46"/>
      <c r="C205" s="46"/>
      <c r="D205" s="46"/>
      <c r="E205" s="46"/>
      <c r="F205" s="46"/>
      <c r="G205" s="45"/>
      <c r="H205" s="46"/>
      <c r="I205" s="46"/>
    </row>
    <row r="206" customFormat="false" ht="15" hidden="false" customHeight="false" outlineLevel="0" collapsed="false">
      <c r="A206" s="40"/>
      <c r="B206" s="46"/>
      <c r="C206" s="46"/>
      <c r="D206" s="46"/>
      <c r="E206" s="46"/>
      <c r="F206" s="46"/>
      <c r="G206" s="45"/>
      <c r="H206" s="46"/>
      <c r="I206" s="46"/>
    </row>
    <row r="207" customFormat="false" ht="15" hidden="false" customHeight="false" outlineLevel="0" collapsed="false">
      <c r="A207" s="40"/>
      <c r="B207" s="46"/>
      <c r="C207" s="46"/>
      <c r="D207" s="46"/>
      <c r="E207" s="46"/>
      <c r="F207" s="46"/>
      <c r="G207" s="45"/>
      <c r="H207" s="46"/>
      <c r="I207" s="46"/>
    </row>
    <row r="208" customFormat="false" ht="15" hidden="false" customHeight="false" outlineLevel="0" collapsed="false">
      <c r="A208" s="40"/>
      <c r="B208" s="46"/>
      <c r="C208" s="46"/>
      <c r="D208" s="46"/>
      <c r="E208" s="46"/>
      <c r="F208" s="46"/>
      <c r="G208" s="45"/>
      <c r="H208" s="46"/>
      <c r="I208" s="46"/>
    </row>
    <row r="209" customFormat="false" ht="15" hidden="false" customHeight="false" outlineLevel="0" collapsed="false">
      <c r="A209" s="40"/>
      <c r="B209" s="46"/>
      <c r="C209" s="46"/>
      <c r="D209" s="46"/>
      <c r="E209" s="46"/>
      <c r="F209" s="46"/>
      <c r="G209" s="45"/>
      <c r="H209" s="46"/>
      <c r="I209" s="46"/>
    </row>
    <row r="210" customFormat="false" ht="15" hidden="false" customHeight="false" outlineLevel="0" collapsed="false">
      <c r="A210" s="40"/>
      <c r="B210" s="46"/>
      <c r="C210" s="46"/>
      <c r="D210" s="46"/>
      <c r="E210" s="46"/>
      <c r="F210" s="46"/>
      <c r="G210" s="45"/>
      <c r="H210" s="46"/>
      <c r="I210" s="46"/>
    </row>
    <row r="211" customFormat="false" ht="15" hidden="false" customHeight="false" outlineLevel="0" collapsed="false">
      <c r="A211" s="40"/>
      <c r="B211" s="46"/>
      <c r="C211" s="46"/>
      <c r="D211" s="46"/>
      <c r="E211" s="46"/>
      <c r="F211" s="46"/>
      <c r="G211" s="45"/>
      <c r="H211" s="46"/>
      <c r="I211" s="46"/>
    </row>
    <row r="212" customFormat="false" ht="15" hidden="false" customHeight="false" outlineLevel="0" collapsed="false">
      <c r="A212" s="40"/>
      <c r="B212" s="46"/>
      <c r="C212" s="46"/>
      <c r="D212" s="46"/>
      <c r="E212" s="46"/>
      <c r="F212" s="46"/>
      <c r="G212" s="45"/>
      <c r="H212" s="46"/>
      <c r="I212" s="46"/>
    </row>
    <row r="213" customFormat="false" ht="15" hidden="false" customHeight="false" outlineLevel="0" collapsed="false">
      <c r="A213" s="40"/>
      <c r="B213" s="46"/>
      <c r="C213" s="46"/>
      <c r="D213" s="46"/>
      <c r="E213" s="46"/>
      <c r="F213" s="46"/>
      <c r="G213" s="45"/>
      <c r="H213" s="46"/>
      <c r="I213" s="46"/>
    </row>
    <row r="214" customFormat="false" ht="15" hidden="false" customHeight="false" outlineLevel="0" collapsed="false">
      <c r="A214" s="40"/>
      <c r="B214" s="46"/>
      <c r="C214" s="46"/>
      <c r="D214" s="46"/>
      <c r="E214" s="46"/>
      <c r="F214" s="46"/>
      <c r="G214" s="45"/>
      <c r="H214" s="46"/>
      <c r="I214" s="46"/>
    </row>
    <row r="215" customFormat="false" ht="15" hidden="false" customHeight="false" outlineLevel="0" collapsed="false">
      <c r="A215" s="40"/>
      <c r="B215" s="46"/>
      <c r="C215" s="46"/>
      <c r="D215" s="46"/>
      <c r="E215" s="46"/>
      <c r="F215" s="46"/>
      <c r="G215" s="45"/>
      <c r="H215" s="46"/>
      <c r="I215" s="46"/>
    </row>
    <row r="216" customFormat="false" ht="15" hidden="false" customHeight="false" outlineLevel="0" collapsed="false">
      <c r="A216" s="40"/>
      <c r="B216" s="46"/>
      <c r="C216" s="46"/>
      <c r="D216" s="46"/>
      <c r="E216" s="46"/>
      <c r="F216" s="46"/>
      <c r="G216" s="45"/>
      <c r="H216" s="46"/>
      <c r="I216" s="46"/>
    </row>
    <row r="217" customFormat="false" ht="15" hidden="false" customHeight="false" outlineLevel="0" collapsed="false">
      <c r="A217" s="40"/>
      <c r="B217" s="46"/>
      <c r="C217" s="46"/>
      <c r="D217" s="46"/>
      <c r="E217" s="46"/>
      <c r="F217" s="46"/>
      <c r="G217" s="45"/>
      <c r="H217" s="46"/>
      <c r="I217" s="46"/>
    </row>
    <row r="218" customFormat="false" ht="15" hidden="false" customHeight="false" outlineLevel="0" collapsed="false">
      <c r="A218" s="40"/>
      <c r="B218" s="46"/>
      <c r="C218" s="46"/>
      <c r="D218" s="46"/>
      <c r="E218" s="46"/>
      <c r="F218" s="46"/>
      <c r="G218" s="45"/>
      <c r="H218" s="46"/>
      <c r="I218" s="46"/>
    </row>
    <row r="219" customFormat="false" ht="15" hidden="false" customHeight="false" outlineLevel="0" collapsed="false">
      <c r="A219" s="40"/>
      <c r="B219" s="46"/>
      <c r="C219" s="46"/>
      <c r="D219" s="46"/>
      <c r="E219" s="46"/>
      <c r="F219" s="46"/>
      <c r="G219" s="45"/>
      <c r="H219" s="46"/>
      <c r="I219" s="46"/>
    </row>
    <row r="220" customFormat="false" ht="15" hidden="false" customHeight="false" outlineLevel="0" collapsed="false">
      <c r="A220" s="40"/>
      <c r="B220" s="46"/>
      <c r="C220" s="46"/>
      <c r="D220" s="46"/>
      <c r="E220" s="46"/>
      <c r="F220" s="46"/>
      <c r="G220" s="45"/>
      <c r="H220" s="46"/>
      <c r="I220" s="46"/>
    </row>
    <row r="221" customFormat="false" ht="15" hidden="false" customHeight="false" outlineLevel="0" collapsed="false">
      <c r="A221" s="40"/>
      <c r="B221" s="46"/>
      <c r="C221" s="46"/>
      <c r="D221" s="46"/>
      <c r="E221" s="46"/>
      <c r="F221" s="46"/>
      <c r="G221" s="45"/>
      <c r="H221" s="46"/>
      <c r="I221" s="46"/>
    </row>
    <row r="222" customFormat="false" ht="15" hidden="false" customHeight="false" outlineLevel="0" collapsed="false">
      <c r="A222" s="40"/>
      <c r="B222" s="46"/>
      <c r="C222" s="46"/>
      <c r="D222" s="46"/>
      <c r="E222" s="46"/>
      <c r="F222" s="46"/>
      <c r="G222" s="45"/>
      <c r="H222" s="46"/>
      <c r="I222" s="46"/>
    </row>
    <row r="223" customFormat="false" ht="15" hidden="false" customHeight="false" outlineLevel="0" collapsed="false">
      <c r="A223" s="40"/>
      <c r="B223" s="46"/>
      <c r="C223" s="46"/>
      <c r="D223" s="46"/>
      <c r="E223" s="46"/>
      <c r="F223" s="46"/>
      <c r="G223" s="45"/>
      <c r="H223" s="46"/>
      <c r="I223" s="46"/>
    </row>
    <row r="224" customFormat="false" ht="15" hidden="false" customHeight="false" outlineLevel="0" collapsed="false">
      <c r="A224" s="40"/>
      <c r="B224" s="46"/>
      <c r="C224" s="46"/>
      <c r="D224" s="46"/>
      <c r="E224" s="46"/>
      <c r="F224" s="46"/>
      <c r="G224" s="45"/>
      <c r="H224" s="46"/>
      <c r="I224" s="46"/>
    </row>
    <row r="225" customFormat="false" ht="15" hidden="false" customHeight="false" outlineLevel="0" collapsed="false">
      <c r="A225" s="40"/>
      <c r="B225" s="46"/>
      <c r="C225" s="46"/>
      <c r="D225" s="46"/>
      <c r="E225" s="46"/>
      <c r="F225" s="46"/>
      <c r="G225" s="45"/>
      <c r="H225" s="46"/>
      <c r="I225" s="46"/>
    </row>
    <row r="226" customFormat="false" ht="15" hidden="false" customHeight="false" outlineLevel="0" collapsed="false">
      <c r="A226" s="40"/>
      <c r="B226" s="46"/>
      <c r="C226" s="46"/>
      <c r="D226" s="46"/>
      <c r="E226" s="46"/>
      <c r="F226" s="46"/>
      <c r="G226" s="45"/>
      <c r="H226" s="46"/>
      <c r="I226" s="46"/>
    </row>
    <row r="227" customFormat="false" ht="15" hidden="false" customHeight="false" outlineLevel="0" collapsed="false">
      <c r="A227" s="40"/>
      <c r="B227" s="46"/>
      <c r="C227" s="46"/>
      <c r="D227" s="46"/>
      <c r="E227" s="46"/>
      <c r="F227" s="46"/>
      <c r="G227" s="45"/>
      <c r="H227" s="46"/>
      <c r="I227" s="46"/>
    </row>
    <row r="228" customFormat="false" ht="15" hidden="false" customHeight="false" outlineLevel="0" collapsed="false">
      <c r="A228" s="40"/>
      <c r="B228" s="46"/>
      <c r="C228" s="46"/>
      <c r="D228" s="46"/>
      <c r="E228" s="46"/>
      <c r="F228" s="46"/>
      <c r="G228" s="45"/>
      <c r="H228" s="46"/>
      <c r="I228" s="46"/>
    </row>
    <row r="229" customFormat="false" ht="15" hidden="false" customHeight="false" outlineLevel="0" collapsed="false">
      <c r="A229" s="40"/>
      <c r="B229" s="46"/>
      <c r="C229" s="46"/>
      <c r="D229" s="46"/>
      <c r="E229" s="46"/>
      <c r="F229" s="46"/>
      <c r="G229" s="45"/>
      <c r="H229" s="46"/>
      <c r="I229" s="46"/>
    </row>
    <row r="230" customFormat="false" ht="15" hidden="false" customHeight="false" outlineLevel="0" collapsed="false">
      <c r="A230" s="40"/>
      <c r="B230" s="46"/>
      <c r="C230" s="46"/>
      <c r="D230" s="46"/>
      <c r="E230" s="46"/>
      <c r="F230" s="46"/>
      <c r="G230" s="45"/>
      <c r="H230" s="46"/>
      <c r="I230" s="46"/>
    </row>
    <row r="231" customFormat="false" ht="15" hidden="false" customHeight="false" outlineLevel="0" collapsed="false">
      <c r="A231" s="40"/>
      <c r="B231" s="46"/>
      <c r="C231" s="46"/>
      <c r="D231" s="46"/>
      <c r="E231" s="46"/>
      <c r="F231" s="46"/>
      <c r="G231" s="45"/>
      <c r="H231" s="46"/>
      <c r="I231" s="46"/>
    </row>
    <row r="232" customFormat="false" ht="15" hidden="false" customHeight="false" outlineLevel="0" collapsed="false">
      <c r="A232" s="40"/>
      <c r="B232" s="46"/>
      <c r="C232" s="46"/>
      <c r="D232" s="46"/>
      <c r="E232" s="46"/>
      <c r="F232" s="46"/>
      <c r="G232" s="45"/>
      <c r="H232" s="46"/>
      <c r="I232" s="46"/>
    </row>
    <row r="233" customFormat="false" ht="15" hidden="false" customHeight="false" outlineLevel="0" collapsed="false">
      <c r="A233" s="40"/>
      <c r="B233" s="46"/>
      <c r="C233" s="46"/>
      <c r="D233" s="46"/>
      <c r="E233" s="46"/>
      <c r="F233" s="46"/>
      <c r="G233" s="45"/>
      <c r="H233" s="46"/>
      <c r="I233" s="46"/>
    </row>
    <row r="234" customFormat="false" ht="15" hidden="false" customHeight="false" outlineLevel="0" collapsed="false">
      <c r="A234" s="40"/>
      <c r="B234" s="46"/>
      <c r="C234" s="46"/>
      <c r="D234" s="46"/>
      <c r="E234" s="46"/>
      <c r="F234" s="46"/>
      <c r="G234" s="45"/>
      <c r="H234" s="46"/>
      <c r="I234" s="46"/>
    </row>
    <row r="235" customFormat="false" ht="15" hidden="false" customHeight="false" outlineLevel="0" collapsed="false">
      <c r="A235" s="40"/>
      <c r="B235" s="46"/>
      <c r="C235" s="46"/>
      <c r="D235" s="46"/>
      <c r="E235" s="46"/>
      <c r="F235" s="46"/>
      <c r="G235" s="45"/>
      <c r="H235" s="46"/>
      <c r="I235" s="46"/>
    </row>
    <row r="236" customFormat="false" ht="15" hidden="false" customHeight="false" outlineLevel="0" collapsed="false">
      <c r="A236" s="40"/>
      <c r="B236" s="46"/>
      <c r="C236" s="46"/>
      <c r="D236" s="46"/>
      <c r="E236" s="46"/>
      <c r="F236" s="46"/>
      <c r="G236" s="45"/>
      <c r="H236" s="46"/>
      <c r="I236" s="46"/>
    </row>
    <row r="237" customFormat="false" ht="15" hidden="false" customHeight="false" outlineLevel="0" collapsed="false">
      <c r="A237" s="40"/>
      <c r="B237" s="46"/>
      <c r="C237" s="46"/>
      <c r="D237" s="46"/>
      <c r="E237" s="46"/>
      <c r="F237" s="46"/>
      <c r="G237" s="45"/>
      <c r="H237" s="46"/>
      <c r="I237" s="46"/>
    </row>
    <row r="238" customFormat="false" ht="15" hidden="false" customHeight="false" outlineLevel="0" collapsed="false">
      <c r="A238" s="40"/>
      <c r="B238" s="46"/>
      <c r="C238" s="46"/>
      <c r="D238" s="46"/>
      <c r="E238" s="46"/>
      <c r="F238" s="46"/>
      <c r="G238" s="45"/>
      <c r="H238" s="46"/>
      <c r="I238" s="46"/>
    </row>
    <row r="239" customFormat="false" ht="15" hidden="false" customHeight="false" outlineLevel="0" collapsed="false">
      <c r="A239" s="40"/>
      <c r="B239" s="46"/>
      <c r="C239" s="46"/>
      <c r="D239" s="46"/>
      <c r="E239" s="46"/>
      <c r="F239" s="46"/>
      <c r="G239" s="45"/>
      <c r="H239" s="46"/>
      <c r="I239" s="46"/>
    </row>
    <row r="240" customFormat="false" ht="15" hidden="false" customHeight="false" outlineLevel="0" collapsed="false">
      <c r="A240" s="40"/>
      <c r="B240" s="46"/>
      <c r="C240" s="46"/>
      <c r="D240" s="46"/>
      <c r="E240" s="46"/>
      <c r="F240" s="46"/>
      <c r="G240" s="45"/>
      <c r="H240" s="46"/>
      <c r="I240" s="46"/>
    </row>
    <row r="241" customFormat="false" ht="15" hidden="false" customHeight="false" outlineLevel="0" collapsed="false">
      <c r="A241" s="40"/>
      <c r="B241" s="46"/>
      <c r="C241" s="46"/>
      <c r="D241" s="46"/>
      <c r="E241" s="46"/>
      <c r="F241" s="46"/>
      <c r="G241" s="45"/>
      <c r="H241" s="46"/>
      <c r="I241" s="46"/>
    </row>
    <row r="242" customFormat="false" ht="15" hidden="false" customHeight="false" outlineLevel="0" collapsed="false">
      <c r="A242" s="40"/>
      <c r="B242" s="46"/>
      <c r="C242" s="46"/>
      <c r="D242" s="46"/>
      <c r="E242" s="46"/>
      <c r="F242" s="46"/>
      <c r="G242" s="45"/>
      <c r="H242" s="46"/>
      <c r="I242" s="46"/>
    </row>
    <row r="243" customFormat="false" ht="15" hidden="false" customHeight="false" outlineLevel="0" collapsed="false">
      <c r="A243" s="40"/>
      <c r="B243" s="46"/>
      <c r="C243" s="46"/>
      <c r="D243" s="46"/>
      <c r="E243" s="46"/>
      <c r="F243" s="46"/>
      <c r="G243" s="45"/>
      <c r="H243" s="46"/>
      <c r="I243" s="46"/>
    </row>
    <row r="244" customFormat="false" ht="15" hidden="false" customHeight="false" outlineLevel="0" collapsed="false">
      <c r="A244" s="40"/>
      <c r="B244" s="46"/>
      <c r="C244" s="46"/>
      <c r="D244" s="46"/>
      <c r="E244" s="46"/>
      <c r="F244" s="46"/>
      <c r="G244" s="45"/>
      <c r="H244" s="46"/>
      <c r="I244" s="46"/>
    </row>
    <row r="245" customFormat="false" ht="15" hidden="false" customHeight="false" outlineLevel="0" collapsed="false">
      <c r="A245" s="40"/>
      <c r="B245" s="46"/>
      <c r="C245" s="46"/>
      <c r="D245" s="46"/>
      <c r="E245" s="46"/>
      <c r="F245" s="46"/>
      <c r="G245" s="45"/>
      <c r="H245" s="46"/>
      <c r="I245" s="46"/>
    </row>
    <row r="246" customFormat="false" ht="15" hidden="false" customHeight="false" outlineLevel="0" collapsed="false">
      <c r="A246" s="40"/>
      <c r="B246" s="46"/>
      <c r="C246" s="46"/>
      <c r="D246" s="46"/>
      <c r="E246" s="46"/>
      <c r="F246" s="46"/>
      <c r="G246" s="45"/>
      <c r="H246" s="46"/>
      <c r="I246" s="46"/>
    </row>
    <row r="247" customFormat="false" ht="15" hidden="false" customHeight="false" outlineLevel="0" collapsed="false">
      <c r="A247" s="40"/>
      <c r="B247" s="46"/>
      <c r="C247" s="46"/>
      <c r="D247" s="46"/>
      <c r="E247" s="46"/>
      <c r="F247" s="46"/>
      <c r="G247" s="45"/>
      <c r="H247" s="46"/>
      <c r="I247" s="46"/>
    </row>
    <row r="248" customFormat="false" ht="15" hidden="false" customHeight="false" outlineLevel="0" collapsed="false">
      <c r="A248" s="40"/>
      <c r="B248" s="46"/>
      <c r="C248" s="46"/>
      <c r="D248" s="46"/>
      <c r="E248" s="46"/>
      <c r="F248" s="46"/>
      <c r="G248" s="45"/>
      <c r="H248" s="46"/>
      <c r="I248" s="46"/>
    </row>
    <row r="249" customFormat="false" ht="15" hidden="false" customHeight="false" outlineLevel="0" collapsed="false">
      <c r="A249" s="40"/>
      <c r="B249" s="46"/>
      <c r="C249" s="46"/>
      <c r="D249" s="46"/>
      <c r="E249" s="46"/>
      <c r="F249" s="46"/>
      <c r="G249" s="45"/>
      <c r="H249" s="46"/>
      <c r="I249" s="46"/>
    </row>
    <row r="250" customFormat="false" ht="15" hidden="false" customHeight="false" outlineLevel="0" collapsed="false">
      <c r="A250" s="40"/>
      <c r="B250" s="46"/>
      <c r="C250" s="46"/>
      <c r="D250" s="46"/>
      <c r="E250" s="46"/>
      <c r="F250" s="46"/>
      <c r="G250" s="45"/>
      <c r="H250" s="46"/>
      <c r="I250" s="46"/>
    </row>
    <row r="251" customFormat="false" ht="15" hidden="false" customHeight="false" outlineLevel="0" collapsed="false">
      <c r="A251" s="40"/>
      <c r="B251" s="46"/>
      <c r="C251" s="46"/>
      <c r="D251" s="46"/>
      <c r="E251" s="46"/>
      <c r="F251" s="46"/>
      <c r="G251" s="45"/>
      <c r="H251" s="46"/>
      <c r="I251" s="46"/>
    </row>
    <row r="252" customFormat="false" ht="15" hidden="false" customHeight="false" outlineLevel="0" collapsed="false">
      <c r="A252" s="40"/>
      <c r="B252" s="46"/>
      <c r="C252" s="46"/>
      <c r="D252" s="46"/>
      <c r="E252" s="46"/>
      <c r="F252" s="46"/>
      <c r="G252" s="45"/>
      <c r="H252" s="46"/>
      <c r="I252" s="46"/>
    </row>
    <row r="253" customFormat="false" ht="15" hidden="false" customHeight="false" outlineLevel="0" collapsed="false">
      <c r="A253" s="40"/>
      <c r="B253" s="46"/>
      <c r="C253" s="46"/>
      <c r="D253" s="46"/>
      <c r="E253" s="46"/>
      <c r="F253" s="46"/>
      <c r="G253" s="45"/>
      <c r="H253" s="46"/>
      <c r="I253" s="46"/>
    </row>
    <row r="254" customFormat="false" ht="15" hidden="false" customHeight="false" outlineLevel="0" collapsed="false">
      <c r="A254" s="40"/>
      <c r="B254" s="46"/>
      <c r="C254" s="46"/>
      <c r="D254" s="46"/>
      <c r="E254" s="46"/>
      <c r="F254" s="46"/>
      <c r="G254" s="45"/>
      <c r="H254" s="46"/>
      <c r="I254" s="46"/>
    </row>
    <row r="255" customFormat="false" ht="15" hidden="false" customHeight="false" outlineLevel="0" collapsed="false">
      <c r="A255" s="40"/>
      <c r="B255" s="46"/>
      <c r="C255" s="46"/>
      <c r="D255" s="46"/>
      <c r="E255" s="46"/>
      <c r="F255" s="46"/>
      <c r="G255" s="45"/>
      <c r="H255" s="46"/>
      <c r="I255" s="46"/>
    </row>
    <row r="256" customFormat="false" ht="15" hidden="false" customHeight="false" outlineLevel="0" collapsed="false">
      <c r="A256" s="40"/>
      <c r="B256" s="46"/>
      <c r="C256" s="46"/>
      <c r="D256" s="46"/>
      <c r="E256" s="46"/>
      <c r="F256" s="46"/>
      <c r="G256" s="45"/>
      <c r="H256" s="46"/>
      <c r="I256" s="46"/>
    </row>
    <row r="257" customFormat="false" ht="15" hidden="false" customHeight="false" outlineLevel="0" collapsed="false">
      <c r="A257" s="40"/>
      <c r="B257" s="46"/>
      <c r="C257" s="46"/>
      <c r="D257" s="46"/>
      <c r="E257" s="46"/>
      <c r="F257" s="46"/>
      <c r="G257" s="45"/>
      <c r="H257" s="46"/>
      <c r="I257" s="46"/>
    </row>
    <row r="258" customFormat="false" ht="15" hidden="false" customHeight="false" outlineLevel="0" collapsed="false">
      <c r="A258" s="40"/>
      <c r="B258" s="46"/>
      <c r="C258" s="46"/>
      <c r="D258" s="46"/>
      <c r="E258" s="46"/>
      <c r="F258" s="46"/>
      <c r="G258" s="45"/>
      <c r="H258" s="46"/>
      <c r="I258" s="46"/>
    </row>
    <row r="259" customFormat="false" ht="15" hidden="false" customHeight="false" outlineLevel="0" collapsed="false">
      <c r="A259" s="40"/>
      <c r="B259" s="46"/>
      <c r="C259" s="46"/>
      <c r="D259" s="46"/>
      <c r="E259" s="46"/>
      <c r="F259" s="46"/>
      <c r="G259" s="45"/>
      <c r="H259" s="46"/>
      <c r="I259" s="46"/>
    </row>
    <row r="260" customFormat="false" ht="15" hidden="false" customHeight="false" outlineLevel="0" collapsed="false">
      <c r="A260" s="40"/>
      <c r="B260" s="46"/>
      <c r="C260" s="46"/>
      <c r="D260" s="46"/>
      <c r="E260" s="46"/>
      <c r="F260" s="46"/>
      <c r="G260" s="45"/>
      <c r="H260" s="46"/>
      <c r="I260" s="46"/>
    </row>
    <row r="261" customFormat="false" ht="15" hidden="false" customHeight="false" outlineLevel="0" collapsed="false">
      <c r="A261" s="40"/>
      <c r="B261" s="46"/>
      <c r="C261" s="46"/>
      <c r="D261" s="46"/>
      <c r="E261" s="46"/>
      <c r="F261" s="46"/>
      <c r="G261" s="45"/>
      <c r="H261" s="46"/>
      <c r="I261" s="46"/>
    </row>
    <row r="262" customFormat="false" ht="15" hidden="false" customHeight="false" outlineLevel="0" collapsed="false">
      <c r="A262" s="40"/>
      <c r="B262" s="46"/>
      <c r="C262" s="46"/>
      <c r="D262" s="46"/>
      <c r="E262" s="46"/>
      <c r="F262" s="46"/>
      <c r="G262" s="45"/>
      <c r="H262" s="46"/>
      <c r="I262" s="46"/>
    </row>
    <row r="263" customFormat="false" ht="15" hidden="false" customHeight="false" outlineLevel="0" collapsed="false">
      <c r="A263" s="40"/>
      <c r="B263" s="46"/>
      <c r="C263" s="46"/>
      <c r="D263" s="46"/>
      <c r="E263" s="46"/>
      <c r="F263" s="46"/>
      <c r="G263" s="45"/>
      <c r="H263" s="46"/>
      <c r="I263" s="46"/>
    </row>
    <row r="264" customFormat="false" ht="15" hidden="false" customHeight="false" outlineLevel="0" collapsed="false">
      <c r="A264" s="40"/>
      <c r="B264" s="46"/>
      <c r="C264" s="46"/>
      <c r="D264" s="46"/>
      <c r="E264" s="46"/>
      <c r="F264" s="46"/>
      <c r="G264" s="45"/>
      <c r="H264" s="46"/>
      <c r="I264" s="46"/>
    </row>
    <row r="265" customFormat="false" ht="15" hidden="false" customHeight="false" outlineLevel="0" collapsed="false">
      <c r="A265" s="40"/>
      <c r="B265" s="46"/>
      <c r="C265" s="46"/>
      <c r="D265" s="46"/>
      <c r="E265" s="46"/>
      <c r="F265" s="46"/>
      <c r="G265" s="45"/>
      <c r="H265" s="46"/>
      <c r="I265" s="46"/>
    </row>
    <row r="266" customFormat="false" ht="15" hidden="false" customHeight="false" outlineLevel="0" collapsed="false">
      <c r="A266" s="40"/>
      <c r="B266" s="46"/>
      <c r="C266" s="46"/>
      <c r="D266" s="46"/>
      <c r="E266" s="46"/>
      <c r="F266" s="46"/>
      <c r="G266" s="45"/>
      <c r="H266" s="46"/>
      <c r="I266" s="46"/>
    </row>
    <row r="267" customFormat="false" ht="15" hidden="false" customHeight="false" outlineLevel="0" collapsed="false">
      <c r="A267" s="40"/>
      <c r="B267" s="46"/>
      <c r="C267" s="46"/>
      <c r="D267" s="46"/>
      <c r="E267" s="46"/>
      <c r="F267" s="46"/>
      <c r="G267" s="45"/>
      <c r="H267" s="46"/>
      <c r="I267" s="46"/>
    </row>
    <row r="268" customFormat="false" ht="15" hidden="false" customHeight="false" outlineLevel="0" collapsed="false">
      <c r="A268" s="40"/>
      <c r="B268" s="46"/>
      <c r="C268" s="46"/>
      <c r="D268" s="46"/>
      <c r="E268" s="46"/>
      <c r="F268" s="46"/>
      <c r="G268" s="45"/>
      <c r="H268" s="46"/>
      <c r="I268" s="46"/>
    </row>
    <row r="269" customFormat="false" ht="15" hidden="false" customHeight="false" outlineLevel="0" collapsed="false">
      <c r="A269" s="40"/>
      <c r="B269" s="46"/>
      <c r="C269" s="46"/>
      <c r="D269" s="46"/>
      <c r="E269" s="46"/>
      <c r="F269" s="46"/>
      <c r="G269" s="45"/>
      <c r="H269" s="46"/>
      <c r="I269" s="46"/>
    </row>
    <row r="270" customFormat="false" ht="15" hidden="false" customHeight="false" outlineLevel="0" collapsed="false">
      <c r="A270" s="40"/>
      <c r="B270" s="46"/>
      <c r="C270" s="46"/>
      <c r="D270" s="46"/>
      <c r="E270" s="46"/>
      <c r="F270" s="46"/>
      <c r="G270" s="45"/>
      <c r="H270" s="46"/>
      <c r="I270" s="46"/>
    </row>
    <row r="271" customFormat="false" ht="15" hidden="false" customHeight="false" outlineLevel="0" collapsed="false">
      <c r="A271" s="40"/>
      <c r="B271" s="46"/>
      <c r="C271" s="46"/>
      <c r="D271" s="46"/>
      <c r="E271" s="46"/>
      <c r="F271" s="46"/>
      <c r="G271" s="45"/>
      <c r="H271" s="46"/>
      <c r="I271" s="46"/>
    </row>
    <row r="272" customFormat="false" ht="15" hidden="false" customHeight="false" outlineLevel="0" collapsed="false">
      <c r="A272" s="40"/>
      <c r="B272" s="46"/>
      <c r="C272" s="46"/>
      <c r="D272" s="46"/>
      <c r="E272" s="46"/>
      <c r="F272" s="46"/>
      <c r="G272" s="45"/>
      <c r="H272" s="46"/>
      <c r="I272" s="46"/>
    </row>
    <row r="273" customFormat="false" ht="15" hidden="false" customHeight="false" outlineLevel="0" collapsed="false">
      <c r="A273" s="40"/>
      <c r="B273" s="46"/>
      <c r="C273" s="46"/>
      <c r="D273" s="46"/>
      <c r="E273" s="46"/>
      <c r="F273" s="46"/>
      <c r="G273" s="45"/>
      <c r="H273" s="46"/>
      <c r="I273" s="46"/>
    </row>
    <row r="274" customFormat="false" ht="15" hidden="false" customHeight="false" outlineLevel="0" collapsed="false">
      <c r="A274" s="40"/>
      <c r="B274" s="46"/>
      <c r="C274" s="46"/>
      <c r="D274" s="46"/>
      <c r="E274" s="46"/>
      <c r="F274" s="46"/>
      <c r="G274" s="45"/>
      <c r="H274" s="46"/>
      <c r="I274" s="46"/>
    </row>
    <row r="275" customFormat="false" ht="15" hidden="false" customHeight="false" outlineLevel="0" collapsed="false">
      <c r="A275" s="40"/>
      <c r="B275" s="46"/>
      <c r="C275" s="46"/>
      <c r="D275" s="46"/>
      <c r="E275" s="46"/>
      <c r="F275" s="46"/>
      <c r="G275" s="45"/>
      <c r="H275" s="46"/>
      <c r="I275" s="46"/>
    </row>
    <row r="276" customFormat="false" ht="15" hidden="false" customHeight="false" outlineLevel="0" collapsed="false">
      <c r="A276" s="40"/>
      <c r="B276" s="46"/>
      <c r="C276" s="46"/>
      <c r="D276" s="46"/>
      <c r="E276" s="46"/>
      <c r="F276" s="46"/>
      <c r="G276" s="45"/>
      <c r="H276" s="46"/>
      <c r="I276" s="46"/>
    </row>
    <row r="277" customFormat="false" ht="15" hidden="false" customHeight="false" outlineLevel="0" collapsed="false">
      <c r="A277" s="40"/>
      <c r="B277" s="46"/>
      <c r="C277" s="46"/>
      <c r="D277" s="46"/>
      <c r="E277" s="46"/>
      <c r="F277" s="46"/>
      <c r="G277" s="45"/>
      <c r="H277" s="46"/>
      <c r="I277" s="46"/>
    </row>
    <row r="278" customFormat="false" ht="15" hidden="false" customHeight="false" outlineLevel="0" collapsed="false">
      <c r="A278" s="40"/>
      <c r="B278" s="46"/>
      <c r="C278" s="46"/>
      <c r="D278" s="46"/>
      <c r="E278" s="46"/>
      <c r="F278" s="46"/>
      <c r="G278" s="45"/>
      <c r="H278" s="46"/>
      <c r="I278" s="46"/>
    </row>
    <row r="279" customFormat="false" ht="15" hidden="false" customHeight="false" outlineLevel="0" collapsed="false">
      <c r="A279" s="40"/>
      <c r="B279" s="46"/>
      <c r="C279" s="46"/>
      <c r="D279" s="46"/>
      <c r="E279" s="46"/>
      <c r="F279" s="46"/>
      <c r="G279" s="45"/>
      <c r="H279" s="46"/>
      <c r="I279" s="46"/>
    </row>
    <row r="280" customFormat="false" ht="15" hidden="false" customHeight="false" outlineLevel="0" collapsed="false">
      <c r="A280" s="40"/>
      <c r="B280" s="46"/>
      <c r="C280" s="46"/>
      <c r="D280" s="46"/>
      <c r="E280" s="46"/>
      <c r="F280" s="46"/>
      <c r="G280" s="45"/>
      <c r="H280" s="46"/>
      <c r="I280" s="46"/>
    </row>
    <row r="281" customFormat="false" ht="15" hidden="false" customHeight="false" outlineLevel="0" collapsed="false">
      <c r="A281" s="40"/>
      <c r="B281" s="46"/>
      <c r="C281" s="46"/>
      <c r="D281" s="46"/>
      <c r="E281" s="46"/>
      <c r="F281" s="46"/>
      <c r="G281" s="45"/>
      <c r="H281" s="46"/>
      <c r="I281" s="46"/>
    </row>
    <row r="282" customFormat="false" ht="15" hidden="false" customHeight="false" outlineLevel="0" collapsed="false">
      <c r="A282" s="40"/>
      <c r="B282" s="46"/>
      <c r="C282" s="46"/>
      <c r="D282" s="46"/>
      <c r="E282" s="46"/>
      <c r="F282" s="46"/>
      <c r="G282" s="45"/>
      <c r="H282" s="46"/>
      <c r="I282" s="46"/>
    </row>
    <row r="283" customFormat="false" ht="15" hidden="false" customHeight="false" outlineLevel="0" collapsed="false">
      <c r="A283" s="40"/>
      <c r="B283" s="46"/>
      <c r="C283" s="46"/>
      <c r="D283" s="46"/>
      <c r="E283" s="46"/>
      <c r="F283" s="46"/>
      <c r="G283" s="45"/>
      <c r="H283" s="46"/>
      <c r="I283" s="46"/>
    </row>
    <row r="284" customFormat="false" ht="15" hidden="false" customHeight="false" outlineLevel="0" collapsed="false">
      <c r="A284" s="40"/>
      <c r="B284" s="46"/>
      <c r="C284" s="46"/>
      <c r="D284" s="46"/>
      <c r="E284" s="46"/>
      <c r="F284" s="46"/>
      <c r="G284" s="45"/>
      <c r="H284" s="46"/>
      <c r="I284" s="46"/>
    </row>
    <row r="285" customFormat="false" ht="15" hidden="false" customHeight="false" outlineLevel="0" collapsed="false">
      <c r="A285" s="40"/>
      <c r="B285" s="46"/>
      <c r="C285" s="46"/>
      <c r="D285" s="46"/>
      <c r="E285" s="46"/>
      <c r="F285" s="46"/>
      <c r="G285" s="45"/>
      <c r="H285" s="46"/>
      <c r="I285" s="46"/>
    </row>
    <row r="286" customFormat="false" ht="15" hidden="false" customHeight="false" outlineLevel="0" collapsed="false">
      <c r="A286" s="40"/>
      <c r="B286" s="46"/>
      <c r="C286" s="46"/>
      <c r="D286" s="46"/>
      <c r="E286" s="46"/>
      <c r="F286" s="46"/>
      <c r="G286" s="45"/>
      <c r="H286" s="46"/>
      <c r="I286" s="46"/>
    </row>
    <row r="287" customFormat="false" ht="15" hidden="false" customHeight="false" outlineLevel="0" collapsed="false">
      <c r="A287" s="40"/>
      <c r="B287" s="46"/>
      <c r="C287" s="46"/>
      <c r="D287" s="46"/>
      <c r="E287" s="46"/>
      <c r="F287" s="46"/>
      <c r="G287" s="45"/>
      <c r="H287" s="46"/>
      <c r="I287" s="46"/>
    </row>
    <row r="288" customFormat="false" ht="15" hidden="false" customHeight="false" outlineLevel="0" collapsed="false">
      <c r="A288" s="40"/>
      <c r="B288" s="46"/>
      <c r="C288" s="46"/>
      <c r="D288" s="46"/>
      <c r="E288" s="46"/>
      <c r="F288" s="46"/>
      <c r="G288" s="45"/>
      <c r="H288" s="46"/>
      <c r="I288" s="46"/>
    </row>
    <row r="289" customFormat="false" ht="15" hidden="false" customHeight="false" outlineLevel="0" collapsed="false">
      <c r="A289" s="40"/>
      <c r="B289" s="46"/>
      <c r="C289" s="46"/>
      <c r="D289" s="46"/>
      <c r="E289" s="46"/>
      <c r="F289" s="46"/>
      <c r="G289" s="45"/>
      <c r="H289" s="46"/>
      <c r="I289" s="46"/>
    </row>
    <row r="290" customFormat="false" ht="15" hidden="false" customHeight="false" outlineLevel="0" collapsed="false">
      <c r="A290" s="40"/>
      <c r="B290" s="46"/>
      <c r="C290" s="46"/>
      <c r="D290" s="46"/>
      <c r="E290" s="46"/>
      <c r="F290" s="46"/>
      <c r="G290" s="45"/>
      <c r="H290" s="46"/>
      <c r="I290" s="46"/>
    </row>
    <row r="291" customFormat="false" ht="15" hidden="false" customHeight="false" outlineLevel="0" collapsed="false">
      <c r="A291" s="40"/>
      <c r="B291" s="46"/>
      <c r="C291" s="46"/>
      <c r="D291" s="46"/>
      <c r="E291" s="46"/>
      <c r="F291" s="46"/>
      <c r="G291" s="45"/>
      <c r="H291" s="46"/>
      <c r="I291" s="46"/>
    </row>
    <row r="292" customFormat="false" ht="15" hidden="false" customHeight="false" outlineLevel="0" collapsed="false">
      <c r="A292" s="40"/>
      <c r="B292" s="46"/>
      <c r="C292" s="46"/>
      <c r="D292" s="46"/>
      <c r="E292" s="46"/>
      <c r="F292" s="46"/>
      <c r="G292" s="45"/>
      <c r="H292" s="46"/>
      <c r="I292" s="46"/>
    </row>
    <row r="293" customFormat="false" ht="15" hidden="false" customHeight="false" outlineLevel="0" collapsed="false">
      <c r="A293" s="40"/>
      <c r="B293" s="46"/>
      <c r="C293" s="46"/>
      <c r="D293" s="46"/>
      <c r="E293" s="46"/>
      <c r="F293" s="46"/>
      <c r="G293" s="45"/>
      <c r="H293" s="46"/>
      <c r="I293" s="46"/>
    </row>
    <row r="294" customFormat="false" ht="15" hidden="false" customHeight="false" outlineLevel="0" collapsed="false">
      <c r="A294" s="40"/>
      <c r="B294" s="46"/>
      <c r="C294" s="46"/>
      <c r="D294" s="46"/>
      <c r="E294" s="46"/>
      <c r="F294" s="46"/>
      <c r="G294" s="45"/>
      <c r="H294" s="46"/>
      <c r="I294" s="46"/>
    </row>
    <row r="295" customFormat="false" ht="15" hidden="false" customHeight="false" outlineLevel="0" collapsed="false">
      <c r="A295" s="40"/>
      <c r="B295" s="46"/>
      <c r="C295" s="46"/>
      <c r="D295" s="46"/>
      <c r="E295" s="46"/>
      <c r="F295" s="46"/>
      <c r="G295" s="45"/>
      <c r="H295" s="46"/>
      <c r="I295" s="46"/>
    </row>
    <row r="296" customFormat="false" ht="15" hidden="false" customHeight="false" outlineLevel="0" collapsed="false">
      <c r="A296" s="40"/>
      <c r="B296" s="46"/>
      <c r="C296" s="46"/>
      <c r="D296" s="46"/>
      <c r="E296" s="46"/>
      <c r="F296" s="46"/>
      <c r="G296" s="45"/>
      <c r="H296" s="46"/>
      <c r="I296" s="46"/>
    </row>
    <row r="297" customFormat="false" ht="15" hidden="false" customHeight="false" outlineLevel="0" collapsed="false">
      <c r="A297" s="40"/>
      <c r="B297" s="46"/>
      <c r="C297" s="46"/>
      <c r="D297" s="46"/>
      <c r="E297" s="46"/>
      <c r="F297" s="46"/>
      <c r="G297" s="45"/>
      <c r="H297" s="46"/>
      <c r="I297" s="46"/>
    </row>
    <row r="298" customFormat="false" ht="15" hidden="false" customHeight="false" outlineLevel="0" collapsed="false">
      <c r="A298" s="40"/>
      <c r="B298" s="46"/>
      <c r="C298" s="46"/>
      <c r="D298" s="46"/>
      <c r="E298" s="46"/>
      <c r="F298" s="46"/>
      <c r="G298" s="45"/>
      <c r="H298" s="46"/>
      <c r="I298" s="46"/>
    </row>
    <row r="299" customFormat="false" ht="15" hidden="false" customHeight="false" outlineLevel="0" collapsed="false">
      <c r="A299" s="40"/>
      <c r="B299" s="46"/>
      <c r="C299" s="46"/>
      <c r="D299" s="46"/>
      <c r="E299" s="46"/>
      <c r="F299" s="46"/>
      <c r="G299" s="45"/>
      <c r="H299" s="46"/>
      <c r="I299" s="46"/>
    </row>
    <row r="300" customFormat="false" ht="15" hidden="false" customHeight="false" outlineLevel="0" collapsed="false">
      <c r="A300" s="40"/>
      <c r="B300" s="46"/>
      <c r="C300" s="46"/>
      <c r="D300" s="46"/>
      <c r="E300" s="46"/>
      <c r="F300" s="46"/>
      <c r="G300" s="45"/>
      <c r="H300" s="46"/>
      <c r="I300" s="46"/>
    </row>
    <row r="301" customFormat="false" ht="15" hidden="false" customHeight="false" outlineLevel="0" collapsed="false">
      <c r="A301" s="40"/>
      <c r="B301" s="46"/>
      <c r="C301" s="46"/>
      <c r="D301" s="46"/>
      <c r="E301" s="46"/>
      <c r="F301" s="46"/>
      <c r="G301" s="45"/>
      <c r="H301" s="46"/>
      <c r="I301" s="46"/>
    </row>
    <row r="302" customFormat="false" ht="15" hidden="false" customHeight="false" outlineLevel="0" collapsed="false">
      <c r="A302" s="40"/>
      <c r="B302" s="46"/>
      <c r="C302" s="46"/>
      <c r="D302" s="46"/>
      <c r="E302" s="46"/>
      <c r="F302" s="46"/>
      <c r="G302" s="45"/>
      <c r="H302" s="46"/>
      <c r="I302" s="46"/>
    </row>
    <row r="303" customFormat="false" ht="15" hidden="false" customHeight="false" outlineLevel="0" collapsed="false">
      <c r="A303" s="40"/>
      <c r="B303" s="46"/>
      <c r="C303" s="46"/>
      <c r="D303" s="46"/>
      <c r="E303" s="46"/>
      <c r="F303" s="46"/>
      <c r="G303" s="45"/>
      <c r="H303" s="46"/>
      <c r="I303" s="46"/>
    </row>
    <row r="304" customFormat="false" ht="15" hidden="false" customHeight="false" outlineLevel="0" collapsed="false">
      <c r="A304" s="40"/>
      <c r="B304" s="46"/>
      <c r="C304" s="46"/>
      <c r="D304" s="46"/>
      <c r="E304" s="46"/>
      <c r="F304" s="46"/>
      <c r="G304" s="45"/>
      <c r="H304" s="46"/>
      <c r="I304" s="46"/>
    </row>
    <row r="305" customFormat="false" ht="15" hidden="false" customHeight="false" outlineLevel="0" collapsed="false">
      <c r="A305" s="40"/>
      <c r="B305" s="46"/>
      <c r="C305" s="46"/>
      <c r="D305" s="46"/>
      <c r="E305" s="46"/>
      <c r="F305" s="46"/>
      <c r="G305" s="45"/>
      <c r="H305" s="46"/>
      <c r="I305" s="46"/>
    </row>
  </sheetData>
  <autoFilter ref="A5:I305"/>
  <conditionalFormatting sqref="G6:G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dataValidations count="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KPI' on the Lists sheet)." errorStyle="stop" errorTitle="Pick from the list" operator="between" showDropDown="false" showErrorMessage="true" showInputMessage="false" sqref="B6:B305" type="list">
      <formula1>Lists!$M$2:$M$40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H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44"/>
  </cols>
  <sheetData>
    <row r="1" customFormat="false" ht="21.75" hidden="false" customHeight="true" outlineLevel="0" collapsed="false">
      <c r="A1" s="22" t="s">
        <v>480</v>
      </c>
    </row>
    <row r="2" customFormat="false" ht="15" hidden="false" customHeight="true" outlineLevel="0" collapsed="false">
      <c r="A2" s="23" t="s">
        <v>481</v>
      </c>
    </row>
    <row r="3" customFormat="false" ht="15" hidden="false" customHeight="true" outlineLevel="0" collapsed="false">
      <c r="A3" s="35" t="s">
        <v>482</v>
      </c>
    </row>
    <row r="5" customFormat="false" ht="43.5" hidden="false" customHeight="true" outlineLevel="0" collapsed="false">
      <c r="A5" s="39" t="s">
        <v>483</v>
      </c>
      <c r="B5" s="39" t="s">
        <v>484</v>
      </c>
      <c r="C5" s="39" t="s">
        <v>485</v>
      </c>
      <c r="D5" s="39" t="s">
        <v>486</v>
      </c>
      <c r="E5" s="39" t="s">
        <v>487</v>
      </c>
      <c r="F5" s="39" t="s">
        <v>488</v>
      </c>
      <c r="G5" s="39" t="s">
        <v>350</v>
      </c>
      <c r="H5" s="39" t="s">
        <v>262</v>
      </c>
    </row>
    <row r="6" customFormat="false" ht="15" hidden="false" customHeight="false" outlineLevel="0" collapsed="false">
      <c r="A6" s="46" t="s">
        <v>158</v>
      </c>
      <c r="B6" s="27" t="s">
        <v>159</v>
      </c>
      <c r="C6" s="47" t="s">
        <v>489</v>
      </c>
      <c r="D6" s="50" t="n">
        <v>1</v>
      </c>
      <c r="E6" s="40" t="n">
        <v>46083</v>
      </c>
      <c r="F6" s="40"/>
      <c r="G6" s="47" t="s">
        <v>490</v>
      </c>
      <c r="H6" s="46" t="s">
        <v>491</v>
      </c>
    </row>
    <row r="7" customFormat="false" ht="15" hidden="false" customHeight="false" outlineLevel="0" collapsed="false">
      <c r="A7" s="46" t="s">
        <v>161</v>
      </c>
      <c r="B7" s="27" t="s">
        <v>159</v>
      </c>
      <c r="C7" s="47" t="s">
        <v>489</v>
      </c>
      <c r="D7" s="50" t="n">
        <v>1</v>
      </c>
      <c r="E7" s="40" t="n">
        <v>46083</v>
      </c>
      <c r="F7" s="40"/>
      <c r="G7" s="47" t="s">
        <v>490</v>
      </c>
      <c r="H7" s="46" t="s">
        <v>491</v>
      </c>
    </row>
    <row r="8" customFormat="false" ht="15" hidden="false" customHeight="false" outlineLevel="0" collapsed="false">
      <c r="A8" s="46" t="s">
        <v>432</v>
      </c>
      <c r="B8" s="27" t="s">
        <v>159</v>
      </c>
      <c r="C8" s="47" t="s">
        <v>489</v>
      </c>
      <c r="D8" s="50" t="n">
        <v>1</v>
      </c>
      <c r="E8" s="40" t="n">
        <v>46083</v>
      </c>
      <c r="F8" s="40"/>
      <c r="G8" s="47" t="s">
        <v>490</v>
      </c>
      <c r="H8" s="46" t="s">
        <v>491</v>
      </c>
    </row>
    <row r="9" customFormat="false" ht="15" hidden="false" customHeight="false" outlineLevel="0" collapsed="false">
      <c r="A9" s="46" t="s">
        <v>492</v>
      </c>
      <c r="B9" s="27" t="s">
        <v>159</v>
      </c>
      <c r="C9" s="47" t="s">
        <v>489</v>
      </c>
      <c r="D9" s="50" t="n">
        <v>1</v>
      </c>
      <c r="E9" s="40" t="n">
        <v>46090</v>
      </c>
      <c r="F9" s="40"/>
      <c r="G9" s="47" t="s">
        <v>490</v>
      </c>
      <c r="H9" s="46" t="s">
        <v>491</v>
      </c>
    </row>
    <row r="10" customFormat="false" ht="15" hidden="false" customHeight="false" outlineLevel="0" collapsed="false">
      <c r="A10" s="46" t="s">
        <v>493</v>
      </c>
      <c r="B10" s="27" t="s">
        <v>159</v>
      </c>
      <c r="C10" s="47" t="s">
        <v>489</v>
      </c>
      <c r="D10" s="50" t="n">
        <v>1</v>
      </c>
      <c r="E10" s="40" t="n">
        <v>46090</v>
      </c>
      <c r="F10" s="40"/>
      <c r="G10" s="47" t="s">
        <v>490</v>
      </c>
      <c r="H10" s="46" t="s">
        <v>491</v>
      </c>
    </row>
    <row r="11" customFormat="false" ht="15" hidden="false" customHeight="false" outlineLevel="0" collapsed="false">
      <c r="A11" s="46" t="s">
        <v>494</v>
      </c>
      <c r="B11" s="27" t="s">
        <v>159</v>
      </c>
      <c r="C11" s="47" t="s">
        <v>489</v>
      </c>
      <c r="D11" s="50" t="n">
        <v>1</v>
      </c>
      <c r="E11" s="40" t="n">
        <v>46090</v>
      </c>
      <c r="F11" s="40"/>
      <c r="G11" s="47" t="s">
        <v>490</v>
      </c>
      <c r="H11" s="46" t="s">
        <v>491</v>
      </c>
    </row>
    <row r="12" customFormat="false" ht="15" hidden="false" customHeight="false" outlineLevel="0" collapsed="false">
      <c r="A12" s="46"/>
      <c r="B12" s="27"/>
      <c r="C12" s="47"/>
      <c r="D12" s="50"/>
      <c r="E12" s="40"/>
      <c r="F12" s="40"/>
      <c r="G12" s="47"/>
      <c r="H12" s="46"/>
    </row>
    <row r="13" customFormat="false" ht="15" hidden="false" customHeight="false" outlineLevel="0" collapsed="false">
      <c r="A13" s="46"/>
      <c r="B13" s="27"/>
      <c r="C13" s="47"/>
      <c r="D13" s="50"/>
      <c r="E13" s="40"/>
      <c r="F13" s="40"/>
      <c r="G13" s="47"/>
      <c r="H13" s="46"/>
    </row>
    <row r="14" customFormat="false" ht="15" hidden="false" customHeight="false" outlineLevel="0" collapsed="false">
      <c r="A14" s="46"/>
      <c r="B14" s="27"/>
      <c r="C14" s="47"/>
      <c r="D14" s="50"/>
      <c r="E14" s="40"/>
      <c r="F14" s="40"/>
      <c r="G14" s="47"/>
      <c r="H14" s="46"/>
    </row>
    <row r="15" customFormat="false" ht="15" hidden="false" customHeight="false" outlineLevel="0" collapsed="false">
      <c r="A15" s="46"/>
      <c r="B15" s="27"/>
      <c r="C15" s="47"/>
      <c r="D15" s="50"/>
      <c r="E15" s="40"/>
      <c r="F15" s="40"/>
      <c r="G15" s="47"/>
      <c r="H15" s="46"/>
    </row>
    <row r="16" customFormat="false" ht="15" hidden="false" customHeight="false" outlineLevel="0" collapsed="false">
      <c r="A16" s="46"/>
      <c r="B16" s="27"/>
      <c r="C16" s="47"/>
      <c r="D16" s="50"/>
      <c r="E16" s="40"/>
      <c r="F16" s="40"/>
      <c r="G16" s="47"/>
      <c r="H16" s="46"/>
    </row>
    <row r="17" customFormat="false" ht="15" hidden="false" customHeight="false" outlineLevel="0" collapsed="false">
      <c r="A17" s="46"/>
      <c r="B17" s="27"/>
      <c r="C17" s="47"/>
      <c r="D17" s="50"/>
      <c r="E17" s="40"/>
      <c r="F17" s="40"/>
      <c r="G17" s="47"/>
      <c r="H17" s="46"/>
    </row>
    <row r="18" customFormat="false" ht="15" hidden="false" customHeight="false" outlineLevel="0" collapsed="false">
      <c r="A18" s="46"/>
      <c r="B18" s="27"/>
      <c r="C18" s="47"/>
      <c r="D18" s="50"/>
      <c r="E18" s="40"/>
      <c r="F18" s="40"/>
      <c r="G18" s="47"/>
      <c r="H18" s="46"/>
    </row>
    <row r="19" customFormat="false" ht="15" hidden="false" customHeight="false" outlineLevel="0" collapsed="false">
      <c r="A19" s="46"/>
      <c r="B19" s="27"/>
      <c r="C19" s="47"/>
      <c r="D19" s="50"/>
      <c r="E19" s="40"/>
      <c r="F19" s="40"/>
      <c r="G19" s="47"/>
      <c r="H19" s="46"/>
    </row>
    <row r="20" customFormat="false" ht="15" hidden="false" customHeight="false" outlineLevel="0" collapsed="false">
      <c r="A20" s="46"/>
      <c r="B20" s="27"/>
      <c r="C20" s="47"/>
      <c r="D20" s="50"/>
      <c r="E20" s="40"/>
      <c r="F20" s="40"/>
      <c r="G20" s="47"/>
      <c r="H20" s="46"/>
    </row>
    <row r="21" customFormat="false" ht="15" hidden="false" customHeight="false" outlineLevel="0" collapsed="false">
      <c r="A21" s="46"/>
      <c r="B21" s="27"/>
      <c r="C21" s="47"/>
      <c r="D21" s="50"/>
      <c r="E21" s="40"/>
      <c r="F21" s="40"/>
      <c r="G21" s="47"/>
      <c r="H21" s="46"/>
    </row>
    <row r="22" customFormat="false" ht="15" hidden="false" customHeight="false" outlineLevel="0" collapsed="false">
      <c r="A22" s="46"/>
      <c r="B22" s="27"/>
      <c r="C22" s="47"/>
      <c r="D22" s="50"/>
      <c r="E22" s="40"/>
      <c r="F22" s="40"/>
      <c r="G22" s="47"/>
      <c r="H22" s="46"/>
    </row>
    <row r="23" customFormat="false" ht="15" hidden="false" customHeight="false" outlineLevel="0" collapsed="false">
      <c r="A23" s="46"/>
      <c r="B23" s="27"/>
      <c r="C23" s="47"/>
      <c r="D23" s="50"/>
      <c r="E23" s="40"/>
      <c r="F23" s="40"/>
      <c r="G23" s="47"/>
      <c r="H23" s="46"/>
    </row>
    <row r="24" customFormat="false" ht="15" hidden="false" customHeight="false" outlineLevel="0" collapsed="false">
      <c r="A24" s="46"/>
      <c r="B24" s="27"/>
      <c r="C24" s="47"/>
      <c r="D24" s="50"/>
      <c r="E24" s="40"/>
      <c r="F24" s="40"/>
      <c r="G24" s="47"/>
      <c r="H24" s="46"/>
    </row>
    <row r="25" customFormat="false" ht="15" hidden="false" customHeight="false" outlineLevel="0" collapsed="false">
      <c r="A25" s="46"/>
      <c r="B25" s="27"/>
      <c r="C25" s="47"/>
      <c r="D25" s="50"/>
      <c r="E25" s="40"/>
      <c r="F25" s="40"/>
      <c r="G25" s="47"/>
      <c r="H25" s="46"/>
    </row>
    <row r="26" customFormat="false" ht="15" hidden="false" customHeight="false" outlineLevel="0" collapsed="false">
      <c r="A26" s="46"/>
      <c r="B26" s="27"/>
      <c r="C26" s="47"/>
      <c r="D26" s="50"/>
      <c r="E26" s="40"/>
      <c r="F26" s="40"/>
      <c r="G26" s="47"/>
      <c r="H26" s="46"/>
    </row>
    <row r="27" customFormat="false" ht="15" hidden="false" customHeight="false" outlineLevel="0" collapsed="false">
      <c r="A27" s="46"/>
      <c r="B27" s="27"/>
      <c r="C27" s="47"/>
      <c r="D27" s="50"/>
      <c r="E27" s="40"/>
      <c r="F27" s="40"/>
      <c r="G27" s="47"/>
      <c r="H27" s="46"/>
    </row>
    <row r="28" customFormat="false" ht="15" hidden="false" customHeight="false" outlineLevel="0" collapsed="false">
      <c r="A28" s="46"/>
      <c r="B28" s="27"/>
      <c r="C28" s="47"/>
      <c r="D28" s="50"/>
      <c r="E28" s="40"/>
      <c r="F28" s="40"/>
      <c r="G28" s="47"/>
      <c r="H28" s="46"/>
    </row>
    <row r="29" customFormat="false" ht="15" hidden="false" customHeight="false" outlineLevel="0" collapsed="false">
      <c r="A29" s="46"/>
      <c r="B29" s="27"/>
      <c r="C29" s="47"/>
      <c r="D29" s="50"/>
      <c r="E29" s="40"/>
      <c r="F29" s="40"/>
      <c r="G29" s="47"/>
      <c r="H29" s="46"/>
    </row>
    <row r="30" customFormat="false" ht="15" hidden="false" customHeight="false" outlineLevel="0" collapsed="false">
      <c r="A30" s="46"/>
      <c r="B30" s="27"/>
      <c r="C30" s="47"/>
      <c r="D30" s="50"/>
      <c r="E30" s="40"/>
      <c r="F30" s="40"/>
      <c r="G30" s="47"/>
      <c r="H30" s="46"/>
    </row>
    <row r="31" customFormat="false" ht="15" hidden="false" customHeight="false" outlineLevel="0" collapsed="false">
      <c r="A31" s="46"/>
      <c r="B31" s="27"/>
      <c r="C31" s="47"/>
      <c r="D31" s="50"/>
      <c r="E31" s="40"/>
      <c r="F31" s="40"/>
      <c r="G31" s="47"/>
      <c r="H31" s="46"/>
    </row>
    <row r="32" customFormat="false" ht="15" hidden="false" customHeight="false" outlineLevel="0" collapsed="false">
      <c r="A32" s="46"/>
      <c r="B32" s="27"/>
      <c r="C32" s="47"/>
      <c r="D32" s="50"/>
      <c r="E32" s="40"/>
      <c r="F32" s="40"/>
      <c r="G32" s="47"/>
      <c r="H32" s="46"/>
    </row>
    <row r="33" customFormat="false" ht="15" hidden="false" customHeight="false" outlineLevel="0" collapsed="false">
      <c r="A33" s="46"/>
      <c r="B33" s="27"/>
      <c r="C33" s="47"/>
      <c r="D33" s="50"/>
      <c r="E33" s="40"/>
      <c r="F33" s="40"/>
      <c r="G33" s="47"/>
      <c r="H33" s="46"/>
    </row>
    <row r="34" customFormat="false" ht="15" hidden="false" customHeight="false" outlineLevel="0" collapsed="false">
      <c r="A34" s="46"/>
      <c r="B34" s="27"/>
      <c r="C34" s="47"/>
      <c r="D34" s="50"/>
      <c r="E34" s="40"/>
      <c r="F34" s="40"/>
      <c r="G34" s="47"/>
      <c r="H34" s="46"/>
    </row>
    <row r="35" customFormat="false" ht="15" hidden="false" customHeight="false" outlineLevel="0" collapsed="false">
      <c r="A35" s="46"/>
      <c r="B35" s="27"/>
      <c r="C35" s="47"/>
      <c r="D35" s="50"/>
      <c r="E35" s="40"/>
      <c r="F35" s="40"/>
      <c r="G35" s="47"/>
      <c r="H35" s="46"/>
    </row>
    <row r="36" customFormat="false" ht="15" hidden="false" customHeight="false" outlineLevel="0" collapsed="false">
      <c r="A36" s="46"/>
      <c r="B36" s="27"/>
      <c r="C36" s="47"/>
      <c r="D36" s="50"/>
      <c r="E36" s="40"/>
      <c r="F36" s="40"/>
      <c r="G36" s="47"/>
      <c r="H36" s="46"/>
    </row>
    <row r="37" customFormat="false" ht="15" hidden="false" customHeight="false" outlineLevel="0" collapsed="false">
      <c r="A37" s="46"/>
      <c r="B37" s="27"/>
      <c r="C37" s="47"/>
      <c r="D37" s="50"/>
      <c r="E37" s="40"/>
      <c r="F37" s="40"/>
      <c r="G37" s="47"/>
      <c r="H37" s="46"/>
    </row>
    <row r="38" customFormat="false" ht="15" hidden="false" customHeight="false" outlineLevel="0" collapsed="false">
      <c r="A38" s="46"/>
      <c r="B38" s="27"/>
      <c r="C38" s="47"/>
      <c r="D38" s="50"/>
      <c r="E38" s="40"/>
      <c r="F38" s="40"/>
      <c r="G38" s="47"/>
      <c r="H38" s="46"/>
    </row>
    <row r="39" customFormat="false" ht="15" hidden="false" customHeight="false" outlineLevel="0" collapsed="false">
      <c r="A39" s="46"/>
      <c r="B39" s="27"/>
      <c r="C39" s="47"/>
      <c r="D39" s="50"/>
      <c r="E39" s="40"/>
      <c r="F39" s="40"/>
      <c r="G39" s="47"/>
      <c r="H39" s="46"/>
    </row>
    <row r="40" customFormat="false" ht="15" hidden="false" customHeight="false" outlineLevel="0" collapsed="false">
      <c r="A40" s="46"/>
      <c r="B40" s="27"/>
      <c r="C40" s="47"/>
      <c r="D40" s="50"/>
      <c r="E40" s="40"/>
      <c r="F40" s="40"/>
      <c r="G40" s="47"/>
      <c r="H40" s="46"/>
    </row>
    <row r="41" customFormat="false" ht="15" hidden="false" customHeight="false" outlineLevel="0" collapsed="false">
      <c r="A41" s="46"/>
      <c r="B41" s="27"/>
      <c r="C41" s="47"/>
      <c r="D41" s="50"/>
      <c r="E41" s="40"/>
      <c r="F41" s="40"/>
      <c r="G41" s="47"/>
      <c r="H41" s="46"/>
    </row>
    <row r="42" customFormat="false" ht="15" hidden="false" customHeight="false" outlineLevel="0" collapsed="false">
      <c r="A42" s="46"/>
      <c r="B42" s="27"/>
      <c r="C42" s="47"/>
      <c r="D42" s="50"/>
      <c r="E42" s="40"/>
      <c r="F42" s="40"/>
      <c r="G42" s="47"/>
      <c r="H42" s="46"/>
    </row>
    <row r="43" customFormat="false" ht="15" hidden="false" customHeight="false" outlineLevel="0" collapsed="false">
      <c r="A43" s="46"/>
      <c r="B43" s="27"/>
      <c r="C43" s="47"/>
      <c r="D43" s="50"/>
      <c r="E43" s="40"/>
      <c r="F43" s="40"/>
      <c r="G43" s="47"/>
      <c r="H43" s="46"/>
    </row>
    <row r="44" customFormat="false" ht="15" hidden="false" customHeight="false" outlineLevel="0" collapsed="false">
      <c r="A44" s="46"/>
      <c r="B44" s="27"/>
      <c r="C44" s="47"/>
      <c r="D44" s="50"/>
      <c r="E44" s="40"/>
      <c r="F44" s="40"/>
      <c r="G44" s="47"/>
      <c r="H44" s="46"/>
    </row>
    <row r="45" customFormat="false" ht="15" hidden="false" customHeight="false" outlineLevel="0" collapsed="false">
      <c r="A45" s="46"/>
      <c r="B45" s="27"/>
      <c r="C45" s="47"/>
      <c r="D45" s="50"/>
      <c r="E45" s="40"/>
      <c r="F45" s="40"/>
      <c r="G45" s="47"/>
      <c r="H45" s="46"/>
    </row>
    <row r="46" customFormat="false" ht="15" hidden="false" customHeight="false" outlineLevel="0" collapsed="false">
      <c r="A46" s="46"/>
      <c r="B46" s="27"/>
      <c r="C46" s="47"/>
      <c r="D46" s="50"/>
      <c r="E46" s="40"/>
      <c r="F46" s="40"/>
      <c r="G46" s="47"/>
      <c r="H46" s="46"/>
    </row>
    <row r="47" customFormat="false" ht="15" hidden="false" customHeight="false" outlineLevel="0" collapsed="false">
      <c r="A47" s="46"/>
      <c r="B47" s="27"/>
      <c r="C47" s="47"/>
      <c r="D47" s="50"/>
      <c r="E47" s="40"/>
      <c r="F47" s="40"/>
      <c r="G47" s="47"/>
      <c r="H47" s="46"/>
    </row>
    <row r="48" customFormat="false" ht="15" hidden="false" customHeight="false" outlineLevel="0" collapsed="false">
      <c r="A48" s="46"/>
      <c r="B48" s="27"/>
      <c r="C48" s="47"/>
      <c r="D48" s="50"/>
      <c r="E48" s="40"/>
      <c r="F48" s="40"/>
      <c r="G48" s="47"/>
      <c r="H48" s="46"/>
    </row>
    <row r="49" customFormat="false" ht="15" hidden="false" customHeight="false" outlineLevel="0" collapsed="false">
      <c r="A49" s="46"/>
      <c r="B49" s="27"/>
      <c r="C49" s="47"/>
      <c r="D49" s="50"/>
      <c r="E49" s="40"/>
      <c r="F49" s="40"/>
      <c r="G49" s="47"/>
      <c r="H49" s="46"/>
    </row>
    <row r="50" customFormat="false" ht="15" hidden="false" customHeight="false" outlineLevel="0" collapsed="false">
      <c r="A50" s="46"/>
      <c r="B50" s="27"/>
      <c r="C50" s="47"/>
      <c r="D50" s="50"/>
      <c r="E50" s="40"/>
      <c r="F50" s="40"/>
      <c r="G50" s="47"/>
      <c r="H50" s="46"/>
    </row>
    <row r="51" customFormat="false" ht="15" hidden="false" customHeight="false" outlineLevel="0" collapsed="false">
      <c r="A51" s="46"/>
      <c r="B51" s="27"/>
      <c r="C51" s="47"/>
      <c r="D51" s="50"/>
      <c r="E51" s="40"/>
      <c r="F51" s="40"/>
      <c r="G51" s="47"/>
      <c r="H51" s="46"/>
    </row>
    <row r="52" customFormat="false" ht="15" hidden="false" customHeight="false" outlineLevel="0" collapsed="false">
      <c r="A52" s="46"/>
      <c r="B52" s="27"/>
      <c r="C52" s="47"/>
      <c r="D52" s="50"/>
      <c r="E52" s="40"/>
      <c r="F52" s="40"/>
      <c r="G52" s="47"/>
      <c r="H52" s="46"/>
    </row>
    <row r="53" customFormat="false" ht="15" hidden="false" customHeight="false" outlineLevel="0" collapsed="false">
      <c r="A53" s="46"/>
      <c r="B53" s="27"/>
      <c r="C53" s="47"/>
      <c r="D53" s="50"/>
      <c r="E53" s="40"/>
      <c r="F53" s="40"/>
      <c r="G53" s="47"/>
      <c r="H53" s="46"/>
    </row>
    <row r="54" customFormat="false" ht="15" hidden="false" customHeight="false" outlineLevel="0" collapsed="false">
      <c r="A54" s="46"/>
      <c r="B54" s="27"/>
      <c r="C54" s="47"/>
      <c r="D54" s="50"/>
      <c r="E54" s="40"/>
      <c r="F54" s="40"/>
      <c r="G54" s="47"/>
      <c r="H54" s="46"/>
    </row>
    <row r="55" customFormat="false" ht="15" hidden="false" customHeight="false" outlineLevel="0" collapsed="false">
      <c r="A55" s="46"/>
      <c r="B55" s="27"/>
      <c r="C55" s="47"/>
      <c r="D55" s="50"/>
      <c r="E55" s="40"/>
      <c r="F55" s="40"/>
      <c r="G55" s="47"/>
      <c r="H55" s="46"/>
    </row>
    <row r="56" customFormat="false" ht="15" hidden="false" customHeight="false" outlineLevel="0" collapsed="false">
      <c r="A56" s="46"/>
      <c r="B56" s="27"/>
      <c r="C56" s="47"/>
      <c r="D56" s="50"/>
      <c r="E56" s="40"/>
      <c r="F56" s="40"/>
      <c r="G56" s="47"/>
      <c r="H56" s="46"/>
    </row>
    <row r="57" customFormat="false" ht="15" hidden="false" customHeight="false" outlineLevel="0" collapsed="false">
      <c r="A57" s="46"/>
      <c r="B57" s="27"/>
      <c r="C57" s="47"/>
      <c r="D57" s="50"/>
      <c r="E57" s="40"/>
      <c r="F57" s="40"/>
      <c r="G57" s="47"/>
      <c r="H57" s="46"/>
    </row>
    <row r="58" customFormat="false" ht="15" hidden="false" customHeight="false" outlineLevel="0" collapsed="false">
      <c r="A58" s="46"/>
      <c r="B58" s="27"/>
      <c r="C58" s="47"/>
      <c r="D58" s="50"/>
      <c r="E58" s="40"/>
      <c r="F58" s="40"/>
      <c r="G58" s="47"/>
      <c r="H58" s="46"/>
    </row>
    <row r="59" customFormat="false" ht="15" hidden="false" customHeight="false" outlineLevel="0" collapsed="false">
      <c r="A59" s="46"/>
      <c r="B59" s="27"/>
      <c r="C59" s="47"/>
      <c r="D59" s="50"/>
      <c r="E59" s="40"/>
      <c r="F59" s="40"/>
      <c r="G59" s="47"/>
      <c r="H59" s="46"/>
    </row>
    <row r="60" customFormat="false" ht="15" hidden="false" customHeight="false" outlineLevel="0" collapsed="false">
      <c r="A60" s="46"/>
      <c r="B60" s="27"/>
      <c r="C60" s="47"/>
      <c r="D60" s="50"/>
      <c r="E60" s="40"/>
      <c r="F60" s="40"/>
      <c r="G60" s="47"/>
      <c r="H60" s="46"/>
    </row>
    <row r="61" customFormat="false" ht="15" hidden="false" customHeight="false" outlineLevel="0" collapsed="false">
      <c r="A61" s="46"/>
      <c r="B61" s="27"/>
      <c r="C61" s="47"/>
      <c r="D61" s="50"/>
      <c r="E61" s="40"/>
      <c r="F61" s="40"/>
      <c r="G61" s="47"/>
      <c r="H61" s="46"/>
    </row>
    <row r="62" customFormat="false" ht="15" hidden="false" customHeight="false" outlineLevel="0" collapsed="false">
      <c r="A62" s="46"/>
      <c r="B62" s="27"/>
      <c r="C62" s="47"/>
      <c r="D62" s="50"/>
      <c r="E62" s="40"/>
      <c r="F62" s="40"/>
      <c r="G62" s="47"/>
      <c r="H62" s="46"/>
    </row>
    <row r="63" customFormat="false" ht="15" hidden="false" customHeight="false" outlineLevel="0" collapsed="false">
      <c r="A63" s="46"/>
      <c r="B63" s="27"/>
      <c r="C63" s="47"/>
      <c r="D63" s="50"/>
      <c r="E63" s="40"/>
      <c r="F63" s="40"/>
      <c r="G63" s="47"/>
      <c r="H63" s="46"/>
    </row>
    <row r="64" customFormat="false" ht="15" hidden="false" customHeight="false" outlineLevel="0" collapsed="false">
      <c r="A64" s="46"/>
      <c r="B64" s="27"/>
      <c r="C64" s="47"/>
      <c r="D64" s="50"/>
      <c r="E64" s="40"/>
      <c r="F64" s="40"/>
      <c r="G64" s="47"/>
      <c r="H64" s="46"/>
    </row>
    <row r="65" customFormat="false" ht="15" hidden="false" customHeight="false" outlineLevel="0" collapsed="false">
      <c r="A65" s="46"/>
      <c r="B65" s="27"/>
      <c r="C65" s="47"/>
      <c r="D65" s="50"/>
      <c r="E65" s="40"/>
      <c r="F65" s="40"/>
      <c r="G65" s="47"/>
      <c r="H65" s="46"/>
    </row>
    <row r="66" customFormat="false" ht="15" hidden="false" customHeight="false" outlineLevel="0" collapsed="false">
      <c r="A66" s="46"/>
      <c r="B66" s="27"/>
      <c r="C66" s="47"/>
      <c r="D66" s="50"/>
      <c r="E66" s="40"/>
      <c r="F66" s="40"/>
      <c r="G66" s="47"/>
      <c r="H66" s="46"/>
    </row>
    <row r="67" customFormat="false" ht="15" hidden="false" customHeight="false" outlineLevel="0" collapsed="false">
      <c r="A67" s="46"/>
      <c r="B67" s="27"/>
      <c r="C67" s="47"/>
      <c r="D67" s="50"/>
      <c r="E67" s="40"/>
      <c r="F67" s="40"/>
      <c r="G67" s="47"/>
      <c r="H67" s="46"/>
    </row>
    <row r="68" customFormat="false" ht="15" hidden="false" customHeight="false" outlineLevel="0" collapsed="false">
      <c r="A68" s="46"/>
      <c r="B68" s="27"/>
      <c r="C68" s="47"/>
      <c r="D68" s="50"/>
      <c r="E68" s="40"/>
      <c r="F68" s="40"/>
      <c r="G68" s="47"/>
      <c r="H68" s="46"/>
    </row>
    <row r="69" customFormat="false" ht="15" hidden="false" customHeight="false" outlineLevel="0" collapsed="false">
      <c r="A69" s="46"/>
      <c r="B69" s="27"/>
      <c r="C69" s="47"/>
      <c r="D69" s="50"/>
      <c r="E69" s="40"/>
      <c r="F69" s="40"/>
      <c r="G69" s="47"/>
      <c r="H69" s="46"/>
    </row>
    <row r="70" customFormat="false" ht="15" hidden="false" customHeight="false" outlineLevel="0" collapsed="false">
      <c r="A70" s="46"/>
      <c r="B70" s="27"/>
      <c r="C70" s="47"/>
      <c r="D70" s="50"/>
      <c r="E70" s="40"/>
      <c r="F70" s="40"/>
      <c r="G70" s="47"/>
      <c r="H70" s="46"/>
    </row>
    <row r="71" customFormat="false" ht="15" hidden="false" customHeight="false" outlineLevel="0" collapsed="false">
      <c r="A71" s="46"/>
      <c r="B71" s="27"/>
      <c r="C71" s="47"/>
      <c r="D71" s="50"/>
      <c r="E71" s="40"/>
      <c r="F71" s="40"/>
      <c r="G71" s="47"/>
      <c r="H71" s="46"/>
    </row>
    <row r="72" customFormat="false" ht="15" hidden="false" customHeight="false" outlineLevel="0" collapsed="false">
      <c r="A72" s="46"/>
      <c r="B72" s="27"/>
      <c r="C72" s="47"/>
      <c r="D72" s="50"/>
      <c r="E72" s="40"/>
      <c r="F72" s="40"/>
      <c r="G72" s="47"/>
      <c r="H72" s="46"/>
    </row>
    <row r="73" customFormat="false" ht="15" hidden="false" customHeight="false" outlineLevel="0" collapsed="false">
      <c r="A73" s="46"/>
      <c r="B73" s="27"/>
      <c r="C73" s="47"/>
      <c r="D73" s="50"/>
      <c r="E73" s="40"/>
      <c r="F73" s="40"/>
      <c r="G73" s="47"/>
      <c r="H73" s="46"/>
    </row>
    <row r="74" customFormat="false" ht="15" hidden="false" customHeight="false" outlineLevel="0" collapsed="false">
      <c r="A74" s="46"/>
      <c r="B74" s="27"/>
      <c r="C74" s="47"/>
      <c r="D74" s="50"/>
      <c r="E74" s="40"/>
      <c r="F74" s="40"/>
      <c r="G74" s="47"/>
      <c r="H74" s="46"/>
    </row>
    <row r="75" customFormat="false" ht="15" hidden="false" customHeight="false" outlineLevel="0" collapsed="false">
      <c r="A75" s="46"/>
      <c r="B75" s="27"/>
      <c r="C75" s="47"/>
      <c r="D75" s="50"/>
      <c r="E75" s="40"/>
      <c r="F75" s="40"/>
      <c r="G75" s="47"/>
      <c r="H75" s="46"/>
    </row>
    <row r="76" customFormat="false" ht="15" hidden="false" customHeight="false" outlineLevel="0" collapsed="false">
      <c r="A76" s="46"/>
      <c r="B76" s="27"/>
      <c r="C76" s="47"/>
      <c r="D76" s="50"/>
      <c r="E76" s="40"/>
      <c r="F76" s="40"/>
      <c r="G76" s="47"/>
      <c r="H76" s="46"/>
    </row>
    <row r="77" customFormat="false" ht="15" hidden="false" customHeight="false" outlineLevel="0" collapsed="false">
      <c r="A77" s="46"/>
      <c r="B77" s="27"/>
      <c r="C77" s="47"/>
      <c r="D77" s="50"/>
      <c r="E77" s="40"/>
      <c r="F77" s="40"/>
      <c r="G77" s="47"/>
      <c r="H77" s="46"/>
    </row>
    <row r="78" customFormat="false" ht="15" hidden="false" customHeight="false" outlineLevel="0" collapsed="false">
      <c r="A78" s="46"/>
      <c r="B78" s="27"/>
      <c r="C78" s="47"/>
      <c r="D78" s="50"/>
      <c r="E78" s="40"/>
      <c r="F78" s="40"/>
      <c r="G78" s="47"/>
      <c r="H78" s="46"/>
    </row>
    <row r="79" customFormat="false" ht="15" hidden="false" customHeight="false" outlineLevel="0" collapsed="false">
      <c r="A79" s="46"/>
      <c r="B79" s="27"/>
      <c r="C79" s="47"/>
      <c r="D79" s="50"/>
      <c r="E79" s="40"/>
      <c r="F79" s="40"/>
      <c r="G79" s="47"/>
      <c r="H79" s="46"/>
    </row>
    <row r="80" customFormat="false" ht="15" hidden="false" customHeight="false" outlineLevel="0" collapsed="false">
      <c r="A80" s="46"/>
      <c r="B80" s="27"/>
      <c r="C80" s="47"/>
      <c r="D80" s="50"/>
      <c r="E80" s="40"/>
      <c r="F80" s="40"/>
      <c r="G80" s="47"/>
      <c r="H80" s="46"/>
    </row>
    <row r="81" customFormat="false" ht="15" hidden="false" customHeight="false" outlineLevel="0" collapsed="false">
      <c r="A81" s="46"/>
      <c r="B81" s="27"/>
      <c r="C81" s="47"/>
      <c r="D81" s="50"/>
      <c r="E81" s="40"/>
      <c r="F81" s="40"/>
      <c r="G81" s="47"/>
      <c r="H81" s="46"/>
    </row>
    <row r="82" customFormat="false" ht="15" hidden="false" customHeight="false" outlineLevel="0" collapsed="false">
      <c r="A82" s="46"/>
      <c r="B82" s="27"/>
      <c r="C82" s="47"/>
      <c r="D82" s="50"/>
      <c r="E82" s="40"/>
      <c r="F82" s="40"/>
      <c r="G82" s="47"/>
      <c r="H82" s="46"/>
    </row>
    <row r="83" customFormat="false" ht="15" hidden="false" customHeight="false" outlineLevel="0" collapsed="false">
      <c r="A83" s="46"/>
      <c r="B83" s="27"/>
      <c r="C83" s="47"/>
      <c r="D83" s="50"/>
      <c r="E83" s="40"/>
      <c r="F83" s="40"/>
      <c r="G83" s="47"/>
      <c r="H83" s="46"/>
    </row>
    <row r="84" customFormat="false" ht="15" hidden="false" customHeight="false" outlineLevel="0" collapsed="false">
      <c r="A84" s="46"/>
      <c r="B84" s="27"/>
      <c r="C84" s="47"/>
      <c r="D84" s="50"/>
      <c r="E84" s="40"/>
      <c r="F84" s="40"/>
      <c r="G84" s="47"/>
      <c r="H84" s="46"/>
    </row>
    <row r="85" customFormat="false" ht="15" hidden="false" customHeight="false" outlineLevel="0" collapsed="false">
      <c r="A85" s="46"/>
      <c r="B85" s="27"/>
      <c r="C85" s="47"/>
      <c r="D85" s="50"/>
      <c r="E85" s="40"/>
      <c r="F85" s="40"/>
      <c r="G85" s="47"/>
      <c r="H85" s="46"/>
    </row>
    <row r="86" customFormat="false" ht="15" hidden="false" customHeight="false" outlineLevel="0" collapsed="false">
      <c r="A86" s="46"/>
      <c r="B86" s="27"/>
      <c r="C86" s="47"/>
      <c r="D86" s="50"/>
      <c r="E86" s="40"/>
      <c r="F86" s="40"/>
      <c r="G86" s="47"/>
      <c r="H86" s="46"/>
    </row>
    <row r="87" customFormat="false" ht="15" hidden="false" customHeight="false" outlineLevel="0" collapsed="false">
      <c r="A87" s="46"/>
      <c r="B87" s="27"/>
      <c r="C87" s="47"/>
      <c r="D87" s="50"/>
      <c r="E87" s="40"/>
      <c r="F87" s="40"/>
      <c r="G87" s="47"/>
      <c r="H87" s="46"/>
    </row>
    <row r="88" customFormat="false" ht="15" hidden="false" customHeight="false" outlineLevel="0" collapsed="false">
      <c r="A88" s="46"/>
      <c r="B88" s="27"/>
      <c r="C88" s="47"/>
      <c r="D88" s="50"/>
      <c r="E88" s="40"/>
      <c r="F88" s="40"/>
      <c r="G88" s="47"/>
      <c r="H88" s="46"/>
    </row>
    <row r="89" customFormat="false" ht="15" hidden="false" customHeight="false" outlineLevel="0" collapsed="false">
      <c r="A89" s="46"/>
      <c r="B89" s="27"/>
      <c r="C89" s="47"/>
      <c r="D89" s="50"/>
      <c r="E89" s="40"/>
      <c r="F89" s="40"/>
      <c r="G89" s="47"/>
      <c r="H89" s="46"/>
    </row>
    <row r="90" customFormat="false" ht="15" hidden="false" customHeight="false" outlineLevel="0" collapsed="false">
      <c r="A90" s="46"/>
      <c r="B90" s="27"/>
      <c r="C90" s="47"/>
      <c r="D90" s="50"/>
      <c r="E90" s="40"/>
      <c r="F90" s="40"/>
      <c r="G90" s="47"/>
      <c r="H90" s="46"/>
    </row>
    <row r="91" customFormat="false" ht="15" hidden="false" customHeight="false" outlineLevel="0" collapsed="false">
      <c r="A91" s="46"/>
      <c r="B91" s="27"/>
      <c r="C91" s="47"/>
      <c r="D91" s="50"/>
      <c r="E91" s="40"/>
      <c r="F91" s="40"/>
      <c r="G91" s="47"/>
      <c r="H91" s="46"/>
    </row>
    <row r="92" customFormat="false" ht="15" hidden="false" customHeight="false" outlineLevel="0" collapsed="false">
      <c r="A92" s="46"/>
      <c r="B92" s="27"/>
      <c r="C92" s="47"/>
      <c r="D92" s="50"/>
      <c r="E92" s="40"/>
      <c r="F92" s="40"/>
      <c r="G92" s="47"/>
      <c r="H92" s="46"/>
    </row>
    <row r="93" customFormat="false" ht="15" hidden="false" customHeight="false" outlineLevel="0" collapsed="false">
      <c r="A93" s="46"/>
      <c r="B93" s="27"/>
      <c r="C93" s="47"/>
      <c r="D93" s="50"/>
      <c r="E93" s="40"/>
      <c r="F93" s="40"/>
      <c r="G93" s="47"/>
      <c r="H93" s="46"/>
    </row>
    <row r="94" customFormat="false" ht="15" hidden="false" customHeight="false" outlineLevel="0" collapsed="false">
      <c r="A94" s="46"/>
      <c r="B94" s="27"/>
      <c r="C94" s="47"/>
      <c r="D94" s="50"/>
      <c r="E94" s="40"/>
      <c r="F94" s="40"/>
      <c r="G94" s="47"/>
      <c r="H94" s="46"/>
    </row>
    <row r="95" customFormat="false" ht="15" hidden="false" customHeight="false" outlineLevel="0" collapsed="false">
      <c r="A95" s="46"/>
      <c r="B95" s="27"/>
      <c r="C95" s="47"/>
      <c r="D95" s="50"/>
      <c r="E95" s="40"/>
      <c r="F95" s="40"/>
      <c r="G95" s="47"/>
      <c r="H95" s="46"/>
    </row>
    <row r="96" customFormat="false" ht="15" hidden="false" customHeight="false" outlineLevel="0" collapsed="false">
      <c r="A96" s="46"/>
      <c r="B96" s="27"/>
      <c r="C96" s="47"/>
      <c r="D96" s="50"/>
      <c r="E96" s="40"/>
      <c r="F96" s="40"/>
      <c r="G96" s="47"/>
      <c r="H96" s="46"/>
    </row>
    <row r="97" customFormat="false" ht="15" hidden="false" customHeight="false" outlineLevel="0" collapsed="false">
      <c r="A97" s="46"/>
      <c r="B97" s="27"/>
      <c r="C97" s="47"/>
      <c r="D97" s="50"/>
      <c r="E97" s="40"/>
      <c r="F97" s="40"/>
      <c r="G97" s="47"/>
      <c r="H97" s="46"/>
    </row>
    <row r="98" customFormat="false" ht="15" hidden="false" customHeight="false" outlineLevel="0" collapsed="false">
      <c r="A98" s="46"/>
      <c r="B98" s="27"/>
      <c r="C98" s="47"/>
      <c r="D98" s="50"/>
      <c r="E98" s="40"/>
      <c r="F98" s="40"/>
      <c r="G98" s="47"/>
      <c r="H98" s="46"/>
    </row>
    <row r="99" customFormat="false" ht="15" hidden="false" customHeight="false" outlineLevel="0" collapsed="false">
      <c r="A99" s="46"/>
      <c r="B99" s="27"/>
      <c r="C99" s="47"/>
      <c r="D99" s="50"/>
      <c r="E99" s="40"/>
      <c r="F99" s="40"/>
      <c r="G99" s="47"/>
      <c r="H99" s="46"/>
    </row>
    <row r="100" customFormat="false" ht="15" hidden="false" customHeight="false" outlineLevel="0" collapsed="false">
      <c r="A100" s="46"/>
      <c r="B100" s="27"/>
      <c r="C100" s="47"/>
      <c r="D100" s="50"/>
      <c r="E100" s="40"/>
      <c r="F100" s="40"/>
      <c r="G100" s="47"/>
      <c r="H100" s="46"/>
    </row>
    <row r="101" customFormat="false" ht="15" hidden="false" customHeight="false" outlineLevel="0" collapsed="false">
      <c r="A101" s="46"/>
      <c r="B101" s="27"/>
      <c r="C101" s="47"/>
      <c r="D101" s="50"/>
      <c r="E101" s="40"/>
      <c r="F101" s="40"/>
      <c r="G101" s="47"/>
      <c r="H101" s="46"/>
    </row>
    <row r="102" customFormat="false" ht="15" hidden="false" customHeight="false" outlineLevel="0" collapsed="false">
      <c r="A102" s="46"/>
      <c r="B102" s="27"/>
      <c r="C102" s="47"/>
      <c r="D102" s="50"/>
      <c r="E102" s="40"/>
      <c r="F102" s="40"/>
      <c r="G102" s="47"/>
      <c r="H102" s="46"/>
    </row>
    <row r="103" customFormat="false" ht="15" hidden="false" customHeight="false" outlineLevel="0" collapsed="false">
      <c r="A103" s="46"/>
      <c r="B103" s="27"/>
      <c r="C103" s="47"/>
      <c r="D103" s="50"/>
      <c r="E103" s="40"/>
      <c r="F103" s="40"/>
      <c r="G103" s="47"/>
      <c r="H103" s="46"/>
    </row>
    <row r="104" customFormat="false" ht="15" hidden="false" customHeight="false" outlineLevel="0" collapsed="false">
      <c r="A104" s="46"/>
      <c r="B104" s="27"/>
      <c r="C104" s="47"/>
      <c r="D104" s="50"/>
      <c r="E104" s="40"/>
      <c r="F104" s="40"/>
      <c r="G104" s="47"/>
      <c r="H104" s="46"/>
    </row>
    <row r="105" customFormat="false" ht="15" hidden="false" customHeight="false" outlineLevel="0" collapsed="false">
      <c r="A105" s="46"/>
      <c r="B105" s="27"/>
      <c r="C105" s="47"/>
      <c r="D105" s="50"/>
      <c r="E105" s="40"/>
      <c r="F105" s="40"/>
      <c r="G105" s="47"/>
      <c r="H105" s="46"/>
    </row>
    <row r="106" customFormat="false" ht="15" hidden="false" customHeight="false" outlineLevel="0" collapsed="false">
      <c r="A106" s="46"/>
      <c r="B106" s="27"/>
      <c r="C106" s="47"/>
      <c r="D106" s="50"/>
      <c r="E106" s="40"/>
      <c r="F106" s="40"/>
      <c r="G106" s="47"/>
      <c r="H106" s="46"/>
    </row>
    <row r="107" customFormat="false" ht="15" hidden="false" customHeight="false" outlineLevel="0" collapsed="false">
      <c r="A107" s="46"/>
      <c r="B107" s="27"/>
      <c r="C107" s="47"/>
      <c r="D107" s="50"/>
      <c r="E107" s="40"/>
      <c r="F107" s="40"/>
      <c r="G107" s="47"/>
      <c r="H107" s="46"/>
    </row>
    <row r="108" customFormat="false" ht="15" hidden="false" customHeight="false" outlineLevel="0" collapsed="false">
      <c r="A108" s="46"/>
      <c r="B108" s="27"/>
      <c r="C108" s="47"/>
      <c r="D108" s="50"/>
      <c r="E108" s="40"/>
      <c r="F108" s="40"/>
      <c r="G108" s="47"/>
      <c r="H108" s="46"/>
    </row>
    <row r="109" customFormat="false" ht="15" hidden="false" customHeight="false" outlineLevel="0" collapsed="false">
      <c r="A109" s="46"/>
      <c r="B109" s="27"/>
      <c r="C109" s="47"/>
      <c r="D109" s="50"/>
      <c r="E109" s="40"/>
      <c r="F109" s="40"/>
      <c r="G109" s="47"/>
      <c r="H109" s="46"/>
    </row>
    <row r="110" customFormat="false" ht="15" hidden="false" customHeight="false" outlineLevel="0" collapsed="false">
      <c r="A110" s="46"/>
      <c r="B110" s="27"/>
      <c r="C110" s="47"/>
      <c r="D110" s="50"/>
      <c r="E110" s="40"/>
      <c r="F110" s="40"/>
      <c r="G110" s="47"/>
      <c r="H110" s="46"/>
    </row>
    <row r="111" customFormat="false" ht="15" hidden="false" customHeight="false" outlineLevel="0" collapsed="false">
      <c r="A111" s="46"/>
      <c r="B111" s="27"/>
      <c r="C111" s="47"/>
      <c r="D111" s="50"/>
      <c r="E111" s="40"/>
      <c r="F111" s="40"/>
      <c r="G111" s="47"/>
      <c r="H111" s="46"/>
    </row>
    <row r="112" customFormat="false" ht="15" hidden="false" customHeight="false" outlineLevel="0" collapsed="false">
      <c r="A112" s="46"/>
      <c r="B112" s="27"/>
      <c r="C112" s="47"/>
      <c r="D112" s="50"/>
      <c r="E112" s="40"/>
      <c r="F112" s="40"/>
      <c r="G112" s="47"/>
      <c r="H112" s="46"/>
    </row>
    <row r="113" customFormat="false" ht="15" hidden="false" customHeight="false" outlineLevel="0" collapsed="false">
      <c r="A113" s="46"/>
      <c r="B113" s="27"/>
      <c r="C113" s="47"/>
      <c r="D113" s="50"/>
      <c r="E113" s="40"/>
      <c r="F113" s="40"/>
      <c r="G113" s="47"/>
      <c r="H113" s="46"/>
    </row>
    <row r="114" customFormat="false" ht="15" hidden="false" customHeight="false" outlineLevel="0" collapsed="false">
      <c r="A114" s="46"/>
      <c r="B114" s="27"/>
      <c r="C114" s="47"/>
      <c r="D114" s="50"/>
      <c r="E114" s="40"/>
      <c r="F114" s="40"/>
      <c r="G114" s="47"/>
      <c r="H114" s="46"/>
    </row>
    <row r="115" customFormat="false" ht="15" hidden="false" customHeight="false" outlineLevel="0" collapsed="false">
      <c r="A115" s="46"/>
      <c r="B115" s="27"/>
      <c r="C115" s="47"/>
      <c r="D115" s="50"/>
      <c r="E115" s="40"/>
      <c r="F115" s="40"/>
      <c r="G115" s="47"/>
      <c r="H115" s="46"/>
    </row>
    <row r="116" customFormat="false" ht="15" hidden="false" customHeight="false" outlineLevel="0" collapsed="false">
      <c r="A116" s="46"/>
      <c r="B116" s="27"/>
      <c r="C116" s="47"/>
      <c r="D116" s="50"/>
      <c r="E116" s="40"/>
      <c r="F116" s="40"/>
      <c r="G116" s="47"/>
      <c r="H116" s="46"/>
    </row>
    <row r="117" customFormat="false" ht="15" hidden="false" customHeight="false" outlineLevel="0" collapsed="false">
      <c r="A117" s="46"/>
      <c r="B117" s="27"/>
      <c r="C117" s="47"/>
      <c r="D117" s="50"/>
      <c r="E117" s="40"/>
      <c r="F117" s="40"/>
      <c r="G117" s="47"/>
      <c r="H117" s="46"/>
    </row>
    <row r="118" customFormat="false" ht="15" hidden="false" customHeight="false" outlineLevel="0" collapsed="false">
      <c r="A118" s="46"/>
      <c r="B118" s="27"/>
      <c r="C118" s="47"/>
      <c r="D118" s="50"/>
      <c r="E118" s="40"/>
      <c r="F118" s="40"/>
      <c r="G118" s="47"/>
      <c r="H118" s="46"/>
    </row>
    <row r="119" customFormat="false" ht="15" hidden="false" customHeight="false" outlineLevel="0" collapsed="false">
      <c r="A119" s="46"/>
      <c r="B119" s="27"/>
      <c r="C119" s="47"/>
      <c r="D119" s="50"/>
      <c r="E119" s="40"/>
      <c r="F119" s="40"/>
      <c r="G119" s="47"/>
      <c r="H119" s="46"/>
    </row>
    <row r="120" customFormat="false" ht="15" hidden="false" customHeight="false" outlineLevel="0" collapsed="false">
      <c r="A120" s="46"/>
      <c r="B120" s="27"/>
      <c r="C120" s="47"/>
      <c r="D120" s="50"/>
      <c r="E120" s="40"/>
      <c r="F120" s="40"/>
      <c r="G120" s="47"/>
      <c r="H120" s="46"/>
    </row>
    <row r="121" customFormat="false" ht="15" hidden="false" customHeight="false" outlineLevel="0" collapsed="false">
      <c r="A121" s="46"/>
      <c r="B121" s="27"/>
      <c r="C121" s="47"/>
      <c r="D121" s="50"/>
      <c r="E121" s="40"/>
      <c r="F121" s="40"/>
      <c r="G121" s="47"/>
      <c r="H121" s="46"/>
    </row>
    <row r="122" customFormat="false" ht="15" hidden="false" customHeight="false" outlineLevel="0" collapsed="false">
      <c r="A122" s="46"/>
      <c r="B122" s="27"/>
      <c r="C122" s="47"/>
      <c r="D122" s="50"/>
      <c r="E122" s="40"/>
      <c r="F122" s="40"/>
      <c r="G122" s="47"/>
      <c r="H122" s="46"/>
    </row>
    <row r="123" customFormat="false" ht="15" hidden="false" customHeight="false" outlineLevel="0" collapsed="false">
      <c r="A123" s="46"/>
      <c r="B123" s="27"/>
      <c r="C123" s="47"/>
      <c r="D123" s="50"/>
      <c r="E123" s="40"/>
      <c r="F123" s="40"/>
      <c r="G123" s="47"/>
      <c r="H123" s="46"/>
    </row>
    <row r="124" customFormat="false" ht="15" hidden="false" customHeight="false" outlineLevel="0" collapsed="false">
      <c r="A124" s="46"/>
      <c r="B124" s="27"/>
      <c r="C124" s="47"/>
      <c r="D124" s="50"/>
      <c r="E124" s="40"/>
      <c r="F124" s="40"/>
      <c r="G124" s="47"/>
      <c r="H124" s="46"/>
    </row>
    <row r="125" customFormat="false" ht="15" hidden="false" customHeight="false" outlineLevel="0" collapsed="false">
      <c r="A125" s="46"/>
      <c r="B125" s="27"/>
      <c r="C125" s="47"/>
      <c r="D125" s="50"/>
      <c r="E125" s="40"/>
      <c r="F125" s="40"/>
      <c r="G125" s="47"/>
      <c r="H125" s="46"/>
    </row>
    <row r="126" customFormat="false" ht="15" hidden="false" customHeight="false" outlineLevel="0" collapsed="false">
      <c r="A126" s="46"/>
      <c r="B126" s="27"/>
      <c r="C126" s="47"/>
      <c r="D126" s="50"/>
      <c r="E126" s="40"/>
      <c r="F126" s="40"/>
      <c r="G126" s="47"/>
      <c r="H126" s="46"/>
    </row>
    <row r="127" customFormat="false" ht="15" hidden="false" customHeight="false" outlineLevel="0" collapsed="false">
      <c r="A127" s="46"/>
      <c r="B127" s="27"/>
      <c r="C127" s="47"/>
      <c r="D127" s="50"/>
      <c r="E127" s="40"/>
      <c r="F127" s="40"/>
      <c r="G127" s="47"/>
      <c r="H127" s="46"/>
    </row>
    <row r="128" customFormat="false" ht="15" hidden="false" customHeight="false" outlineLevel="0" collapsed="false">
      <c r="A128" s="46"/>
      <c r="B128" s="27"/>
      <c r="C128" s="47"/>
      <c r="D128" s="50"/>
      <c r="E128" s="40"/>
      <c r="F128" s="40"/>
      <c r="G128" s="47"/>
      <c r="H128" s="46"/>
    </row>
    <row r="129" customFormat="false" ht="15" hidden="false" customHeight="false" outlineLevel="0" collapsed="false">
      <c r="A129" s="46"/>
      <c r="B129" s="27"/>
      <c r="C129" s="47"/>
      <c r="D129" s="50"/>
      <c r="E129" s="40"/>
      <c r="F129" s="40"/>
      <c r="G129" s="47"/>
      <c r="H129" s="46"/>
    </row>
    <row r="130" customFormat="false" ht="15" hidden="false" customHeight="false" outlineLevel="0" collapsed="false">
      <c r="A130" s="46"/>
      <c r="B130" s="27"/>
      <c r="C130" s="47"/>
      <c r="D130" s="50"/>
      <c r="E130" s="40"/>
      <c r="F130" s="40"/>
      <c r="G130" s="47"/>
      <c r="H130" s="46"/>
    </row>
    <row r="131" customFormat="false" ht="15" hidden="false" customHeight="false" outlineLevel="0" collapsed="false">
      <c r="A131" s="46"/>
      <c r="B131" s="27"/>
      <c r="C131" s="47"/>
      <c r="D131" s="50"/>
      <c r="E131" s="40"/>
      <c r="F131" s="40"/>
      <c r="G131" s="47"/>
      <c r="H131" s="46"/>
    </row>
    <row r="132" customFormat="false" ht="15" hidden="false" customHeight="false" outlineLevel="0" collapsed="false">
      <c r="A132" s="46"/>
      <c r="B132" s="27"/>
      <c r="C132" s="47"/>
      <c r="D132" s="50"/>
      <c r="E132" s="40"/>
      <c r="F132" s="40"/>
      <c r="G132" s="47"/>
      <c r="H132" s="46"/>
    </row>
    <row r="133" customFormat="false" ht="15" hidden="false" customHeight="false" outlineLevel="0" collapsed="false">
      <c r="A133" s="46"/>
      <c r="B133" s="27"/>
      <c r="C133" s="47"/>
      <c r="D133" s="50"/>
      <c r="E133" s="40"/>
      <c r="F133" s="40"/>
      <c r="G133" s="47"/>
      <c r="H133" s="46"/>
    </row>
    <row r="134" customFormat="false" ht="15" hidden="false" customHeight="false" outlineLevel="0" collapsed="false">
      <c r="A134" s="46"/>
      <c r="B134" s="27"/>
      <c r="C134" s="47"/>
      <c r="D134" s="50"/>
      <c r="E134" s="40"/>
      <c r="F134" s="40"/>
      <c r="G134" s="47"/>
      <c r="H134" s="46"/>
    </row>
    <row r="135" customFormat="false" ht="15" hidden="false" customHeight="false" outlineLevel="0" collapsed="false">
      <c r="A135" s="46"/>
      <c r="B135" s="27"/>
      <c r="C135" s="47"/>
      <c r="D135" s="50"/>
      <c r="E135" s="40"/>
      <c r="F135" s="40"/>
      <c r="G135" s="47"/>
      <c r="H135" s="46"/>
    </row>
    <row r="136" customFormat="false" ht="15" hidden="false" customHeight="false" outlineLevel="0" collapsed="false">
      <c r="A136" s="46"/>
      <c r="B136" s="27"/>
      <c r="C136" s="47"/>
      <c r="D136" s="50"/>
      <c r="E136" s="40"/>
      <c r="F136" s="40"/>
      <c r="G136" s="47"/>
      <c r="H136" s="46"/>
    </row>
    <row r="137" customFormat="false" ht="15" hidden="false" customHeight="false" outlineLevel="0" collapsed="false">
      <c r="A137" s="46"/>
      <c r="B137" s="27"/>
      <c r="C137" s="47"/>
      <c r="D137" s="50"/>
      <c r="E137" s="40"/>
      <c r="F137" s="40"/>
      <c r="G137" s="47"/>
      <c r="H137" s="46"/>
    </row>
    <row r="138" customFormat="false" ht="15" hidden="false" customHeight="false" outlineLevel="0" collapsed="false">
      <c r="A138" s="46"/>
      <c r="B138" s="27"/>
      <c r="C138" s="47"/>
      <c r="D138" s="50"/>
      <c r="E138" s="40"/>
      <c r="F138" s="40"/>
      <c r="G138" s="47"/>
      <c r="H138" s="46"/>
    </row>
    <row r="139" customFormat="false" ht="15" hidden="false" customHeight="false" outlineLevel="0" collapsed="false">
      <c r="A139" s="46"/>
      <c r="B139" s="27"/>
      <c r="C139" s="47"/>
      <c r="D139" s="50"/>
      <c r="E139" s="40"/>
      <c r="F139" s="40"/>
      <c r="G139" s="47"/>
      <c r="H139" s="46"/>
    </row>
    <row r="140" customFormat="false" ht="15" hidden="false" customHeight="false" outlineLevel="0" collapsed="false">
      <c r="A140" s="46"/>
      <c r="B140" s="27"/>
      <c r="C140" s="47"/>
      <c r="D140" s="50"/>
      <c r="E140" s="40"/>
      <c r="F140" s="40"/>
      <c r="G140" s="47"/>
      <c r="H140" s="46"/>
    </row>
    <row r="141" customFormat="false" ht="15" hidden="false" customHeight="false" outlineLevel="0" collapsed="false">
      <c r="A141" s="46"/>
      <c r="B141" s="27"/>
      <c r="C141" s="47"/>
      <c r="D141" s="50"/>
      <c r="E141" s="40"/>
      <c r="F141" s="40"/>
      <c r="G141" s="47"/>
      <c r="H141" s="46"/>
    </row>
    <row r="142" customFormat="false" ht="15" hidden="false" customHeight="false" outlineLevel="0" collapsed="false">
      <c r="A142" s="46"/>
      <c r="B142" s="27"/>
      <c r="C142" s="47"/>
      <c r="D142" s="50"/>
      <c r="E142" s="40"/>
      <c r="F142" s="40"/>
      <c r="G142" s="47"/>
      <c r="H142" s="46"/>
    </row>
    <row r="143" customFormat="false" ht="15" hidden="false" customHeight="false" outlineLevel="0" collapsed="false">
      <c r="A143" s="46"/>
      <c r="B143" s="27"/>
      <c r="C143" s="47"/>
      <c r="D143" s="50"/>
      <c r="E143" s="40"/>
      <c r="F143" s="40"/>
      <c r="G143" s="47"/>
      <c r="H143" s="46"/>
    </row>
    <row r="144" customFormat="false" ht="15" hidden="false" customHeight="false" outlineLevel="0" collapsed="false">
      <c r="A144" s="46"/>
      <c r="B144" s="27"/>
      <c r="C144" s="47"/>
      <c r="D144" s="50"/>
      <c r="E144" s="40"/>
      <c r="F144" s="40"/>
      <c r="G144" s="47"/>
      <c r="H144" s="46"/>
    </row>
    <row r="145" customFormat="false" ht="15" hidden="false" customHeight="false" outlineLevel="0" collapsed="false">
      <c r="A145" s="46"/>
      <c r="B145" s="27"/>
      <c r="C145" s="47"/>
      <c r="D145" s="50"/>
      <c r="E145" s="40"/>
      <c r="F145" s="40"/>
      <c r="G145" s="47"/>
      <c r="H145" s="46"/>
    </row>
    <row r="146" customFormat="false" ht="15" hidden="false" customHeight="false" outlineLevel="0" collapsed="false">
      <c r="A146" s="46"/>
      <c r="B146" s="27"/>
      <c r="C146" s="47"/>
      <c r="D146" s="50"/>
      <c r="E146" s="40"/>
      <c r="F146" s="40"/>
      <c r="G146" s="47"/>
      <c r="H146" s="46"/>
    </row>
    <row r="147" customFormat="false" ht="15" hidden="false" customHeight="false" outlineLevel="0" collapsed="false">
      <c r="A147" s="46"/>
      <c r="B147" s="27"/>
      <c r="C147" s="47"/>
      <c r="D147" s="50"/>
      <c r="E147" s="40"/>
      <c r="F147" s="40"/>
      <c r="G147" s="47"/>
      <c r="H147" s="46"/>
    </row>
    <row r="148" customFormat="false" ht="15" hidden="false" customHeight="false" outlineLevel="0" collapsed="false">
      <c r="A148" s="46"/>
      <c r="B148" s="27"/>
      <c r="C148" s="47"/>
      <c r="D148" s="50"/>
      <c r="E148" s="40"/>
      <c r="F148" s="40"/>
      <c r="G148" s="47"/>
      <c r="H148" s="46"/>
    </row>
    <row r="149" customFormat="false" ht="15" hidden="false" customHeight="false" outlineLevel="0" collapsed="false">
      <c r="A149" s="46"/>
      <c r="B149" s="27"/>
      <c r="C149" s="47"/>
      <c r="D149" s="50"/>
      <c r="E149" s="40"/>
      <c r="F149" s="40"/>
      <c r="G149" s="47"/>
      <c r="H149" s="46"/>
    </row>
    <row r="150" customFormat="false" ht="15" hidden="false" customHeight="false" outlineLevel="0" collapsed="false">
      <c r="A150" s="46"/>
      <c r="B150" s="27"/>
      <c r="C150" s="47"/>
      <c r="D150" s="50"/>
      <c r="E150" s="40"/>
      <c r="F150" s="40"/>
      <c r="G150" s="47"/>
      <c r="H150" s="46"/>
    </row>
    <row r="151" customFormat="false" ht="15" hidden="false" customHeight="false" outlineLevel="0" collapsed="false">
      <c r="A151" s="46"/>
      <c r="B151" s="27"/>
      <c r="C151" s="47"/>
      <c r="D151" s="50"/>
      <c r="E151" s="40"/>
      <c r="F151" s="40"/>
      <c r="G151" s="47"/>
      <c r="H151" s="46"/>
    </row>
    <row r="152" customFormat="false" ht="15" hidden="false" customHeight="false" outlineLevel="0" collapsed="false">
      <c r="A152" s="46"/>
      <c r="B152" s="27"/>
      <c r="C152" s="47"/>
      <c r="D152" s="50"/>
      <c r="E152" s="40"/>
      <c r="F152" s="40"/>
      <c r="G152" s="47"/>
      <c r="H152" s="46"/>
    </row>
    <row r="153" customFormat="false" ht="15" hidden="false" customHeight="false" outlineLevel="0" collapsed="false">
      <c r="A153" s="46"/>
      <c r="B153" s="27"/>
      <c r="C153" s="47"/>
      <c r="D153" s="50"/>
      <c r="E153" s="40"/>
      <c r="F153" s="40"/>
      <c r="G153" s="47"/>
      <c r="H153" s="46"/>
    </row>
    <row r="154" customFormat="false" ht="15" hidden="false" customHeight="false" outlineLevel="0" collapsed="false">
      <c r="A154" s="46"/>
      <c r="B154" s="27"/>
      <c r="C154" s="47"/>
      <c r="D154" s="50"/>
      <c r="E154" s="40"/>
      <c r="F154" s="40"/>
      <c r="G154" s="47"/>
      <c r="H154" s="46"/>
    </row>
    <row r="155" customFormat="false" ht="15" hidden="false" customHeight="false" outlineLevel="0" collapsed="false">
      <c r="A155" s="46"/>
      <c r="B155" s="27"/>
      <c r="C155" s="47"/>
      <c r="D155" s="50"/>
      <c r="E155" s="40"/>
      <c r="F155" s="40"/>
      <c r="G155" s="47"/>
      <c r="H155" s="46"/>
    </row>
    <row r="156" customFormat="false" ht="15" hidden="false" customHeight="false" outlineLevel="0" collapsed="false">
      <c r="A156" s="46"/>
      <c r="B156" s="27"/>
      <c r="C156" s="47"/>
      <c r="D156" s="50"/>
      <c r="E156" s="40"/>
      <c r="F156" s="40"/>
      <c r="G156" s="47"/>
      <c r="H156" s="46"/>
    </row>
    <row r="157" customFormat="false" ht="15" hidden="false" customHeight="false" outlineLevel="0" collapsed="false">
      <c r="A157" s="46"/>
      <c r="B157" s="27"/>
      <c r="C157" s="47"/>
      <c r="D157" s="50"/>
      <c r="E157" s="40"/>
      <c r="F157" s="40"/>
      <c r="G157" s="47"/>
      <c r="H157" s="46"/>
    </row>
    <row r="158" customFormat="false" ht="15" hidden="false" customHeight="false" outlineLevel="0" collapsed="false">
      <c r="A158" s="46"/>
      <c r="B158" s="27"/>
      <c r="C158" s="47"/>
      <c r="D158" s="50"/>
      <c r="E158" s="40"/>
      <c r="F158" s="40"/>
      <c r="G158" s="47"/>
      <c r="H158" s="46"/>
    </row>
    <row r="159" customFormat="false" ht="15" hidden="false" customHeight="false" outlineLevel="0" collapsed="false">
      <c r="A159" s="46"/>
      <c r="B159" s="27"/>
      <c r="C159" s="47"/>
      <c r="D159" s="50"/>
      <c r="E159" s="40"/>
      <c r="F159" s="40"/>
      <c r="G159" s="47"/>
      <c r="H159" s="46"/>
    </row>
    <row r="160" customFormat="false" ht="15" hidden="false" customHeight="false" outlineLevel="0" collapsed="false">
      <c r="A160" s="46"/>
      <c r="B160" s="27"/>
      <c r="C160" s="47"/>
      <c r="D160" s="50"/>
      <c r="E160" s="40"/>
      <c r="F160" s="40"/>
      <c r="G160" s="47"/>
      <c r="H160" s="46"/>
    </row>
    <row r="161" customFormat="false" ht="15" hidden="false" customHeight="false" outlineLevel="0" collapsed="false">
      <c r="A161" s="46"/>
      <c r="B161" s="27"/>
      <c r="C161" s="47"/>
      <c r="D161" s="50"/>
      <c r="E161" s="40"/>
      <c r="F161" s="40"/>
      <c r="G161" s="47"/>
      <c r="H161" s="46"/>
    </row>
    <row r="162" customFormat="false" ht="15" hidden="false" customHeight="false" outlineLevel="0" collapsed="false">
      <c r="A162" s="46"/>
      <c r="B162" s="27"/>
      <c r="C162" s="47"/>
      <c r="D162" s="50"/>
      <c r="E162" s="40"/>
      <c r="F162" s="40"/>
      <c r="G162" s="47"/>
      <c r="H162" s="46"/>
    </row>
    <row r="163" customFormat="false" ht="15" hidden="false" customHeight="false" outlineLevel="0" collapsed="false">
      <c r="A163" s="46"/>
      <c r="B163" s="27"/>
      <c r="C163" s="47"/>
      <c r="D163" s="50"/>
      <c r="E163" s="40"/>
      <c r="F163" s="40"/>
      <c r="G163" s="47"/>
      <c r="H163" s="46"/>
    </row>
    <row r="164" customFormat="false" ht="15" hidden="false" customHeight="false" outlineLevel="0" collapsed="false">
      <c r="A164" s="46"/>
      <c r="B164" s="27"/>
      <c r="C164" s="47"/>
      <c r="D164" s="50"/>
      <c r="E164" s="40"/>
      <c r="F164" s="40"/>
      <c r="G164" s="47"/>
      <c r="H164" s="46"/>
    </row>
    <row r="165" customFormat="false" ht="15" hidden="false" customHeight="false" outlineLevel="0" collapsed="false">
      <c r="A165" s="46"/>
      <c r="B165" s="27"/>
      <c r="C165" s="47"/>
      <c r="D165" s="50"/>
      <c r="E165" s="40"/>
      <c r="F165" s="40"/>
      <c r="G165" s="47"/>
      <c r="H165" s="46"/>
    </row>
    <row r="166" customFormat="false" ht="15" hidden="false" customHeight="false" outlineLevel="0" collapsed="false">
      <c r="A166" s="46"/>
      <c r="B166" s="27"/>
      <c r="C166" s="47"/>
      <c r="D166" s="50"/>
      <c r="E166" s="40"/>
      <c r="F166" s="40"/>
      <c r="G166" s="47"/>
      <c r="H166" s="46"/>
    </row>
    <row r="167" customFormat="false" ht="15" hidden="false" customHeight="false" outlineLevel="0" collapsed="false">
      <c r="A167" s="46"/>
      <c r="B167" s="27"/>
      <c r="C167" s="47"/>
      <c r="D167" s="50"/>
      <c r="E167" s="40"/>
      <c r="F167" s="40"/>
      <c r="G167" s="47"/>
      <c r="H167" s="46"/>
    </row>
    <row r="168" customFormat="false" ht="15" hidden="false" customHeight="false" outlineLevel="0" collapsed="false">
      <c r="A168" s="46"/>
      <c r="B168" s="27"/>
      <c r="C168" s="47"/>
      <c r="D168" s="50"/>
      <c r="E168" s="40"/>
      <c r="F168" s="40"/>
      <c r="G168" s="47"/>
      <c r="H168" s="46"/>
    </row>
    <row r="169" customFormat="false" ht="15" hidden="false" customHeight="false" outlineLevel="0" collapsed="false">
      <c r="A169" s="46"/>
      <c r="B169" s="27"/>
      <c r="C169" s="47"/>
      <c r="D169" s="50"/>
      <c r="E169" s="40"/>
      <c r="F169" s="40"/>
      <c r="G169" s="47"/>
      <c r="H169" s="46"/>
    </row>
    <row r="170" customFormat="false" ht="15" hidden="false" customHeight="false" outlineLevel="0" collapsed="false">
      <c r="A170" s="46"/>
      <c r="B170" s="27"/>
      <c r="C170" s="47"/>
      <c r="D170" s="50"/>
      <c r="E170" s="40"/>
      <c r="F170" s="40"/>
      <c r="G170" s="47"/>
      <c r="H170" s="46"/>
    </row>
    <row r="171" customFormat="false" ht="15" hidden="false" customHeight="false" outlineLevel="0" collapsed="false">
      <c r="A171" s="46"/>
      <c r="B171" s="27"/>
      <c r="C171" s="47"/>
      <c r="D171" s="50"/>
      <c r="E171" s="40"/>
      <c r="F171" s="40"/>
      <c r="G171" s="47"/>
      <c r="H171" s="46"/>
    </row>
    <row r="172" customFormat="false" ht="15" hidden="false" customHeight="false" outlineLevel="0" collapsed="false">
      <c r="A172" s="46"/>
      <c r="B172" s="27"/>
      <c r="C172" s="47"/>
      <c r="D172" s="50"/>
      <c r="E172" s="40"/>
      <c r="F172" s="40"/>
      <c r="G172" s="47"/>
      <c r="H172" s="46"/>
    </row>
    <row r="173" customFormat="false" ht="15" hidden="false" customHeight="false" outlineLevel="0" collapsed="false">
      <c r="A173" s="46"/>
      <c r="B173" s="27"/>
      <c r="C173" s="47"/>
      <c r="D173" s="50"/>
      <c r="E173" s="40"/>
      <c r="F173" s="40"/>
      <c r="G173" s="47"/>
      <c r="H173" s="46"/>
    </row>
    <row r="174" customFormat="false" ht="15" hidden="false" customHeight="false" outlineLevel="0" collapsed="false">
      <c r="A174" s="46"/>
      <c r="B174" s="27"/>
      <c r="C174" s="47"/>
      <c r="D174" s="50"/>
      <c r="E174" s="40"/>
      <c r="F174" s="40"/>
      <c r="G174" s="47"/>
      <c r="H174" s="46"/>
    </row>
    <row r="175" customFormat="false" ht="15" hidden="false" customHeight="false" outlineLevel="0" collapsed="false">
      <c r="A175" s="46"/>
      <c r="B175" s="27"/>
      <c r="C175" s="47"/>
      <c r="D175" s="50"/>
      <c r="E175" s="40"/>
      <c r="F175" s="40"/>
      <c r="G175" s="47"/>
      <c r="H175" s="46"/>
    </row>
    <row r="176" customFormat="false" ht="15" hidden="false" customHeight="false" outlineLevel="0" collapsed="false">
      <c r="A176" s="46"/>
      <c r="B176" s="27"/>
      <c r="C176" s="47"/>
      <c r="D176" s="50"/>
      <c r="E176" s="40"/>
      <c r="F176" s="40"/>
      <c r="G176" s="47"/>
      <c r="H176" s="46"/>
    </row>
    <row r="177" customFormat="false" ht="15" hidden="false" customHeight="false" outlineLevel="0" collapsed="false">
      <c r="A177" s="46"/>
      <c r="B177" s="27"/>
      <c r="C177" s="47"/>
      <c r="D177" s="50"/>
      <c r="E177" s="40"/>
      <c r="F177" s="40"/>
      <c r="G177" s="47"/>
      <c r="H177" s="46"/>
    </row>
    <row r="178" customFormat="false" ht="15" hidden="false" customHeight="false" outlineLevel="0" collapsed="false">
      <c r="A178" s="46"/>
      <c r="B178" s="27"/>
      <c r="C178" s="47"/>
      <c r="D178" s="50"/>
      <c r="E178" s="40"/>
      <c r="F178" s="40"/>
      <c r="G178" s="47"/>
      <c r="H178" s="46"/>
    </row>
    <row r="179" customFormat="false" ht="15" hidden="false" customHeight="false" outlineLevel="0" collapsed="false">
      <c r="A179" s="46"/>
      <c r="B179" s="27"/>
      <c r="C179" s="47"/>
      <c r="D179" s="50"/>
      <c r="E179" s="40"/>
      <c r="F179" s="40"/>
      <c r="G179" s="47"/>
      <c r="H179" s="46"/>
    </row>
    <row r="180" customFormat="false" ht="15" hidden="false" customHeight="false" outlineLevel="0" collapsed="false">
      <c r="A180" s="46"/>
      <c r="B180" s="27"/>
      <c r="C180" s="47"/>
      <c r="D180" s="50"/>
      <c r="E180" s="40"/>
      <c r="F180" s="40"/>
      <c r="G180" s="47"/>
      <c r="H180" s="46"/>
    </row>
    <row r="181" customFormat="false" ht="15" hidden="false" customHeight="false" outlineLevel="0" collapsed="false">
      <c r="A181" s="46"/>
      <c r="B181" s="27"/>
      <c r="C181" s="47"/>
      <c r="D181" s="50"/>
      <c r="E181" s="40"/>
      <c r="F181" s="40"/>
      <c r="G181" s="47"/>
      <c r="H181" s="46"/>
    </row>
    <row r="182" customFormat="false" ht="15" hidden="false" customHeight="false" outlineLevel="0" collapsed="false">
      <c r="A182" s="46"/>
      <c r="B182" s="27"/>
      <c r="C182" s="47"/>
      <c r="D182" s="50"/>
      <c r="E182" s="40"/>
      <c r="F182" s="40"/>
      <c r="G182" s="47"/>
      <c r="H182" s="46"/>
    </row>
    <row r="183" customFormat="false" ht="15" hidden="false" customHeight="false" outlineLevel="0" collapsed="false">
      <c r="A183" s="46"/>
      <c r="B183" s="27"/>
      <c r="C183" s="47"/>
      <c r="D183" s="50"/>
      <c r="E183" s="40"/>
      <c r="F183" s="40"/>
      <c r="G183" s="47"/>
      <c r="H183" s="46"/>
    </row>
    <row r="184" customFormat="false" ht="15" hidden="false" customHeight="false" outlineLevel="0" collapsed="false">
      <c r="A184" s="46"/>
      <c r="B184" s="27"/>
      <c r="C184" s="47"/>
      <c r="D184" s="50"/>
      <c r="E184" s="40"/>
      <c r="F184" s="40"/>
      <c r="G184" s="47"/>
      <c r="H184" s="46"/>
    </row>
    <row r="185" customFormat="false" ht="15" hidden="false" customHeight="false" outlineLevel="0" collapsed="false">
      <c r="A185" s="46"/>
      <c r="B185" s="27"/>
      <c r="C185" s="47"/>
      <c r="D185" s="50"/>
      <c r="E185" s="40"/>
      <c r="F185" s="40"/>
      <c r="G185" s="47"/>
      <c r="H185" s="46"/>
    </row>
    <row r="186" customFormat="false" ht="15" hidden="false" customHeight="false" outlineLevel="0" collapsed="false">
      <c r="A186" s="46"/>
      <c r="B186" s="27"/>
      <c r="C186" s="47"/>
      <c r="D186" s="50"/>
      <c r="E186" s="40"/>
      <c r="F186" s="40"/>
      <c r="G186" s="47"/>
      <c r="H186" s="46"/>
    </row>
    <row r="187" customFormat="false" ht="15" hidden="false" customHeight="false" outlineLevel="0" collapsed="false">
      <c r="A187" s="46"/>
      <c r="B187" s="27"/>
      <c r="C187" s="47"/>
      <c r="D187" s="50"/>
      <c r="E187" s="40"/>
      <c r="F187" s="40"/>
      <c r="G187" s="47"/>
      <c r="H187" s="46"/>
    </row>
    <row r="188" customFormat="false" ht="15" hidden="false" customHeight="false" outlineLevel="0" collapsed="false">
      <c r="A188" s="46"/>
      <c r="B188" s="27"/>
      <c r="C188" s="47"/>
      <c r="D188" s="50"/>
      <c r="E188" s="40"/>
      <c r="F188" s="40"/>
      <c r="G188" s="47"/>
      <c r="H188" s="46"/>
    </row>
    <row r="189" customFormat="false" ht="15" hidden="false" customHeight="false" outlineLevel="0" collapsed="false">
      <c r="A189" s="46"/>
      <c r="B189" s="27"/>
      <c r="C189" s="47"/>
      <c r="D189" s="50"/>
      <c r="E189" s="40"/>
      <c r="F189" s="40"/>
      <c r="G189" s="47"/>
      <c r="H189" s="46"/>
    </row>
    <row r="190" customFormat="false" ht="15" hidden="false" customHeight="false" outlineLevel="0" collapsed="false">
      <c r="A190" s="46"/>
      <c r="B190" s="27"/>
      <c r="C190" s="47"/>
      <c r="D190" s="50"/>
      <c r="E190" s="40"/>
      <c r="F190" s="40"/>
      <c r="G190" s="47"/>
      <c r="H190" s="46"/>
    </row>
    <row r="191" customFormat="false" ht="15" hidden="false" customHeight="false" outlineLevel="0" collapsed="false">
      <c r="A191" s="46"/>
      <c r="B191" s="27"/>
      <c r="C191" s="47"/>
      <c r="D191" s="50"/>
      <c r="E191" s="40"/>
      <c r="F191" s="40"/>
      <c r="G191" s="47"/>
      <c r="H191" s="46"/>
    </row>
    <row r="192" customFormat="false" ht="15" hidden="false" customHeight="false" outlineLevel="0" collapsed="false">
      <c r="A192" s="46"/>
      <c r="B192" s="27"/>
      <c r="C192" s="47"/>
      <c r="D192" s="50"/>
      <c r="E192" s="40"/>
      <c r="F192" s="40"/>
      <c r="G192" s="47"/>
      <c r="H192" s="46"/>
    </row>
    <row r="193" customFormat="false" ht="15" hidden="false" customHeight="false" outlineLevel="0" collapsed="false">
      <c r="A193" s="46"/>
      <c r="B193" s="27"/>
      <c r="C193" s="47"/>
      <c r="D193" s="50"/>
      <c r="E193" s="40"/>
      <c r="F193" s="40"/>
      <c r="G193" s="47"/>
      <c r="H193" s="46"/>
    </row>
    <row r="194" customFormat="false" ht="15" hidden="false" customHeight="false" outlineLevel="0" collapsed="false">
      <c r="A194" s="46"/>
      <c r="B194" s="27"/>
      <c r="C194" s="47"/>
      <c r="D194" s="50"/>
      <c r="E194" s="40"/>
      <c r="F194" s="40"/>
      <c r="G194" s="47"/>
      <c r="H194" s="46"/>
    </row>
    <row r="195" customFormat="false" ht="15" hidden="false" customHeight="false" outlineLevel="0" collapsed="false">
      <c r="A195" s="46"/>
      <c r="B195" s="27"/>
      <c r="C195" s="47"/>
      <c r="D195" s="50"/>
      <c r="E195" s="40"/>
      <c r="F195" s="40"/>
      <c r="G195" s="47"/>
      <c r="H195" s="46"/>
    </row>
    <row r="196" customFormat="false" ht="15" hidden="false" customHeight="false" outlineLevel="0" collapsed="false">
      <c r="A196" s="46"/>
      <c r="B196" s="27"/>
      <c r="C196" s="47"/>
      <c r="D196" s="50"/>
      <c r="E196" s="40"/>
      <c r="F196" s="40"/>
      <c r="G196" s="47"/>
      <c r="H196" s="46"/>
    </row>
    <row r="197" customFormat="false" ht="15" hidden="false" customHeight="false" outlineLevel="0" collapsed="false">
      <c r="A197" s="46"/>
      <c r="B197" s="27"/>
      <c r="C197" s="47"/>
      <c r="D197" s="50"/>
      <c r="E197" s="40"/>
      <c r="F197" s="40"/>
      <c r="G197" s="47"/>
      <c r="H197" s="46"/>
    </row>
    <row r="198" customFormat="false" ht="15" hidden="false" customHeight="false" outlineLevel="0" collapsed="false">
      <c r="A198" s="46"/>
      <c r="B198" s="27"/>
      <c r="C198" s="47"/>
      <c r="D198" s="50"/>
      <c r="E198" s="40"/>
      <c r="F198" s="40"/>
      <c r="G198" s="47"/>
      <c r="H198" s="46"/>
    </row>
    <row r="199" customFormat="false" ht="15" hidden="false" customHeight="false" outlineLevel="0" collapsed="false">
      <c r="A199" s="46"/>
      <c r="B199" s="27"/>
      <c r="C199" s="47"/>
      <c r="D199" s="50"/>
      <c r="E199" s="40"/>
      <c r="F199" s="40"/>
      <c r="G199" s="47"/>
      <c r="H199" s="46"/>
    </row>
    <row r="200" customFormat="false" ht="15" hidden="false" customHeight="false" outlineLevel="0" collapsed="false">
      <c r="A200" s="46"/>
      <c r="B200" s="27"/>
      <c r="C200" s="47"/>
      <c r="D200" s="50"/>
      <c r="E200" s="40"/>
      <c r="F200" s="40"/>
      <c r="G200" s="47"/>
      <c r="H200" s="46"/>
    </row>
    <row r="201" customFormat="false" ht="15" hidden="false" customHeight="false" outlineLevel="0" collapsed="false">
      <c r="A201" s="46"/>
      <c r="B201" s="27"/>
      <c r="C201" s="47"/>
      <c r="D201" s="50"/>
      <c r="E201" s="40"/>
      <c r="F201" s="40"/>
      <c r="G201" s="47"/>
      <c r="H201" s="46"/>
    </row>
    <row r="202" customFormat="false" ht="15" hidden="false" customHeight="false" outlineLevel="0" collapsed="false">
      <c r="A202" s="46"/>
      <c r="B202" s="27"/>
      <c r="C202" s="47"/>
      <c r="D202" s="50"/>
      <c r="E202" s="40"/>
      <c r="F202" s="40"/>
      <c r="G202" s="47"/>
      <c r="H202" s="46"/>
    </row>
    <row r="203" customFormat="false" ht="15" hidden="false" customHeight="false" outlineLevel="0" collapsed="false">
      <c r="A203" s="46"/>
      <c r="B203" s="27"/>
      <c r="C203" s="47"/>
      <c r="D203" s="50"/>
      <c r="E203" s="40"/>
      <c r="F203" s="40"/>
      <c r="G203" s="47"/>
      <c r="H203" s="46"/>
    </row>
    <row r="204" customFormat="false" ht="15" hidden="false" customHeight="false" outlineLevel="0" collapsed="false">
      <c r="A204" s="46"/>
      <c r="B204" s="27"/>
      <c r="C204" s="47"/>
      <c r="D204" s="50"/>
      <c r="E204" s="40"/>
      <c r="F204" s="40"/>
      <c r="G204" s="47"/>
      <c r="H204" s="46"/>
    </row>
    <row r="205" customFormat="false" ht="15" hidden="false" customHeight="false" outlineLevel="0" collapsed="false">
      <c r="A205" s="46"/>
      <c r="B205" s="27"/>
      <c r="C205" s="47"/>
      <c r="D205" s="50"/>
      <c r="E205" s="40"/>
      <c r="F205" s="40"/>
      <c r="G205" s="47"/>
      <c r="H205" s="46"/>
    </row>
    <row r="206" customFormat="false" ht="15" hidden="false" customHeight="false" outlineLevel="0" collapsed="false">
      <c r="A206" s="46"/>
      <c r="B206" s="27"/>
      <c r="C206" s="47"/>
      <c r="D206" s="50"/>
      <c r="E206" s="40"/>
      <c r="F206" s="40"/>
      <c r="G206" s="47"/>
      <c r="H206" s="46"/>
    </row>
    <row r="207" customFormat="false" ht="15" hidden="false" customHeight="false" outlineLevel="0" collapsed="false">
      <c r="A207" s="46"/>
      <c r="B207" s="27"/>
      <c r="C207" s="47"/>
      <c r="D207" s="50"/>
      <c r="E207" s="40"/>
      <c r="F207" s="40"/>
      <c r="G207" s="47"/>
      <c r="H207" s="46"/>
    </row>
    <row r="208" customFormat="false" ht="15" hidden="false" customHeight="false" outlineLevel="0" collapsed="false">
      <c r="A208" s="46"/>
      <c r="B208" s="27"/>
      <c r="C208" s="47"/>
      <c r="D208" s="50"/>
      <c r="E208" s="40"/>
      <c r="F208" s="40"/>
      <c r="G208" s="47"/>
      <c r="H208" s="46"/>
    </row>
    <row r="209" customFormat="false" ht="15" hidden="false" customHeight="false" outlineLevel="0" collapsed="false">
      <c r="A209" s="46"/>
      <c r="B209" s="27"/>
      <c r="C209" s="47"/>
      <c r="D209" s="50"/>
      <c r="E209" s="40"/>
      <c r="F209" s="40"/>
      <c r="G209" s="47"/>
      <c r="H209" s="46"/>
    </row>
    <row r="210" customFormat="false" ht="15" hidden="false" customHeight="false" outlineLevel="0" collapsed="false">
      <c r="A210" s="46"/>
      <c r="B210" s="27"/>
      <c r="C210" s="47"/>
      <c r="D210" s="50"/>
      <c r="E210" s="40"/>
      <c r="F210" s="40"/>
      <c r="G210" s="47"/>
      <c r="H210" s="46"/>
    </row>
    <row r="211" customFormat="false" ht="15" hidden="false" customHeight="false" outlineLevel="0" collapsed="false">
      <c r="A211" s="46"/>
      <c r="B211" s="27"/>
      <c r="C211" s="47"/>
      <c r="D211" s="50"/>
      <c r="E211" s="40"/>
      <c r="F211" s="40"/>
      <c r="G211" s="47"/>
      <c r="H211" s="46"/>
    </row>
    <row r="212" customFormat="false" ht="15" hidden="false" customHeight="false" outlineLevel="0" collapsed="false">
      <c r="A212" s="46"/>
      <c r="B212" s="27"/>
      <c r="C212" s="47"/>
      <c r="D212" s="50"/>
      <c r="E212" s="40"/>
      <c r="F212" s="40"/>
      <c r="G212" s="47"/>
      <c r="H212" s="46"/>
    </row>
    <row r="213" customFormat="false" ht="15" hidden="false" customHeight="false" outlineLevel="0" collapsed="false">
      <c r="A213" s="46"/>
      <c r="B213" s="27"/>
      <c r="C213" s="47"/>
      <c r="D213" s="50"/>
      <c r="E213" s="40"/>
      <c r="F213" s="40"/>
      <c r="G213" s="47"/>
      <c r="H213" s="46"/>
    </row>
    <row r="214" customFormat="false" ht="15" hidden="false" customHeight="false" outlineLevel="0" collapsed="false">
      <c r="A214" s="46"/>
      <c r="B214" s="27"/>
      <c r="C214" s="47"/>
      <c r="D214" s="50"/>
      <c r="E214" s="40"/>
      <c r="F214" s="40"/>
      <c r="G214" s="47"/>
      <c r="H214" s="46"/>
    </row>
    <row r="215" customFormat="false" ht="15" hidden="false" customHeight="false" outlineLevel="0" collapsed="false">
      <c r="A215" s="46"/>
      <c r="B215" s="27"/>
      <c r="C215" s="47"/>
      <c r="D215" s="50"/>
      <c r="E215" s="40"/>
      <c r="F215" s="40"/>
      <c r="G215" s="47"/>
      <c r="H215" s="46"/>
    </row>
    <row r="216" customFormat="false" ht="15" hidden="false" customHeight="false" outlineLevel="0" collapsed="false">
      <c r="A216" s="46"/>
      <c r="B216" s="27"/>
      <c r="C216" s="47"/>
      <c r="D216" s="50"/>
      <c r="E216" s="40"/>
      <c r="F216" s="40"/>
      <c r="G216" s="47"/>
      <c r="H216" s="46"/>
    </row>
    <row r="217" customFormat="false" ht="15" hidden="false" customHeight="false" outlineLevel="0" collapsed="false">
      <c r="A217" s="46"/>
      <c r="B217" s="27"/>
      <c r="C217" s="47"/>
      <c r="D217" s="50"/>
      <c r="E217" s="40"/>
      <c r="F217" s="40"/>
      <c r="G217" s="47"/>
      <c r="H217" s="46"/>
    </row>
    <row r="218" customFormat="false" ht="15" hidden="false" customHeight="false" outlineLevel="0" collapsed="false">
      <c r="A218" s="46"/>
      <c r="B218" s="27"/>
      <c r="C218" s="47"/>
      <c r="D218" s="50"/>
      <c r="E218" s="40"/>
      <c r="F218" s="40"/>
      <c r="G218" s="47"/>
      <c r="H218" s="46"/>
    </row>
    <row r="219" customFormat="false" ht="15" hidden="false" customHeight="false" outlineLevel="0" collapsed="false">
      <c r="A219" s="46"/>
      <c r="B219" s="27"/>
      <c r="C219" s="47"/>
      <c r="D219" s="50"/>
      <c r="E219" s="40"/>
      <c r="F219" s="40"/>
      <c r="G219" s="47"/>
      <c r="H219" s="46"/>
    </row>
    <row r="220" customFormat="false" ht="15" hidden="false" customHeight="false" outlineLevel="0" collapsed="false">
      <c r="A220" s="46"/>
      <c r="B220" s="27"/>
      <c r="C220" s="47"/>
      <c r="D220" s="50"/>
      <c r="E220" s="40"/>
      <c r="F220" s="40"/>
      <c r="G220" s="47"/>
      <c r="H220" s="46"/>
    </row>
    <row r="221" customFormat="false" ht="15" hidden="false" customHeight="false" outlineLevel="0" collapsed="false">
      <c r="A221" s="46"/>
      <c r="B221" s="27"/>
      <c r="C221" s="47"/>
      <c r="D221" s="50"/>
      <c r="E221" s="40"/>
      <c r="F221" s="40"/>
      <c r="G221" s="47"/>
      <c r="H221" s="46"/>
    </row>
    <row r="222" customFormat="false" ht="15" hidden="false" customHeight="false" outlineLevel="0" collapsed="false">
      <c r="A222" s="46"/>
      <c r="B222" s="27"/>
      <c r="C222" s="47"/>
      <c r="D222" s="50"/>
      <c r="E222" s="40"/>
      <c r="F222" s="40"/>
      <c r="G222" s="47"/>
      <c r="H222" s="46"/>
    </row>
    <row r="223" customFormat="false" ht="15" hidden="false" customHeight="false" outlineLevel="0" collapsed="false">
      <c r="A223" s="46"/>
      <c r="B223" s="27"/>
      <c r="C223" s="47"/>
      <c r="D223" s="50"/>
      <c r="E223" s="40"/>
      <c r="F223" s="40"/>
      <c r="G223" s="47"/>
      <c r="H223" s="46"/>
    </row>
    <row r="224" customFormat="false" ht="15" hidden="false" customHeight="false" outlineLevel="0" collapsed="false">
      <c r="A224" s="46"/>
      <c r="B224" s="27"/>
      <c r="C224" s="47"/>
      <c r="D224" s="50"/>
      <c r="E224" s="40"/>
      <c r="F224" s="40"/>
      <c r="G224" s="47"/>
      <c r="H224" s="46"/>
    </row>
    <row r="225" customFormat="false" ht="15" hidden="false" customHeight="false" outlineLevel="0" collapsed="false">
      <c r="A225" s="46"/>
      <c r="B225" s="27"/>
      <c r="C225" s="47"/>
      <c r="D225" s="50"/>
      <c r="E225" s="40"/>
      <c r="F225" s="40"/>
      <c r="G225" s="47"/>
      <c r="H225" s="46"/>
    </row>
    <row r="226" customFormat="false" ht="15" hidden="false" customHeight="false" outlineLevel="0" collapsed="false">
      <c r="A226" s="46"/>
      <c r="B226" s="27"/>
      <c r="C226" s="47"/>
      <c r="D226" s="50"/>
      <c r="E226" s="40"/>
      <c r="F226" s="40"/>
      <c r="G226" s="47"/>
      <c r="H226" s="46"/>
    </row>
    <row r="227" customFormat="false" ht="15" hidden="false" customHeight="false" outlineLevel="0" collapsed="false">
      <c r="A227" s="46"/>
      <c r="B227" s="27"/>
      <c r="C227" s="47"/>
      <c r="D227" s="50"/>
      <c r="E227" s="40"/>
      <c r="F227" s="40"/>
      <c r="G227" s="47"/>
      <c r="H227" s="46"/>
    </row>
    <row r="228" customFormat="false" ht="15" hidden="false" customHeight="false" outlineLevel="0" collapsed="false">
      <c r="A228" s="46"/>
      <c r="B228" s="27"/>
      <c r="C228" s="47"/>
      <c r="D228" s="50"/>
      <c r="E228" s="40"/>
      <c r="F228" s="40"/>
      <c r="G228" s="47"/>
      <c r="H228" s="46"/>
    </row>
    <row r="229" customFormat="false" ht="15" hidden="false" customHeight="false" outlineLevel="0" collapsed="false">
      <c r="A229" s="46"/>
      <c r="B229" s="27"/>
      <c r="C229" s="47"/>
      <c r="D229" s="50"/>
      <c r="E229" s="40"/>
      <c r="F229" s="40"/>
      <c r="G229" s="47"/>
      <c r="H229" s="46"/>
    </row>
    <row r="230" customFormat="false" ht="15" hidden="false" customHeight="false" outlineLevel="0" collapsed="false">
      <c r="A230" s="46"/>
      <c r="B230" s="27"/>
      <c r="C230" s="47"/>
      <c r="D230" s="50"/>
      <c r="E230" s="40"/>
      <c r="F230" s="40"/>
      <c r="G230" s="47"/>
      <c r="H230" s="46"/>
    </row>
    <row r="231" customFormat="false" ht="15" hidden="false" customHeight="false" outlineLevel="0" collapsed="false">
      <c r="A231" s="46"/>
      <c r="B231" s="27"/>
      <c r="C231" s="47"/>
      <c r="D231" s="50"/>
      <c r="E231" s="40"/>
      <c r="F231" s="40"/>
      <c r="G231" s="47"/>
      <c r="H231" s="46"/>
    </row>
    <row r="232" customFormat="false" ht="15" hidden="false" customHeight="false" outlineLevel="0" collapsed="false">
      <c r="A232" s="46"/>
      <c r="B232" s="27"/>
      <c r="C232" s="47"/>
      <c r="D232" s="50"/>
      <c r="E232" s="40"/>
      <c r="F232" s="40"/>
      <c r="G232" s="47"/>
      <c r="H232" s="46"/>
    </row>
    <row r="233" customFormat="false" ht="15" hidden="false" customHeight="false" outlineLevel="0" collapsed="false">
      <c r="A233" s="46"/>
      <c r="B233" s="27"/>
      <c r="C233" s="47"/>
      <c r="D233" s="50"/>
      <c r="E233" s="40"/>
      <c r="F233" s="40"/>
      <c r="G233" s="47"/>
      <c r="H233" s="46"/>
    </row>
    <row r="234" customFormat="false" ht="15" hidden="false" customHeight="false" outlineLevel="0" collapsed="false">
      <c r="A234" s="46"/>
      <c r="B234" s="27"/>
      <c r="C234" s="47"/>
      <c r="D234" s="50"/>
      <c r="E234" s="40"/>
      <c r="F234" s="40"/>
      <c r="G234" s="47"/>
      <c r="H234" s="46"/>
    </row>
    <row r="235" customFormat="false" ht="15" hidden="false" customHeight="false" outlineLevel="0" collapsed="false">
      <c r="A235" s="46"/>
      <c r="B235" s="27"/>
      <c r="C235" s="47"/>
      <c r="D235" s="50"/>
      <c r="E235" s="40"/>
      <c r="F235" s="40"/>
      <c r="G235" s="47"/>
      <c r="H235" s="46"/>
    </row>
    <row r="236" customFormat="false" ht="15" hidden="false" customHeight="false" outlineLevel="0" collapsed="false">
      <c r="A236" s="46"/>
      <c r="B236" s="27"/>
      <c r="C236" s="47"/>
      <c r="D236" s="50"/>
      <c r="E236" s="40"/>
      <c r="F236" s="40"/>
      <c r="G236" s="47"/>
      <c r="H236" s="46"/>
    </row>
    <row r="237" customFormat="false" ht="15" hidden="false" customHeight="false" outlineLevel="0" collapsed="false">
      <c r="A237" s="46"/>
      <c r="B237" s="27"/>
      <c r="C237" s="47"/>
      <c r="D237" s="50"/>
      <c r="E237" s="40"/>
      <c r="F237" s="40"/>
      <c r="G237" s="47"/>
      <c r="H237" s="46"/>
    </row>
    <row r="238" customFormat="false" ht="15" hidden="false" customHeight="false" outlineLevel="0" collapsed="false">
      <c r="A238" s="46"/>
      <c r="B238" s="27"/>
      <c r="C238" s="47"/>
      <c r="D238" s="50"/>
      <c r="E238" s="40"/>
      <c r="F238" s="40"/>
      <c r="G238" s="47"/>
      <c r="H238" s="46"/>
    </row>
    <row r="239" customFormat="false" ht="15" hidden="false" customHeight="false" outlineLevel="0" collapsed="false">
      <c r="A239" s="46"/>
      <c r="B239" s="27"/>
      <c r="C239" s="47"/>
      <c r="D239" s="50"/>
      <c r="E239" s="40"/>
      <c r="F239" s="40"/>
      <c r="G239" s="47"/>
      <c r="H239" s="46"/>
    </row>
    <row r="240" customFormat="false" ht="15" hidden="false" customHeight="false" outlineLevel="0" collapsed="false">
      <c r="A240" s="46"/>
      <c r="B240" s="27"/>
      <c r="C240" s="47"/>
      <c r="D240" s="50"/>
      <c r="E240" s="40"/>
      <c r="F240" s="40"/>
      <c r="G240" s="47"/>
      <c r="H240" s="46"/>
    </row>
    <row r="241" customFormat="false" ht="15" hidden="false" customHeight="false" outlineLevel="0" collapsed="false">
      <c r="A241" s="46"/>
      <c r="B241" s="27"/>
      <c r="C241" s="47"/>
      <c r="D241" s="50"/>
      <c r="E241" s="40"/>
      <c r="F241" s="40"/>
      <c r="G241" s="47"/>
      <c r="H241" s="46"/>
    </row>
    <row r="242" customFormat="false" ht="15" hidden="false" customHeight="false" outlineLevel="0" collapsed="false">
      <c r="A242" s="46"/>
      <c r="B242" s="27"/>
      <c r="C242" s="47"/>
      <c r="D242" s="50"/>
      <c r="E242" s="40"/>
      <c r="F242" s="40"/>
      <c r="G242" s="47"/>
      <c r="H242" s="46"/>
    </row>
    <row r="243" customFormat="false" ht="15" hidden="false" customHeight="false" outlineLevel="0" collapsed="false">
      <c r="A243" s="46"/>
      <c r="B243" s="27"/>
      <c r="C243" s="47"/>
      <c r="D243" s="50"/>
      <c r="E243" s="40"/>
      <c r="F243" s="40"/>
      <c r="G243" s="47"/>
      <c r="H243" s="46"/>
    </row>
    <row r="244" customFormat="false" ht="15" hidden="false" customHeight="false" outlineLevel="0" collapsed="false">
      <c r="A244" s="46"/>
      <c r="B244" s="27"/>
      <c r="C244" s="47"/>
      <c r="D244" s="50"/>
      <c r="E244" s="40"/>
      <c r="F244" s="40"/>
      <c r="G244" s="47"/>
      <c r="H244" s="46"/>
    </row>
    <row r="245" customFormat="false" ht="15" hidden="false" customHeight="false" outlineLevel="0" collapsed="false">
      <c r="A245" s="46"/>
      <c r="B245" s="27"/>
      <c r="C245" s="47"/>
      <c r="D245" s="50"/>
      <c r="E245" s="40"/>
      <c r="F245" s="40"/>
      <c r="G245" s="47"/>
      <c r="H245" s="46"/>
    </row>
    <row r="246" customFormat="false" ht="15" hidden="false" customHeight="false" outlineLevel="0" collapsed="false">
      <c r="A246" s="46"/>
      <c r="B246" s="27"/>
      <c r="C246" s="47"/>
      <c r="D246" s="50"/>
      <c r="E246" s="40"/>
      <c r="F246" s="40"/>
      <c r="G246" s="47"/>
      <c r="H246" s="46"/>
    </row>
    <row r="247" customFormat="false" ht="15" hidden="false" customHeight="false" outlineLevel="0" collapsed="false">
      <c r="A247" s="46"/>
      <c r="B247" s="27"/>
      <c r="C247" s="47"/>
      <c r="D247" s="50"/>
      <c r="E247" s="40"/>
      <c r="F247" s="40"/>
      <c r="G247" s="47"/>
      <c r="H247" s="46"/>
    </row>
    <row r="248" customFormat="false" ht="15" hidden="false" customHeight="false" outlineLevel="0" collapsed="false">
      <c r="A248" s="46"/>
      <c r="B248" s="27"/>
      <c r="C248" s="47"/>
      <c r="D248" s="50"/>
      <c r="E248" s="40"/>
      <c r="F248" s="40"/>
      <c r="G248" s="47"/>
      <c r="H248" s="46"/>
    </row>
    <row r="249" customFormat="false" ht="15" hidden="false" customHeight="false" outlineLevel="0" collapsed="false">
      <c r="A249" s="46"/>
      <c r="B249" s="27"/>
      <c r="C249" s="47"/>
      <c r="D249" s="50"/>
      <c r="E249" s="40"/>
      <c r="F249" s="40"/>
      <c r="G249" s="47"/>
      <c r="H249" s="46"/>
    </row>
    <row r="250" customFormat="false" ht="15" hidden="false" customHeight="false" outlineLevel="0" collapsed="false">
      <c r="A250" s="46"/>
      <c r="B250" s="27"/>
      <c r="C250" s="47"/>
      <c r="D250" s="50"/>
      <c r="E250" s="40"/>
      <c r="F250" s="40"/>
      <c r="G250" s="47"/>
      <c r="H250" s="46"/>
    </row>
    <row r="251" customFormat="false" ht="15" hidden="false" customHeight="false" outlineLevel="0" collapsed="false">
      <c r="A251" s="46"/>
      <c r="B251" s="27"/>
      <c r="C251" s="47"/>
      <c r="D251" s="50"/>
      <c r="E251" s="40"/>
      <c r="F251" s="40"/>
      <c r="G251" s="47"/>
      <c r="H251" s="46"/>
    </row>
    <row r="252" customFormat="false" ht="15" hidden="false" customHeight="false" outlineLevel="0" collapsed="false">
      <c r="A252" s="46"/>
      <c r="B252" s="27"/>
      <c r="C252" s="47"/>
      <c r="D252" s="50"/>
      <c r="E252" s="40"/>
      <c r="F252" s="40"/>
      <c r="G252" s="47"/>
      <c r="H252" s="46"/>
    </row>
    <row r="253" customFormat="false" ht="15" hidden="false" customHeight="false" outlineLevel="0" collapsed="false">
      <c r="A253" s="46"/>
      <c r="B253" s="27"/>
      <c r="C253" s="47"/>
      <c r="D253" s="50"/>
      <c r="E253" s="40"/>
      <c r="F253" s="40"/>
      <c r="G253" s="47"/>
      <c r="H253" s="46"/>
    </row>
    <row r="254" customFormat="false" ht="15" hidden="false" customHeight="false" outlineLevel="0" collapsed="false">
      <c r="A254" s="46"/>
      <c r="B254" s="27"/>
      <c r="C254" s="47"/>
      <c r="D254" s="50"/>
      <c r="E254" s="40"/>
      <c r="F254" s="40"/>
      <c r="G254" s="47"/>
      <c r="H254" s="46"/>
    </row>
    <row r="255" customFormat="false" ht="15" hidden="false" customHeight="false" outlineLevel="0" collapsed="false">
      <c r="A255" s="46"/>
      <c r="B255" s="27"/>
      <c r="C255" s="47"/>
      <c r="D255" s="50"/>
      <c r="E255" s="40"/>
      <c r="F255" s="40"/>
      <c r="G255" s="47"/>
      <c r="H255" s="46"/>
    </row>
    <row r="256" customFormat="false" ht="15" hidden="false" customHeight="false" outlineLevel="0" collapsed="false">
      <c r="A256" s="46"/>
      <c r="B256" s="27"/>
      <c r="C256" s="47"/>
      <c r="D256" s="50"/>
      <c r="E256" s="40"/>
      <c r="F256" s="40"/>
      <c r="G256" s="47"/>
      <c r="H256" s="46"/>
    </row>
    <row r="257" customFormat="false" ht="15" hidden="false" customHeight="false" outlineLevel="0" collapsed="false">
      <c r="A257" s="46"/>
      <c r="B257" s="27"/>
      <c r="C257" s="47"/>
      <c r="D257" s="50"/>
      <c r="E257" s="40"/>
      <c r="F257" s="40"/>
      <c r="G257" s="47"/>
      <c r="H257" s="46"/>
    </row>
    <row r="258" customFormat="false" ht="15" hidden="false" customHeight="false" outlineLevel="0" collapsed="false">
      <c r="A258" s="46"/>
      <c r="B258" s="27"/>
      <c r="C258" s="47"/>
      <c r="D258" s="50"/>
      <c r="E258" s="40"/>
      <c r="F258" s="40"/>
      <c r="G258" s="47"/>
      <c r="H258" s="46"/>
    </row>
    <row r="259" customFormat="false" ht="15" hidden="false" customHeight="false" outlineLevel="0" collapsed="false">
      <c r="A259" s="46"/>
      <c r="B259" s="27"/>
      <c r="C259" s="47"/>
      <c r="D259" s="50"/>
      <c r="E259" s="40"/>
      <c r="F259" s="40"/>
      <c r="G259" s="47"/>
      <c r="H259" s="46"/>
    </row>
    <row r="260" customFormat="false" ht="15" hidden="false" customHeight="false" outlineLevel="0" collapsed="false">
      <c r="A260" s="46"/>
      <c r="B260" s="27"/>
      <c r="C260" s="47"/>
      <c r="D260" s="50"/>
      <c r="E260" s="40"/>
      <c r="F260" s="40"/>
      <c r="G260" s="47"/>
      <c r="H260" s="46"/>
    </row>
    <row r="261" customFormat="false" ht="15" hidden="false" customHeight="false" outlineLevel="0" collapsed="false">
      <c r="A261" s="46"/>
      <c r="B261" s="27"/>
      <c r="C261" s="47"/>
      <c r="D261" s="50"/>
      <c r="E261" s="40"/>
      <c r="F261" s="40"/>
      <c r="G261" s="47"/>
      <c r="H261" s="46"/>
    </row>
    <row r="262" customFormat="false" ht="15" hidden="false" customHeight="false" outlineLevel="0" collapsed="false">
      <c r="A262" s="46"/>
      <c r="B262" s="27"/>
      <c r="C262" s="47"/>
      <c r="D262" s="50"/>
      <c r="E262" s="40"/>
      <c r="F262" s="40"/>
      <c r="G262" s="47"/>
      <c r="H262" s="46"/>
    </row>
    <row r="263" customFormat="false" ht="15" hidden="false" customHeight="false" outlineLevel="0" collapsed="false">
      <c r="A263" s="46"/>
      <c r="B263" s="27"/>
      <c r="C263" s="47"/>
      <c r="D263" s="50"/>
      <c r="E263" s="40"/>
      <c r="F263" s="40"/>
      <c r="G263" s="47"/>
      <c r="H263" s="46"/>
    </row>
    <row r="264" customFormat="false" ht="15" hidden="false" customHeight="false" outlineLevel="0" collapsed="false">
      <c r="A264" s="46"/>
      <c r="B264" s="27"/>
      <c r="C264" s="47"/>
      <c r="D264" s="50"/>
      <c r="E264" s="40"/>
      <c r="F264" s="40"/>
      <c r="G264" s="47"/>
      <c r="H264" s="46"/>
    </row>
    <row r="265" customFormat="false" ht="15" hidden="false" customHeight="false" outlineLevel="0" collapsed="false">
      <c r="A265" s="46"/>
      <c r="B265" s="27"/>
      <c r="C265" s="47"/>
      <c r="D265" s="50"/>
      <c r="E265" s="40"/>
      <c r="F265" s="40"/>
      <c r="G265" s="47"/>
      <c r="H265" s="46"/>
    </row>
    <row r="266" customFormat="false" ht="15" hidden="false" customHeight="false" outlineLevel="0" collapsed="false">
      <c r="A266" s="46"/>
      <c r="B266" s="27"/>
      <c r="C266" s="47"/>
      <c r="D266" s="50"/>
      <c r="E266" s="40"/>
      <c r="F266" s="40"/>
      <c r="G266" s="47"/>
      <c r="H266" s="46"/>
    </row>
    <row r="267" customFormat="false" ht="15" hidden="false" customHeight="false" outlineLevel="0" collapsed="false">
      <c r="A267" s="46"/>
      <c r="B267" s="27"/>
      <c r="C267" s="47"/>
      <c r="D267" s="50"/>
      <c r="E267" s="40"/>
      <c r="F267" s="40"/>
      <c r="G267" s="47"/>
      <c r="H267" s="46"/>
    </row>
    <row r="268" customFormat="false" ht="15" hidden="false" customHeight="false" outlineLevel="0" collapsed="false">
      <c r="A268" s="46"/>
      <c r="B268" s="27"/>
      <c r="C268" s="47"/>
      <c r="D268" s="50"/>
      <c r="E268" s="40"/>
      <c r="F268" s="40"/>
      <c r="G268" s="47"/>
      <c r="H268" s="46"/>
    </row>
    <row r="269" customFormat="false" ht="15" hidden="false" customHeight="false" outlineLevel="0" collapsed="false">
      <c r="A269" s="46"/>
      <c r="B269" s="27"/>
      <c r="C269" s="47"/>
      <c r="D269" s="50"/>
      <c r="E269" s="40"/>
      <c r="F269" s="40"/>
      <c r="G269" s="47"/>
      <c r="H269" s="46"/>
    </row>
    <row r="270" customFormat="false" ht="15" hidden="false" customHeight="false" outlineLevel="0" collapsed="false">
      <c r="A270" s="46"/>
      <c r="B270" s="27"/>
      <c r="C270" s="47"/>
      <c r="D270" s="50"/>
      <c r="E270" s="40"/>
      <c r="F270" s="40"/>
      <c r="G270" s="47"/>
      <c r="H270" s="46"/>
    </row>
    <row r="271" customFormat="false" ht="15" hidden="false" customHeight="false" outlineLevel="0" collapsed="false">
      <c r="A271" s="46"/>
      <c r="B271" s="27"/>
      <c r="C271" s="47"/>
      <c r="D271" s="50"/>
      <c r="E271" s="40"/>
      <c r="F271" s="40"/>
      <c r="G271" s="47"/>
      <c r="H271" s="46"/>
    </row>
    <row r="272" customFormat="false" ht="15" hidden="false" customHeight="false" outlineLevel="0" collapsed="false">
      <c r="A272" s="46"/>
      <c r="B272" s="27"/>
      <c r="C272" s="47"/>
      <c r="D272" s="50"/>
      <c r="E272" s="40"/>
      <c r="F272" s="40"/>
      <c r="G272" s="47"/>
      <c r="H272" s="46"/>
    </row>
    <row r="273" customFormat="false" ht="15" hidden="false" customHeight="false" outlineLevel="0" collapsed="false">
      <c r="A273" s="46"/>
      <c r="B273" s="27"/>
      <c r="C273" s="47"/>
      <c r="D273" s="50"/>
      <c r="E273" s="40"/>
      <c r="F273" s="40"/>
      <c r="G273" s="47"/>
      <c r="H273" s="46"/>
    </row>
    <row r="274" customFormat="false" ht="15" hidden="false" customHeight="false" outlineLevel="0" collapsed="false">
      <c r="A274" s="46"/>
      <c r="B274" s="27"/>
      <c r="C274" s="47"/>
      <c r="D274" s="50"/>
      <c r="E274" s="40"/>
      <c r="F274" s="40"/>
      <c r="G274" s="47"/>
      <c r="H274" s="46"/>
    </row>
    <row r="275" customFormat="false" ht="15" hidden="false" customHeight="false" outlineLevel="0" collapsed="false">
      <c r="A275" s="46"/>
      <c r="B275" s="27"/>
      <c r="C275" s="47"/>
      <c r="D275" s="50"/>
      <c r="E275" s="40"/>
      <c r="F275" s="40"/>
      <c r="G275" s="47"/>
      <c r="H275" s="46"/>
    </row>
    <row r="276" customFormat="false" ht="15" hidden="false" customHeight="false" outlineLevel="0" collapsed="false">
      <c r="A276" s="46"/>
      <c r="B276" s="27"/>
      <c r="C276" s="47"/>
      <c r="D276" s="50"/>
      <c r="E276" s="40"/>
      <c r="F276" s="40"/>
      <c r="G276" s="47"/>
      <c r="H276" s="46"/>
    </row>
    <row r="277" customFormat="false" ht="15" hidden="false" customHeight="false" outlineLevel="0" collapsed="false">
      <c r="A277" s="46"/>
      <c r="B277" s="27"/>
      <c r="C277" s="47"/>
      <c r="D277" s="50"/>
      <c r="E277" s="40"/>
      <c r="F277" s="40"/>
      <c r="G277" s="47"/>
      <c r="H277" s="46"/>
    </row>
    <row r="278" customFormat="false" ht="15" hidden="false" customHeight="false" outlineLevel="0" collapsed="false">
      <c r="A278" s="46"/>
      <c r="B278" s="27"/>
      <c r="C278" s="47"/>
      <c r="D278" s="50"/>
      <c r="E278" s="40"/>
      <c r="F278" s="40"/>
      <c r="G278" s="47"/>
      <c r="H278" s="46"/>
    </row>
    <row r="279" customFormat="false" ht="15" hidden="false" customHeight="false" outlineLevel="0" collapsed="false">
      <c r="A279" s="46"/>
      <c r="B279" s="27"/>
      <c r="C279" s="47"/>
      <c r="D279" s="50"/>
      <c r="E279" s="40"/>
      <c r="F279" s="40"/>
      <c r="G279" s="47"/>
      <c r="H279" s="46"/>
    </row>
    <row r="280" customFormat="false" ht="15" hidden="false" customHeight="false" outlineLevel="0" collapsed="false">
      <c r="A280" s="46"/>
      <c r="B280" s="27"/>
      <c r="C280" s="47"/>
      <c r="D280" s="50"/>
      <c r="E280" s="40"/>
      <c r="F280" s="40"/>
      <c r="G280" s="47"/>
      <c r="H280" s="46"/>
    </row>
    <row r="281" customFormat="false" ht="15" hidden="false" customHeight="false" outlineLevel="0" collapsed="false">
      <c r="A281" s="46"/>
      <c r="B281" s="27"/>
      <c r="C281" s="47"/>
      <c r="D281" s="50"/>
      <c r="E281" s="40"/>
      <c r="F281" s="40"/>
      <c r="G281" s="47"/>
      <c r="H281" s="46"/>
    </row>
    <row r="282" customFormat="false" ht="15" hidden="false" customHeight="false" outlineLevel="0" collapsed="false">
      <c r="A282" s="46"/>
      <c r="B282" s="27"/>
      <c r="C282" s="47"/>
      <c r="D282" s="50"/>
      <c r="E282" s="40"/>
      <c r="F282" s="40"/>
      <c r="G282" s="47"/>
      <c r="H282" s="46"/>
    </row>
    <row r="283" customFormat="false" ht="15" hidden="false" customHeight="false" outlineLevel="0" collapsed="false">
      <c r="A283" s="46"/>
      <c r="B283" s="27"/>
      <c r="C283" s="47"/>
      <c r="D283" s="50"/>
      <c r="E283" s="40"/>
      <c r="F283" s="40"/>
      <c r="G283" s="47"/>
      <c r="H283" s="46"/>
    </row>
    <row r="284" customFormat="false" ht="15" hidden="false" customHeight="false" outlineLevel="0" collapsed="false">
      <c r="A284" s="46"/>
      <c r="B284" s="27"/>
      <c r="C284" s="47"/>
      <c r="D284" s="50"/>
      <c r="E284" s="40"/>
      <c r="F284" s="40"/>
      <c r="G284" s="47"/>
      <c r="H284" s="46"/>
    </row>
    <row r="285" customFormat="false" ht="15" hidden="false" customHeight="false" outlineLevel="0" collapsed="false">
      <c r="A285" s="46"/>
      <c r="B285" s="27"/>
      <c r="C285" s="47"/>
      <c r="D285" s="50"/>
      <c r="E285" s="40"/>
      <c r="F285" s="40"/>
      <c r="G285" s="47"/>
      <c r="H285" s="46"/>
    </row>
    <row r="286" customFormat="false" ht="15" hidden="false" customHeight="false" outlineLevel="0" collapsed="false">
      <c r="A286" s="46"/>
      <c r="B286" s="27"/>
      <c r="C286" s="47"/>
      <c r="D286" s="50"/>
      <c r="E286" s="40"/>
      <c r="F286" s="40"/>
      <c r="G286" s="47"/>
      <c r="H286" s="46"/>
    </row>
    <row r="287" customFormat="false" ht="15" hidden="false" customHeight="false" outlineLevel="0" collapsed="false">
      <c r="A287" s="46"/>
      <c r="B287" s="27"/>
      <c r="C287" s="47"/>
      <c r="D287" s="50"/>
      <c r="E287" s="40"/>
      <c r="F287" s="40"/>
      <c r="G287" s="47"/>
      <c r="H287" s="46"/>
    </row>
    <row r="288" customFormat="false" ht="15" hidden="false" customHeight="false" outlineLevel="0" collapsed="false">
      <c r="A288" s="46"/>
      <c r="B288" s="27"/>
      <c r="C288" s="47"/>
      <c r="D288" s="50"/>
      <c r="E288" s="40"/>
      <c r="F288" s="40"/>
      <c r="G288" s="47"/>
      <c r="H288" s="46"/>
    </row>
    <row r="289" customFormat="false" ht="15" hidden="false" customHeight="false" outlineLevel="0" collapsed="false">
      <c r="A289" s="46"/>
      <c r="B289" s="27"/>
      <c r="C289" s="47"/>
      <c r="D289" s="50"/>
      <c r="E289" s="40"/>
      <c r="F289" s="40"/>
      <c r="G289" s="47"/>
      <c r="H289" s="46"/>
    </row>
    <row r="290" customFormat="false" ht="15" hidden="false" customHeight="false" outlineLevel="0" collapsed="false">
      <c r="A290" s="46"/>
      <c r="B290" s="27"/>
      <c r="C290" s="47"/>
      <c r="D290" s="50"/>
      <c r="E290" s="40"/>
      <c r="F290" s="40"/>
      <c r="G290" s="47"/>
      <c r="H290" s="46"/>
    </row>
    <row r="291" customFormat="false" ht="15" hidden="false" customHeight="false" outlineLevel="0" collapsed="false">
      <c r="A291" s="46"/>
      <c r="B291" s="27"/>
      <c r="C291" s="47"/>
      <c r="D291" s="50"/>
      <c r="E291" s="40"/>
      <c r="F291" s="40"/>
      <c r="G291" s="47"/>
      <c r="H291" s="46"/>
    </row>
    <row r="292" customFormat="false" ht="15" hidden="false" customHeight="false" outlineLevel="0" collapsed="false">
      <c r="A292" s="46"/>
      <c r="B292" s="27"/>
      <c r="C292" s="47"/>
      <c r="D292" s="50"/>
      <c r="E292" s="40"/>
      <c r="F292" s="40"/>
      <c r="G292" s="47"/>
      <c r="H292" s="46"/>
    </row>
    <row r="293" customFormat="false" ht="15" hidden="false" customHeight="false" outlineLevel="0" collapsed="false">
      <c r="A293" s="46"/>
      <c r="B293" s="27"/>
      <c r="C293" s="47"/>
      <c r="D293" s="50"/>
      <c r="E293" s="40"/>
      <c r="F293" s="40"/>
      <c r="G293" s="47"/>
      <c r="H293" s="46"/>
    </row>
    <row r="294" customFormat="false" ht="15" hidden="false" customHeight="false" outlineLevel="0" collapsed="false">
      <c r="A294" s="46"/>
      <c r="B294" s="27"/>
      <c r="C294" s="47"/>
      <c r="D294" s="50"/>
      <c r="E294" s="40"/>
      <c r="F294" s="40"/>
      <c r="G294" s="47"/>
      <c r="H294" s="46"/>
    </row>
    <row r="295" customFormat="false" ht="15" hidden="false" customHeight="false" outlineLevel="0" collapsed="false">
      <c r="A295" s="46"/>
      <c r="B295" s="27"/>
      <c r="C295" s="47"/>
      <c r="D295" s="50"/>
      <c r="E295" s="40"/>
      <c r="F295" s="40"/>
      <c r="G295" s="47"/>
      <c r="H295" s="46"/>
    </row>
    <row r="296" customFormat="false" ht="15" hidden="false" customHeight="false" outlineLevel="0" collapsed="false">
      <c r="A296" s="46"/>
      <c r="B296" s="27"/>
      <c r="C296" s="47"/>
      <c r="D296" s="50"/>
      <c r="E296" s="40"/>
      <c r="F296" s="40"/>
      <c r="G296" s="47"/>
      <c r="H296" s="46"/>
    </row>
    <row r="297" customFormat="false" ht="15" hidden="false" customHeight="false" outlineLevel="0" collapsed="false">
      <c r="A297" s="46"/>
      <c r="B297" s="27"/>
      <c r="C297" s="47"/>
      <c r="D297" s="50"/>
      <c r="E297" s="40"/>
      <c r="F297" s="40"/>
      <c r="G297" s="47"/>
      <c r="H297" s="46"/>
    </row>
    <row r="298" customFormat="false" ht="15" hidden="false" customHeight="false" outlineLevel="0" collapsed="false">
      <c r="A298" s="46"/>
      <c r="B298" s="27"/>
      <c r="C298" s="47"/>
      <c r="D298" s="50"/>
      <c r="E298" s="40"/>
      <c r="F298" s="40"/>
      <c r="G298" s="47"/>
      <c r="H298" s="46"/>
    </row>
    <row r="299" customFormat="false" ht="15" hidden="false" customHeight="false" outlineLevel="0" collapsed="false">
      <c r="A299" s="46"/>
      <c r="B299" s="27"/>
      <c r="C299" s="47"/>
      <c r="D299" s="50"/>
      <c r="E299" s="40"/>
      <c r="F299" s="40"/>
      <c r="G299" s="47"/>
      <c r="H299" s="46"/>
    </row>
    <row r="300" customFormat="false" ht="15" hidden="false" customHeight="false" outlineLevel="0" collapsed="false">
      <c r="A300" s="46"/>
      <c r="B300" s="27"/>
      <c r="C300" s="47"/>
      <c r="D300" s="50"/>
      <c r="E300" s="40"/>
      <c r="F300" s="40"/>
      <c r="G300" s="47"/>
      <c r="H300" s="46"/>
    </row>
    <row r="301" customFormat="false" ht="15" hidden="false" customHeight="false" outlineLevel="0" collapsed="false">
      <c r="A301" s="46"/>
      <c r="B301" s="27"/>
      <c r="C301" s="47"/>
      <c r="D301" s="50"/>
      <c r="E301" s="40"/>
      <c r="F301" s="40"/>
      <c r="G301" s="47"/>
      <c r="H301" s="46"/>
    </row>
    <row r="302" customFormat="false" ht="15" hidden="false" customHeight="false" outlineLevel="0" collapsed="false">
      <c r="A302" s="46"/>
      <c r="B302" s="27"/>
      <c r="C302" s="47"/>
      <c r="D302" s="50"/>
      <c r="E302" s="40"/>
      <c r="F302" s="40"/>
      <c r="G302" s="47"/>
      <c r="H302" s="46"/>
    </row>
    <row r="303" customFormat="false" ht="15" hidden="false" customHeight="false" outlineLevel="0" collapsed="false">
      <c r="A303" s="46"/>
      <c r="B303" s="27"/>
      <c r="C303" s="47"/>
      <c r="D303" s="50"/>
      <c r="E303" s="40"/>
      <c r="F303" s="40"/>
      <c r="G303" s="47"/>
      <c r="H303" s="46"/>
    </row>
    <row r="304" customFormat="false" ht="15" hidden="false" customHeight="false" outlineLevel="0" collapsed="false">
      <c r="A304" s="46"/>
      <c r="B304" s="27"/>
      <c r="C304" s="47"/>
      <c r="D304" s="50"/>
      <c r="E304" s="40"/>
      <c r="F304" s="40"/>
      <c r="G304" s="47"/>
      <c r="H304" s="46"/>
    </row>
    <row r="305" customFormat="false" ht="15" hidden="false" customHeight="false" outlineLevel="0" collapsed="false">
      <c r="A305" s="46"/>
      <c r="B305" s="27"/>
      <c r="C305" s="47"/>
      <c r="D305" s="50"/>
      <c r="E305" s="40"/>
      <c r="F305" s="40"/>
      <c r="G305" s="47"/>
      <c r="H305" s="46"/>
    </row>
  </sheetData>
  <autoFilter ref="A5:H305"/>
  <dataValidations count="4">
    <dataValidation allowBlank="true" error="Enter a number between 0 and 1." errorStyle="stop" errorTitle="Number expected" operator="between" showDropDown="false" showErrorMessage="true" showInputMessage="false" sqref="D6:D305" type="decimal">
      <formula1>0</formula1>
      <formula2>1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F6:F305" type="date">
      <formula1>43831</formula1>
      <formula2>0</formula2>
    </dataValidation>
    <dataValidation allowBlank="false" error="Please choose a value from the dropdown (list 'Resource Status' on the Lists sheet)." errorStyle="stop" errorTitle="Pick from the list" operator="between" showDropDown="false" showErrorMessage="true" showInputMessage="false" sqref="G6:G305" type="list">
      <formula1>Lists!$J$2:$J$40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2" t="s">
        <v>495</v>
      </c>
    </row>
    <row r="2" customFormat="false" ht="15" hidden="false" customHeight="true" outlineLevel="0" collapsed="false">
      <c r="A2" s="23" t="s">
        <v>496</v>
      </c>
    </row>
    <row r="3" customFormat="false" ht="15" hidden="false" customHeight="true" outlineLevel="0" collapsed="false">
      <c r="A3" s="35" t="s">
        <v>497</v>
      </c>
    </row>
    <row r="5" customFormat="false" ht="43.5" hidden="false" customHeight="true" outlineLevel="0" collapsed="false">
      <c r="A5" s="39" t="s">
        <v>498</v>
      </c>
      <c r="B5" s="39" t="s">
        <v>499</v>
      </c>
      <c r="C5" s="39" t="s">
        <v>500</v>
      </c>
      <c r="D5" s="39" t="s">
        <v>262</v>
      </c>
    </row>
    <row r="6" customFormat="false" ht="15" hidden="false" customHeight="false" outlineLevel="0" collapsed="false">
      <c r="A6" s="40" t="n">
        <v>46204</v>
      </c>
      <c r="B6" s="41" t="n">
        <v>6</v>
      </c>
      <c r="C6" s="41" t="n">
        <v>6</v>
      </c>
      <c r="D6" s="46" t="s">
        <v>501</v>
      </c>
    </row>
    <row r="7" customFormat="false" ht="15" hidden="false" customHeight="false" outlineLevel="0" collapsed="false">
      <c r="A7" s="40" t="n">
        <v>46235</v>
      </c>
      <c r="B7" s="41" t="n">
        <v>6</v>
      </c>
      <c r="C7" s="41" t="n">
        <v>6</v>
      </c>
      <c r="D7" s="46" t="s">
        <v>501</v>
      </c>
    </row>
    <row r="8" customFormat="false" ht="15" hidden="false" customHeight="false" outlineLevel="0" collapsed="false">
      <c r="A8" s="40" t="n">
        <v>46266</v>
      </c>
      <c r="B8" s="41" t="n">
        <v>6</v>
      </c>
      <c r="C8" s="41" t="n">
        <v>6</v>
      </c>
      <c r="D8" s="46" t="s">
        <v>501</v>
      </c>
    </row>
    <row r="9" customFormat="false" ht="15" hidden="false" customHeight="false" outlineLevel="0" collapsed="false">
      <c r="A9" s="40" t="n">
        <v>46296</v>
      </c>
      <c r="B9" s="41" t="n">
        <v>6</v>
      </c>
      <c r="C9" s="41" t="n">
        <v>6</v>
      </c>
      <c r="D9" s="46" t="s">
        <v>501</v>
      </c>
    </row>
    <row r="10" customFormat="false" ht="15" hidden="false" customHeight="false" outlineLevel="0" collapsed="false">
      <c r="A10" s="40" t="n">
        <v>46327</v>
      </c>
      <c r="B10" s="41" t="n">
        <v>6</v>
      </c>
      <c r="C10" s="41" t="n">
        <v>6</v>
      </c>
      <c r="D10" s="46" t="s">
        <v>501</v>
      </c>
    </row>
    <row r="11" customFormat="false" ht="15" hidden="false" customHeight="false" outlineLevel="0" collapsed="false">
      <c r="A11" s="40" t="n">
        <v>46357</v>
      </c>
      <c r="B11" s="41" t="n">
        <v>5</v>
      </c>
      <c r="C11" s="41" t="n">
        <v>6</v>
      </c>
      <c r="D11" s="46" t="s">
        <v>501</v>
      </c>
    </row>
    <row r="12" customFormat="false" ht="15" hidden="false" customHeight="false" outlineLevel="0" collapsed="false">
      <c r="A12" s="40" t="n">
        <v>46388</v>
      </c>
      <c r="B12" s="41" t="n">
        <v>4</v>
      </c>
      <c r="C12" s="41" t="n">
        <v>5</v>
      </c>
      <c r="D12" s="46" t="s">
        <v>501</v>
      </c>
    </row>
    <row r="13" customFormat="false" ht="15" hidden="false" customHeight="false" outlineLevel="0" collapsed="false">
      <c r="A13" s="40" t="n">
        <v>46419</v>
      </c>
      <c r="B13" s="41" t="n">
        <v>3</v>
      </c>
      <c r="C13" s="41" t="n">
        <v>4</v>
      </c>
      <c r="D13" s="46" t="s">
        <v>501</v>
      </c>
    </row>
    <row r="14" customFormat="false" ht="15" hidden="false" customHeight="false" outlineLevel="0" collapsed="false">
      <c r="A14" s="40" t="n">
        <v>46447</v>
      </c>
      <c r="B14" s="41" t="n">
        <v>2</v>
      </c>
      <c r="C14" s="41" t="n">
        <v>3</v>
      </c>
      <c r="D14" s="46" t="s">
        <v>501</v>
      </c>
    </row>
    <row r="15" customFormat="false" ht="15" hidden="false" customHeight="false" outlineLevel="0" collapsed="false">
      <c r="A15" s="40"/>
      <c r="B15" s="41"/>
      <c r="C15" s="41"/>
      <c r="D15" s="46"/>
    </row>
    <row r="16" customFormat="false" ht="15" hidden="false" customHeight="false" outlineLevel="0" collapsed="false">
      <c r="A16" s="40"/>
      <c r="B16" s="41"/>
      <c r="C16" s="41"/>
      <c r="D16" s="46"/>
    </row>
    <row r="17" customFormat="false" ht="15" hidden="false" customHeight="false" outlineLevel="0" collapsed="false">
      <c r="A17" s="40"/>
      <c r="B17" s="41"/>
      <c r="C17" s="41"/>
      <c r="D17" s="46"/>
    </row>
    <row r="18" customFormat="false" ht="15" hidden="false" customHeight="false" outlineLevel="0" collapsed="false">
      <c r="A18" s="40"/>
      <c r="B18" s="41"/>
      <c r="C18" s="41"/>
      <c r="D18" s="46"/>
    </row>
    <row r="19" customFormat="false" ht="15" hidden="false" customHeight="false" outlineLevel="0" collapsed="false">
      <c r="A19" s="40"/>
      <c r="B19" s="41"/>
      <c r="C19" s="41"/>
      <c r="D19" s="46"/>
    </row>
    <row r="20" customFormat="false" ht="15" hidden="false" customHeight="false" outlineLevel="0" collapsed="false">
      <c r="A20" s="40"/>
      <c r="B20" s="41"/>
      <c r="C20" s="41"/>
      <c r="D20" s="46"/>
    </row>
    <row r="21" customFormat="false" ht="15" hidden="false" customHeight="false" outlineLevel="0" collapsed="false">
      <c r="A21" s="40"/>
      <c r="B21" s="41"/>
      <c r="C21" s="41"/>
      <c r="D21" s="46"/>
    </row>
    <row r="22" customFormat="false" ht="15" hidden="false" customHeight="false" outlineLevel="0" collapsed="false">
      <c r="A22" s="40"/>
      <c r="B22" s="41"/>
      <c r="C22" s="41"/>
      <c r="D22" s="46"/>
    </row>
    <row r="23" customFormat="false" ht="15" hidden="false" customHeight="false" outlineLevel="0" collapsed="false">
      <c r="A23" s="40"/>
      <c r="B23" s="41"/>
      <c r="C23" s="41"/>
      <c r="D23" s="46"/>
    </row>
    <row r="24" customFormat="false" ht="15" hidden="false" customHeight="false" outlineLevel="0" collapsed="false">
      <c r="A24" s="40"/>
      <c r="B24" s="41"/>
      <c r="C24" s="41"/>
      <c r="D24" s="46"/>
    </row>
    <row r="25" customFormat="false" ht="15" hidden="false" customHeight="false" outlineLevel="0" collapsed="false">
      <c r="A25" s="40"/>
      <c r="B25" s="41"/>
      <c r="C25" s="41"/>
      <c r="D25" s="46"/>
    </row>
    <row r="26" customFormat="false" ht="15" hidden="false" customHeight="false" outlineLevel="0" collapsed="false">
      <c r="A26" s="40"/>
      <c r="B26" s="41"/>
      <c r="C26" s="41"/>
      <c r="D26" s="46"/>
    </row>
    <row r="27" customFormat="false" ht="15" hidden="false" customHeight="false" outlineLevel="0" collapsed="false">
      <c r="A27" s="40"/>
      <c r="B27" s="41"/>
      <c r="C27" s="41"/>
      <c r="D27" s="46"/>
    </row>
    <row r="28" customFormat="false" ht="15" hidden="false" customHeight="false" outlineLevel="0" collapsed="false">
      <c r="A28" s="40"/>
      <c r="B28" s="41"/>
      <c r="C28" s="41"/>
      <c r="D28" s="46"/>
    </row>
    <row r="29" customFormat="false" ht="15" hidden="false" customHeight="false" outlineLevel="0" collapsed="false">
      <c r="A29" s="40"/>
      <c r="B29" s="41"/>
      <c r="C29" s="41"/>
      <c r="D29" s="46"/>
    </row>
    <row r="30" customFormat="false" ht="15" hidden="false" customHeight="false" outlineLevel="0" collapsed="false">
      <c r="A30" s="40"/>
      <c r="B30" s="41"/>
      <c r="C30" s="41"/>
      <c r="D30" s="46"/>
    </row>
    <row r="31" customFormat="false" ht="15" hidden="false" customHeight="false" outlineLevel="0" collapsed="false">
      <c r="A31" s="40"/>
      <c r="B31" s="41"/>
      <c r="C31" s="41"/>
      <c r="D31" s="46"/>
    </row>
    <row r="32" customFormat="false" ht="15" hidden="false" customHeight="false" outlineLevel="0" collapsed="false">
      <c r="A32" s="40"/>
      <c r="B32" s="41"/>
      <c r="C32" s="41"/>
      <c r="D32" s="46"/>
    </row>
    <row r="33" customFormat="false" ht="15" hidden="false" customHeight="false" outlineLevel="0" collapsed="false">
      <c r="A33" s="40"/>
      <c r="B33" s="41"/>
      <c r="C33" s="41"/>
      <c r="D33" s="46"/>
    </row>
    <row r="34" customFormat="false" ht="15" hidden="false" customHeight="false" outlineLevel="0" collapsed="false">
      <c r="A34" s="40"/>
      <c r="B34" s="41"/>
      <c r="C34" s="41"/>
      <c r="D34" s="46"/>
    </row>
    <row r="35" customFormat="false" ht="15" hidden="false" customHeight="false" outlineLevel="0" collapsed="false">
      <c r="A35" s="40"/>
      <c r="B35" s="41"/>
      <c r="C35" s="41"/>
      <c r="D35" s="46"/>
    </row>
    <row r="36" customFormat="false" ht="15" hidden="false" customHeight="false" outlineLevel="0" collapsed="false">
      <c r="A36" s="40"/>
      <c r="B36" s="41"/>
      <c r="C36" s="41"/>
      <c r="D36" s="46"/>
    </row>
    <row r="37" customFormat="false" ht="15" hidden="false" customHeight="false" outlineLevel="0" collapsed="false">
      <c r="A37" s="40"/>
      <c r="B37" s="41"/>
      <c r="C37" s="41"/>
      <c r="D37" s="46"/>
    </row>
    <row r="38" customFormat="false" ht="15" hidden="false" customHeight="false" outlineLevel="0" collapsed="false">
      <c r="A38" s="40"/>
      <c r="B38" s="41"/>
      <c r="C38" s="41"/>
      <c r="D38" s="46"/>
    </row>
    <row r="39" customFormat="false" ht="15" hidden="false" customHeight="false" outlineLevel="0" collapsed="false">
      <c r="A39" s="40"/>
      <c r="B39" s="41"/>
      <c r="C39" s="41"/>
      <c r="D39" s="46"/>
    </row>
    <row r="40" customFormat="false" ht="15" hidden="false" customHeight="false" outlineLevel="0" collapsed="false">
      <c r="A40" s="40"/>
      <c r="B40" s="41"/>
      <c r="C40" s="41"/>
      <c r="D40" s="46"/>
    </row>
    <row r="41" customFormat="false" ht="15" hidden="false" customHeight="false" outlineLevel="0" collapsed="false">
      <c r="A41" s="40"/>
      <c r="B41" s="41"/>
      <c r="C41" s="41"/>
      <c r="D41" s="46"/>
    </row>
    <row r="42" customFormat="false" ht="15" hidden="false" customHeight="false" outlineLevel="0" collapsed="false">
      <c r="A42" s="40"/>
      <c r="B42" s="41"/>
      <c r="C42" s="41"/>
      <c r="D42" s="46"/>
    </row>
    <row r="43" customFormat="false" ht="15" hidden="false" customHeight="false" outlineLevel="0" collapsed="false">
      <c r="A43" s="40"/>
      <c r="B43" s="41"/>
      <c r="C43" s="41"/>
      <c r="D43" s="46"/>
    </row>
    <row r="44" customFormat="false" ht="15" hidden="false" customHeight="false" outlineLevel="0" collapsed="false">
      <c r="A44" s="40"/>
      <c r="B44" s="41"/>
      <c r="C44" s="41"/>
      <c r="D44" s="46"/>
    </row>
    <row r="45" customFormat="false" ht="15" hidden="false" customHeight="false" outlineLevel="0" collapsed="false">
      <c r="A45" s="40"/>
      <c r="B45" s="41"/>
      <c r="C45" s="41"/>
      <c r="D45" s="46"/>
    </row>
    <row r="46" customFormat="false" ht="15" hidden="false" customHeight="false" outlineLevel="0" collapsed="false">
      <c r="A46" s="40"/>
      <c r="B46" s="41"/>
      <c r="C46" s="41"/>
      <c r="D46" s="46"/>
    </row>
    <row r="47" customFormat="false" ht="15" hidden="false" customHeight="false" outlineLevel="0" collapsed="false">
      <c r="A47" s="40"/>
      <c r="B47" s="41"/>
      <c r="C47" s="41"/>
      <c r="D47" s="46"/>
    </row>
    <row r="48" customFormat="false" ht="15" hidden="false" customHeight="false" outlineLevel="0" collapsed="false">
      <c r="A48" s="40"/>
      <c r="B48" s="41"/>
      <c r="C48" s="41"/>
      <c r="D48" s="46"/>
    </row>
    <row r="49" customFormat="false" ht="15" hidden="false" customHeight="false" outlineLevel="0" collapsed="false">
      <c r="A49" s="40"/>
      <c r="B49" s="41"/>
      <c r="C49" s="41"/>
      <c r="D49" s="46"/>
    </row>
    <row r="50" customFormat="false" ht="15" hidden="false" customHeight="false" outlineLevel="0" collapsed="false">
      <c r="A50" s="40"/>
      <c r="B50" s="41"/>
      <c r="C50" s="41"/>
      <c r="D50" s="46"/>
    </row>
    <row r="51" customFormat="false" ht="15" hidden="false" customHeight="false" outlineLevel="0" collapsed="false">
      <c r="A51" s="40"/>
      <c r="B51" s="41"/>
      <c r="C51" s="41"/>
      <c r="D51" s="46"/>
    </row>
    <row r="52" customFormat="false" ht="15" hidden="false" customHeight="false" outlineLevel="0" collapsed="false">
      <c r="A52" s="40"/>
      <c r="B52" s="41"/>
      <c r="C52" s="41"/>
      <c r="D52" s="46"/>
    </row>
    <row r="53" customFormat="false" ht="15" hidden="false" customHeight="false" outlineLevel="0" collapsed="false">
      <c r="A53" s="40"/>
      <c r="B53" s="41"/>
      <c r="C53" s="41"/>
      <c r="D53" s="46"/>
    </row>
    <row r="54" customFormat="false" ht="15" hidden="false" customHeight="false" outlineLevel="0" collapsed="false">
      <c r="A54" s="40"/>
      <c r="B54" s="41"/>
      <c r="C54" s="41"/>
      <c r="D54" s="46"/>
    </row>
    <row r="55" customFormat="false" ht="15" hidden="false" customHeight="false" outlineLevel="0" collapsed="false">
      <c r="A55" s="40"/>
      <c r="B55" s="41"/>
      <c r="C55" s="41"/>
      <c r="D55" s="46"/>
    </row>
    <row r="56" customFormat="false" ht="15" hidden="false" customHeight="false" outlineLevel="0" collapsed="false">
      <c r="A56" s="40"/>
      <c r="B56" s="41"/>
      <c r="C56" s="41"/>
      <c r="D56" s="46"/>
    </row>
    <row r="57" customFormat="false" ht="15" hidden="false" customHeight="false" outlineLevel="0" collapsed="false">
      <c r="A57" s="40"/>
      <c r="B57" s="41"/>
      <c r="C57" s="41"/>
      <c r="D57" s="46"/>
    </row>
    <row r="58" customFormat="false" ht="15" hidden="false" customHeight="false" outlineLevel="0" collapsed="false">
      <c r="A58" s="40"/>
      <c r="B58" s="41"/>
      <c r="C58" s="41"/>
      <c r="D58" s="46"/>
    </row>
    <row r="59" customFormat="false" ht="15" hidden="false" customHeight="false" outlineLevel="0" collapsed="false">
      <c r="A59" s="40"/>
      <c r="B59" s="41"/>
      <c r="C59" s="41"/>
      <c r="D59" s="46"/>
    </row>
    <row r="60" customFormat="false" ht="15" hidden="false" customHeight="false" outlineLevel="0" collapsed="false">
      <c r="A60" s="40"/>
      <c r="B60" s="41"/>
      <c r="C60" s="41"/>
      <c r="D60" s="46"/>
    </row>
    <row r="61" customFormat="false" ht="15" hidden="false" customHeight="false" outlineLevel="0" collapsed="false">
      <c r="A61" s="40"/>
      <c r="B61" s="41"/>
      <c r="C61" s="41"/>
      <c r="D61" s="46"/>
    </row>
    <row r="62" customFormat="false" ht="15" hidden="false" customHeight="false" outlineLevel="0" collapsed="false">
      <c r="A62" s="40"/>
      <c r="B62" s="41"/>
      <c r="C62" s="41"/>
      <c r="D62" s="46"/>
    </row>
    <row r="63" customFormat="false" ht="15" hidden="false" customHeight="false" outlineLevel="0" collapsed="false">
      <c r="A63" s="40"/>
      <c r="B63" s="41"/>
      <c r="C63" s="41"/>
      <c r="D63" s="46"/>
    </row>
    <row r="64" customFormat="false" ht="15" hidden="false" customHeight="false" outlineLevel="0" collapsed="false">
      <c r="A64" s="40"/>
      <c r="B64" s="41"/>
      <c r="C64" s="41"/>
      <c r="D64" s="46"/>
    </row>
    <row r="65" customFormat="false" ht="15" hidden="false" customHeight="false" outlineLevel="0" collapsed="false">
      <c r="A65" s="40"/>
      <c r="B65" s="41"/>
      <c r="C65" s="41"/>
      <c r="D65" s="46"/>
    </row>
    <row r="66" customFormat="false" ht="15" hidden="false" customHeight="false" outlineLevel="0" collapsed="false">
      <c r="A66" s="40"/>
      <c r="B66" s="41"/>
      <c r="C66" s="41"/>
      <c r="D66" s="46"/>
    </row>
    <row r="67" customFormat="false" ht="15" hidden="false" customHeight="false" outlineLevel="0" collapsed="false">
      <c r="A67" s="40"/>
      <c r="B67" s="41"/>
      <c r="C67" s="41"/>
      <c r="D67" s="46"/>
    </row>
    <row r="68" customFormat="false" ht="15" hidden="false" customHeight="false" outlineLevel="0" collapsed="false">
      <c r="A68" s="40"/>
      <c r="B68" s="41"/>
      <c r="C68" s="41"/>
      <c r="D68" s="46"/>
    </row>
    <row r="69" customFormat="false" ht="15" hidden="false" customHeight="false" outlineLevel="0" collapsed="false">
      <c r="A69" s="40"/>
      <c r="B69" s="41"/>
      <c r="C69" s="41"/>
      <c r="D69" s="46"/>
    </row>
    <row r="70" customFormat="false" ht="15" hidden="false" customHeight="false" outlineLevel="0" collapsed="false">
      <c r="A70" s="40"/>
      <c r="B70" s="41"/>
      <c r="C70" s="41"/>
      <c r="D70" s="46"/>
    </row>
    <row r="71" customFormat="false" ht="15" hidden="false" customHeight="false" outlineLevel="0" collapsed="false">
      <c r="A71" s="40"/>
      <c r="B71" s="41"/>
      <c r="C71" s="41"/>
      <c r="D71" s="46"/>
    </row>
    <row r="72" customFormat="false" ht="15" hidden="false" customHeight="false" outlineLevel="0" collapsed="false">
      <c r="A72" s="40"/>
      <c r="B72" s="41"/>
      <c r="C72" s="41"/>
      <c r="D72" s="46"/>
    </row>
    <row r="73" customFormat="false" ht="15" hidden="false" customHeight="false" outlineLevel="0" collapsed="false">
      <c r="A73" s="40"/>
      <c r="B73" s="41"/>
      <c r="C73" s="41"/>
      <c r="D73" s="46"/>
    </row>
    <row r="74" customFormat="false" ht="15" hidden="false" customHeight="false" outlineLevel="0" collapsed="false">
      <c r="A74" s="40"/>
      <c r="B74" s="41"/>
      <c r="C74" s="41"/>
      <c r="D74" s="46"/>
    </row>
    <row r="75" customFormat="false" ht="15" hidden="false" customHeight="false" outlineLevel="0" collapsed="false">
      <c r="A75" s="40"/>
      <c r="B75" s="41"/>
      <c r="C75" s="41"/>
      <c r="D75" s="46"/>
    </row>
    <row r="76" customFormat="false" ht="15" hidden="false" customHeight="false" outlineLevel="0" collapsed="false">
      <c r="A76" s="40"/>
      <c r="B76" s="41"/>
      <c r="C76" s="41"/>
      <c r="D76" s="46"/>
    </row>
    <row r="77" customFormat="false" ht="15" hidden="false" customHeight="false" outlineLevel="0" collapsed="false">
      <c r="A77" s="40"/>
      <c r="B77" s="41"/>
      <c r="C77" s="41"/>
      <c r="D77" s="46"/>
    </row>
    <row r="78" customFormat="false" ht="15" hidden="false" customHeight="false" outlineLevel="0" collapsed="false">
      <c r="A78" s="40"/>
      <c r="B78" s="41"/>
      <c r="C78" s="41"/>
      <c r="D78" s="46"/>
    </row>
    <row r="79" customFormat="false" ht="15" hidden="false" customHeight="false" outlineLevel="0" collapsed="false">
      <c r="A79" s="40"/>
      <c r="B79" s="41"/>
      <c r="C79" s="41"/>
      <c r="D79" s="46"/>
    </row>
    <row r="80" customFormat="false" ht="15" hidden="false" customHeight="false" outlineLevel="0" collapsed="false">
      <c r="A80" s="40"/>
      <c r="B80" s="41"/>
      <c r="C80" s="41"/>
      <c r="D80" s="46"/>
    </row>
    <row r="81" customFormat="false" ht="15" hidden="false" customHeight="false" outlineLevel="0" collapsed="false">
      <c r="A81" s="40"/>
      <c r="B81" s="41"/>
      <c r="C81" s="41"/>
      <c r="D81" s="46"/>
    </row>
    <row r="82" customFormat="false" ht="15" hidden="false" customHeight="false" outlineLevel="0" collapsed="false">
      <c r="A82" s="40"/>
      <c r="B82" s="41"/>
      <c r="C82" s="41"/>
      <c r="D82" s="46"/>
    </row>
    <row r="83" customFormat="false" ht="15" hidden="false" customHeight="false" outlineLevel="0" collapsed="false">
      <c r="A83" s="40"/>
      <c r="B83" s="41"/>
      <c r="C83" s="41"/>
      <c r="D83" s="46"/>
    </row>
    <row r="84" customFormat="false" ht="15" hidden="false" customHeight="false" outlineLevel="0" collapsed="false">
      <c r="A84" s="40"/>
      <c r="B84" s="41"/>
      <c r="C84" s="41"/>
      <c r="D84" s="46"/>
    </row>
    <row r="85" customFormat="false" ht="15" hidden="false" customHeight="false" outlineLevel="0" collapsed="false">
      <c r="A85" s="40"/>
      <c r="B85" s="41"/>
      <c r="C85" s="41"/>
      <c r="D85" s="46"/>
    </row>
    <row r="86" customFormat="false" ht="15" hidden="false" customHeight="false" outlineLevel="0" collapsed="false">
      <c r="A86" s="40"/>
      <c r="B86" s="41"/>
      <c r="C86" s="41"/>
      <c r="D86" s="46"/>
    </row>
    <row r="87" customFormat="false" ht="15" hidden="false" customHeight="false" outlineLevel="0" collapsed="false">
      <c r="A87" s="40"/>
      <c r="B87" s="41"/>
      <c r="C87" s="41"/>
      <c r="D87" s="46"/>
    </row>
    <row r="88" customFormat="false" ht="15" hidden="false" customHeight="false" outlineLevel="0" collapsed="false">
      <c r="A88" s="40"/>
      <c r="B88" s="41"/>
      <c r="C88" s="41"/>
      <c r="D88" s="46"/>
    </row>
    <row r="89" customFormat="false" ht="15" hidden="false" customHeight="false" outlineLevel="0" collapsed="false">
      <c r="A89" s="40"/>
      <c r="B89" s="41"/>
      <c r="C89" s="41"/>
      <c r="D89" s="46"/>
    </row>
    <row r="90" customFormat="false" ht="15" hidden="false" customHeight="false" outlineLevel="0" collapsed="false">
      <c r="A90" s="40"/>
      <c r="B90" s="41"/>
      <c r="C90" s="41"/>
      <c r="D90" s="46"/>
    </row>
    <row r="91" customFormat="false" ht="15" hidden="false" customHeight="false" outlineLevel="0" collapsed="false">
      <c r="A91" s="40"/>
      <c r="B91" s="41"/>
      <c r="C91" s="41"/>
      <c r="D91" s="46"/>
    </row>
    <row r="92" customFormat="false" ht="15" hidden="false" customHeight="false" outlineLevel="0" collapsed="false">
      <c r="A92" s="40"/>
      <c r="B92" s="41"/>
      <c r="C92" s="41"/>
      <c r="D92" s="46"/>
    </row>
    <row r="93" customFormat="false" ht="15" hidden="false" customHeight="false" outlineLevel="0" collapsed="false">
      <c r="A93" s="40"/>
      <c r="B93" s="41"/>
      <c r="C93" s="41"/>
      <c r="D93" s="46"/>
    </row>
    <row r="94" customFormat="false" ht="15" hidden="false" customHeight="false" outlineLevel="0" collapsed="false">
      <c r="A94" s="40"/>
      <c r="B94" s="41"/>
      <c r="C94" s="41"/>
      <c r="D94" s="46"/>
    </row>
    <row r="95" customFormat="false" ht="15" hidden="false" customHeight="false" outlineLevel="0" collapsed="false">
      <c r="A95" s="40"/>
      <c r="B95" s="41"/>
      <c r="C95" s="41"/>
      <c r="D95" s="46"/>
    </row>
    <row r="96" customFormat="false" ht="15" hidden="false" customHeight="false" outlineLevel="0" collapsed="false">
      <c r="A96" s="40"/>
      <c r="B96" s="41"/>
      <c r="C96" s="41"/>
      <c r="D96" s="46"/>
    </row>
    <row r="97" customFormat="false" ht="15" hidden="false" customHeight="false" outlineLevel="0" collapsed="false">
      <c r="A97" s="40"/>
      <c r="B97" s="41"/>
      <c r="C97" s="41"/>
      <c r="D97" s="46"/>
    </row>
    <row r="98" customFormat="false" ht="15" hidden="false" customHeight="false" outlineLevel="0" collapsed="false">
      <c r="A98" s="40"/>
      <c r="B98" s="41"/>
      <c r="C98" s="41"/>
      <c r="D98" s="46"/>
    </row>
    <row r="99" customFormat="false" ht="15" hidden="false" customHeight="false" outlineLevel="0" collapsed="false">
      <c r="A99" s="40"/>
      <c r="B99" s="41"/>
      <c r="C99" s="41"/>
      <c r="D99" s="46"/>
    </row>
    <row r="100" customFormat="false" ht="15" hidden="false" customHeight="false" outlineLevel="0" collapsed="false">
      <c r="A100" s="40"/>
      <c r="B100" s="41"/>
      <c r="C100" s="41"/>
      <c r="D100" s="46"/>
    </row>
    <row r="101" customFormat="false" ht="15" hidden="false" customHeight="false" outlineLevel="0" collapsed="false">
      <c r="A101" s="40"/>
      <c r="B101" s="41"/>
      <c r="C101" s="41"/>
      <c r="D101" s="46"/>
    </row>
    <row r="102" customFormat="false" ht="15" hidden="false" customHeight="false" outlineLevel="0" collapsed="false">
      <c r="A102" s="40"/>
      <c r="B102" s="41"/>
      <c r="C102" s="41"/>
      <c r="D102" s="46"/>
    </row>
    <row r="103" customFormat="false" ht="15" hidden="false" customHeight="false" outlineLevel="0" collapsed="false">
      <c r="A103" s="40"/>
      <c r="B103" s="41"/>
      <c r="C103" s="41"/>
      <c r="D103" s="46"/>
    </row>
    <row r="104" customFormat="false" ht="15" hidden="false" customHeight="false" outlineLevel="0" collapsed="false">
      <c r="A104" s="40"/>
      <c r="B104" s="41"/>
      <c r="C104" s="41"/>
      <c r="D104" s="46"/>
    </row>
    <row r="105" customFormat="false" ht="15" hidden="false" customHeight="false" outlineLevel="0" collapsed="false">
      <c r="A105" s="40"/>
      <c r="B105" s="41"/>
      <c r="C105" s="41"/>
      <c r="D105" s="46"/>
    </row>
    <row r="106" customFormat="false" ht="15" hidden="false" customHeight="false" outlineLevel="0" collapsed="false">
      <c r="A106" s="40"/>
      <c r="B106" s="41"/>
      <c r="C106" s="41"/>
      <c r="D106" s="46"/>
    </row>
    <row r="107" customFormat="false" ht="15" hidden="false" customHeight="false" outlineLevel="0" collapsed="false">
      <c r="A107" s="40"/>
      <c r="B107" s="41"/>
      <c r="C107" s="41"/>
      <c r="D107" s="46"/>
    </row>
    <row r="108" customFormat="false" ht="15" hidden="false" customHeight="false" outlineLevel="0" collapsed="false">
      <c r="A108" s="40"/>
      <c r="B108" s="41"/>
      <c r="C108" s="41"/>
      <c r="D108" s="46"/>
    </row>
    <row r="109" customFormat="false" ht="15" hidden="false" customHeight="false" outlineLevel="0" collapsed="false">
      <c r="A109" s="40"/>
      <c r="B109" s="41"/>
      <c r="C109" s="41"/>
      <c r="D109" s="46"/>
    </row>
    <row r="110" customFormat="false" ht="15" hidden="false" customHeight="false" outlineLevel="0" collapsed="false">
      <c r="A110" s="40"/>
      <c r="B110" s="41"/>
      <c r="C110" s="41"/>
      <c r="D110" s="46"/>
    </row>
    <row r="111" customFormat="false" ht="15" hidden="false" customHeight="false" outlineLevel="0" collapsed="false">
      <c r="A111" s="40"/>
      <c r="B111" s="41"/>
      <c r="C111" s="41"/>
      <c r="D111" s="46"/>
    </row>
    <row r="112" customFormat="false" ht="15" hidden="false" customHeight="false" outlineLevel="0" collapsed="false">
      <c r="A112" s="40"/>
      <c r="B112" s="41"/>
      <c r="C112" s="41"/>
      <c r="D112" s="46"/>
    </row>
    <row r="113" customFormat="false" ht="15" hidden="false" customHeight="false" outlineLevel="0" collapsed="false">
      <c r="A113" s="40"/>
      <c r="B113" s="41"/>
      <c r="C113" s="41"/>
      <c r="D113" s="46"/>
    </row>
    <row r="114" customFormat="false" ht="15" hidden="false" customHeight="false" outlineLevel="0" collapsed="false">
      <c r="A114" s="40"/>
      <c r="B114" s="41"/>
      <c r="C114" s="41"/>
      <c r="D114" s="46"/>
    </row>
    <row r="115" customFormat="false" ht="15" hidden="false" customHeight="false" outlineLevel="0" collapsed="false">
      <c r="A115" s="40"/>
      <c r="B115" s="41"/>
      <c r="C115" s="41"/>
      <c r="D115" s="46"/>
    </row>
    <row r="116" customFormat="false" ht="15" hidden="false" customHeight="false" outlineLevel="0" collapsed="false">
      <c r="A116" s="40"/>
      <c r="B116" s="41"/>
      <c r="C116" s="41"/>
      <c r="D116" s="46"/>
    </row>
    <row r="117" customFormat="false" ht="15" hidden="false" customHeight="false" outlineLevel="0" collapsed="false">
      <c r="A117" s="40"/>
      <c r="B117" s="41"/>
      <c r="C117" s="41"/>
      <c r="D117" s="46"/>
    </row>
    <row r="118" customFormat="false" ht="15" hidden="false" customHeight="false" outlineLevel="0" collapsed="false">
      <c r="A118" s="40"/>
      <c r="B118" s="41"/>
      <c r="C118" s="41"/>
      <c r="D118" s="46"/>
    </row>
    <row r="119" customFormat="false" ht="15" hidden="false" customHeight="false" outlineLevel="0" collapsed="false">
      <c r="A119" s="40"/>
      <c r="B119" s="41"/>
      <c r="C119" s="41"/>
      <c r="D119" s="46"/>
    </row>
    <row r="120" customFormat="false" ht="15" hidden="false" customHeight="false" outlineLevel="0" collapsed="false">
      <c r="A120" s="40"/>
      <c r="B120" s="41"/>
      <c r="C120" s="41"/>
      <c r="D120" s="46"/>
    </row>
    <row r="121" customFormat="false" ht="15" hidden="false" customHeight="false" outlineLevel="0" collapsed="false">
      <c r="A121" s="40"/>
      <c r="B121" s="41"/>
      <c r="C121" s="41"/>
      <c r="D121" s="46"/>
    </row>
    <row r="122" customFormat="false" ht="15" hidden="false" customHeight="false" outlineLevel="0" collapsed="false">
      <c r="A122" s="40"/>
      <c r="B122" s="41"/>
      <c r="C122" s="41"/>
      <c r="D122" s="46"/>
    </row>
    <row r="123" customFormat="false" ht="15" hidden="false" customHeight="false" outlineLevel="0" collapsed="false">
      <c r="A123" s="40"/>
      <c r="B123" s="41"/>
      <c r="C123" s="41"/>
      <c r="D123" s="46"/>
    </row>
    <row r="124" customFormat="false" ht="15" hidden="false" customHeight="false" outlineLevel="0" collapsed="false">
      <c r="A124" s="40"/>
      <c r="B124" s="41"/>
      <c r="C124" s="41"/>
      <c r="D124" s="46"/>
    </row>
    <row r="125" customFormat="false" ht="15" hidden="false" customHeight="false" outlineLevel="0" collapsed="false">
      <c r="A125" s="40"/>
      <c r="B125" s="41"/>
      <c r="C125" s="41"/>
      <c r="D125" s="46"/>
    </row>
    <row r="126" customFormat="false" ht="15" hidden="false" customHeight="false" outlineLevel="0" collapsed="false">
      <c r="A126" s="40"/>
      <c r="B126" s="41"/>
      <c r="C126" s="41"/>
      <c r="D126" s="46"/>
    </row>
    <row r="127" customFormat="false" ht="15" hidden="false" customHeight="false" outlineLevel="0" collapsed="false">
      <c r="A127" s="40"/>
      <c r="B127" s="41"/>
      <c r="C127" s="41"/>
      <c r="D127" s="46"/>
    </row>
    <row r="128" customFormat="false" ht="15" hidden="false" customHeight="false" outlineLevel="0" collapsed="false">
      <c r="A128" s="40"/>
      <c r="B128" s="41"/>
      <c r="C128" s="41"/>
      <c r="D128" s="46"/>
    </row>
    <row r="129" customFormat="false" ht="15" hidden="false" customHeight="false" outlineLevel="0" collapsed="false">
      <c r="A129" s="40"/>
      <c r="B129" s="41"/>
      <c r="C129" s="41"/>
      <c r="D129" s="46"/>
    </row>
    <row r="130" customFormat="false" ht="15" hidden="false" customHeight="false" outlineLevel="0" collapsed="false">
      <c r="A130" s="40"/>
      <c r="B130" s="41"/>
      <c r="C130" s="41"/>
      <c r="D130" s="46"/>
    </row>
    <row r="131" customFormat="false" ht="15" hidden="false" customHeight="false" outlineLevel="0" collapsed="false">
      <c r="A131" s="40"/>
      <c r="B131" s="41"/>
      <c r="C131" s="41"/>
      <c r="D131" s="46"/>
    </row>
    <row r="132" customFormat="false" ht="15" hidden="false" customHeight="false" outlineLevel="0" collapsed="false">
      <c r="A132" s="40"/>
      <c r="B132" s="41"/>
      <c r="C132" s="41"/>
      <c r="D132" s="46"/>
    </row>
    <row r="133" customFormat="false" ht="15" hidden="false" customHeight="false" outlineLevel="0" collapsed="false">
      <c r="A133" s="40"/>
      <c r="B133" s="41"/>
      <c r="C133" s="41"/>
      <c r="D133" s="46"/>
    </row>
    <row r="134" customFormat="false" ht="15" hidden="false" customHeight="false" outlineLevel="0" collapsed="false">
      <c r="A134" s="40"/>
      <c r="B134" s="41"/>
      <c r="C134" s="41"/>
      <c r="D134" s="46"/>
    </row>
    <row r="135" customFormat="false" ht="15" hidden="false" customHeight="false" outlineLevel="0" collapsed="false">
      <c r="A135" s="40"/>
      <c r="B135" s="41"/>
      <c r="C135" s="41"/>
      <c r="D135" s="46"/>
    </row>
    <row r="136" customFormat="false" ht="15" hidden="false" customHeight="false" outlineLevel="0" collapsed="false">
      <c r="A136" s="40"/>
      <c r="B136" s="41"/>
      <c r="C136" s="41"/>
      <c r="D136" s="46"/>
    </row>
    <row r="137" customFormat="false" ht="15" hidden="false" customHeight="false" outlineLevel="0" collapsed="false">
      <c r="A137" s="40"/>
      <c r="B137" s="41"/>
      <c r="C137" s="41"/>
      <c r="D137" s="46"/>
    </row>
    <row r="138" customFormat="false" ht="15" hidden="false" customHeight="false" outlineLevel="0" collapsed="false">
      <c r="A138" s="40"/>
      <c r="B138" s="41"/>
      <c r="C138" s="41"/>
      <c r="D138" s="46"/>
    </row>
    <row r="139" customFormat="false" ht="15" hidden="false" customHeight="false" outlineLevel="0" collapsed="false">
      <c r="A139" s="40"/>
      <c r="B139" s="41"/>
      <c r="C139" s="41"/>
      <c r="D139" s="46"/>
    </row>
    <row r="140" customFormat="false" ht="15" hidden="false" customHeight="false" outlineLevel="0" collapsed="false">
      <c r="A140" s="40"/>
      <c r="B140" s="41"/>
      <c r="C140" s="41"/>
      <c r="D140" s="46"/>
    </row>
    <row r="141" customFormat="false" ht="15" hidden="false" customHeight="false" outlineLevel="0" collapsed="false">
      <c r="A141" s="40"/>
      <c r="B141" s="41"/>
      <c r="C141" s="41"/>
      <c r="D141" s="46"/>
    </row>
    <row r="142" customFormat="false" ht="15" hidden="false" customHeight="false" outlineLevel="0" collapsed="false">
      <c r="A142" s="40"/>
      <c r="B142" s="41"/>
      <c r="C142" s="41"/>
      <c r="D142" s="46"/>
    </row>
    <row r="143" customFormat="false" ht="15" hidden="false" customHeight="false" outlineLevel="0" collapsed="false">
      <c r="A143" s="40"/>
      <c r="B143" s="41"/>
      <c r="C143" s="41"/>
      <c r="D143" s="46"/>
    </row>
    <row r="144" customFormat="false" ht="15" hidden="false" customHeight="false" outlineLevel="0" collapsed="false">
      <c r="A144" s="40"/>
      <c r="B144" s="41"/>
      <c r="C144" s="41"/>
      <c r="D144" s="46"/>
    </row>
    <row r="145" customFormat="false" ht="15" hidden="false" customHeight="false" outlineLevel="0" collapsed="false">
      <c r="A145" s="40"/>
      <c r="B145" s="41"/>
      <c r="C145" s="41"/>
      <c r="D145" s="46"/>
    </row>
    <row r="146" customFormat="false" ht="15" hidden="false" customHeight="false" outlineLevel="0" collapsed="false">
      <c r="A146" s="40"/>
      <c r="B146" s="41"/>
      <c r="C146" s="41"/>
      <c r="D146" s="46"/>
    </row>
    <row r="147" customFormat="false" ht="15" hidden="false" customHeight="false" outlineLevel="0" collapsed="false">
      <c r="A147" s="40"/>
      <c r="B147" s="41"/>
      <c r="C147" s="41"/>
      <c r="D147" s="46"/>
    </row>
    <row r="148" customFormat="false" ht="15" hidden="false" customHeight="false" outlineLevel="0" collapsed="false">
      <c r="A148" s="40"/>
      <c r="B148" s="41"/>
      <c r="C148" s="41"/>
      <c r="D148" s="46"/>
    </row>
    <row r="149" customFormat="false" ht="15" hidden="false" customHeight="false" outlineLevel="0" collapsed="false">
      <c r="A149" s="40"/>
      <c r="B149" s="41"/>
      <c r="C149" s="41"/>
      <c r="D149" s="46"/>
    </row>
    <row r="150" customFormat="false" ht="15" hidden="false" customHeight="false" outlineLevel="0" collapsed="false">
      <c r="A150" s="40"/>
      <c r="B150" s="41"/>
      <c r="C150" s="41"/>
      <c r="D150" s="46"/>
    </row>
    <row r="151" customFormat="false" ht="15" hidden="false" customHeight="false" outlineLevel="0" collapsed="false">
      <c r="A151" s="40"/>
      <c r="B151" s="41"/>
      <c r="C151" s="41"/>
      <c r="D151" s="46"/>
    </row>
    <row r="152" customFormat="false" ht="15" hidden="false" customHeight="false" outlineLevel="0" collapsed="false">
      <c r="A152" s="40"/>
      <c r="B152" s="41"/>
      <c r="C152" s="41"/>
      <c r="D152" s="46"/>
    </row>
    <row r="153" customFormat="false" ht="15" hidden="false" customHeight="false" outlineLevel="0" collapsed="false">
      <c r="A153" s="40"/>
      <c r="B153" s="41"/>
      <c r="C153" s="41"/>
      <c r="D153" s="46"/>
    </row>
    <row r="154" customFormat="false" ht="15" hidden="false" customHeight="false" outlineLevel="0" collapsed="false">
      <c r="A154" s="40"/>
      <c r="B154" s="41"/>
      <c r="C154" s="41"/>
      <c r="D154" s="46"/>
    </row>
    <row r="155" customFormat="false" ht="15" hidden="false" customHeight="false" outlineLevel="0" collapsed="false">
      <c r="A155" s="40"/>
      <c r="B155" s="41"/>
      <c r="C155" s="41"/>
      <c r="D155" s="46"/>
    </row>
    <row r="156" customFormat="false" ht="15" hidden="false" customHeight="false" outlineLevel="0" collapsed="false">
      <c r="A156" s="40"/>
      <c r="B156" s="41"/>
      <c r="C156" s="41"/>
      <c r="D156" s="46"/>
    </row>
    <row r="157" customFormat="false" ht="15" hidden="false" customHeight="false" outlineLevel="0" collapsed="false">
      <c r="A157" s="40"/>
      <c r="B157" s="41"/>
      <c r="C157" s="41"/>
      <c r="D157" s="46"/>
    </row>
    <row r="158" customFormat="false" ht="15" hidden="false" customHeight="false" outlineLevel="0" collapsed="false">
      <c r="A158" s="40"/>
      <c r="B158" s="41"/>
      <c r="C158" s="41"/>
      <c r="D158" s="46"/>
    </row>
    <row r="159" customFormat="false" ht="15" hidden="false" customHeight="false" outlineLevel="0" collapsed="false">
      <c r="A159" s="40"/>
      <c r="B159" s="41"/>
      <c r="C159" s="41"/>
      <c r="D159" s="46"/>
    </row>
    <row r="160" customFormat="false" ht="15" hidden="false" customHeight="false" outlineLevel="0" collapsed="false">
      <c r="A160" s="40"/>
      <c r="B160" s="41"/>
      <c r="C160" s="41"/>
      <c r="D160" s="46"/>
    </row>
    <row r="161" customFormat="false" ht="15" hidden="false" customHeight="false" outlineLevel="0" collapsed="false">
      <c r="A161" s="40"/>
      <c r="B161" s="41"/>
      <c r="C161" s="41"/>
      <c r="D161" s="46"/>
    </row>
    <row r="162" customFormat="false" ht="15" hidden="false" customHeight="false" outlineLevel="0" collapsed="false">
      <c r="A162" s="40"/>
      <c r="B162" s="41"/>
      <c r="C162" s="41"/>
      <c r="D162" s="46"/>
    </row>
    <row r="163" customFormat="false" ht="15" hidden="false" customHeight="false" outlineLevel="0" collapsed="false">
      <c r="A163" s="40"/>
      <c r="B163" s="41"/>
      <c r="C163" s="41"/>
      <c r="D163" s="46"/>
    </row>
    <row r="164" customFormat="false" ht="15" hidden="false" customHeight="false" outlineLevel="0" collapsed="false">
      <c r="A164" s="40"/>
      <c r="B164" s="41"/>
      <c r="C164" s="41"/>
      <c r="D164" s="46"/>
    </row>
    <row r="165" customFormat="false" ht="15" hidden="false" customHeight="false" outlineLevel="0" collapsed="false">
      <c r="A165" s="40"/>
      <c r="B165" s="41"/>
      <c r="C165" s="41"/>
      <c r="D165" s="46"/>
    </row>
    <row r="166" customFormat="false" ht="15" hidden="false" customHeight="false" outlineLevel="0" collapsed="false">
      <c r="A166" s="40"/>
      <c r="B166" s="41"/>
      <c r="C166" s="41"/>
      <c r="D166" s="46"/>
    </row>
    <row r="167" customFormat="false" ht="15" hidden="false" customHeight="false" outlineLevel="0" collapsed="false">
      <c r="A167" s="40"/>
      <c r="B167" s="41"/>
      <c r="C167" s="41"/>
      <c r="D167" s="46"/>
    </row>
    <row r="168" customFormat="false" ht="15" hidden="false" customHeight="false" outlineLevel="0" collapsed="false">
      <c r="A168" s="40"/>
      <c r="B168" s="41"/>
      <c r="C168" s="41"/>
      <c r="D168" s="46"/>
    </row>
    <row r="169" customFormat="false" ht="15" hidden="false" customHeight="false" outlineLevel="0" collapsed="false">
      <c r="A169" s="40"/>
      <c r="B169" s="41"/>
      <c r="C169" s="41"/>
      <c r="D169" s="46"/>
    </row>
    <row r="170" customFormat="false" ht="15" hidden="false" customHeight="false" outlineLevel="0" collapsed="false">
      <c r="A170" s="40"/>
      <c r="B170" s="41"/>
      <c r="C170" s="41"/>
      <c r="D170" s="46"/>
    </row>
    <row r="171" customFormat="false" ht="15" hidden="false" customHeight="false" outlineLevel="0" collapsed="false">
      <c r="A171" s="40"/>
      <c r="B171" s="41"/>
      <c r="C171" s="41"/>
      <c r="D171" s="46"/>
    </row>
    <row r="172" customFormat="false" ht="15" hidden="false" customHeight="false" outlineLevel="0" collapsed="false">
      <c r="A172" s="40"/>
      <c r="B172" s="41"/>
      <c r="C172" s="41"/>
      <c r="D172" s="46"/>
    </row>
    <row r="173" customFormat="false" ht="15" hidden="false" customHeight="false" outlineLevel="0" collapsed="false">
      <c r="A173" s="40"/>
      <c r="B173" s="41"/>
      <c r="C173" s="41"/>
      <c r="D173" s="46"/>
    </row>
    <row r="174" customFormat="false" ht="15" hidden="false" customHeight="false" outlineLevel="0" collapsed="false">
      <c r="A174" s="40"/>
      <c r="B174" s="41"/>
      <c r="C174" s="41"/>
      <c r="D174" s="46"/>
    </row>
    <row r="175" customFormat="false" ht="15" hidden="false" customHeight="false" outlineLevel="0" collapsed="false">
      <c r="A175" s="40"/>
      <c r="B175" s="41"/>
      <c r="C175" s="41"/>
      <c r="D175" s="46"/>
    </row>
    <row r="176" customFormat="false" ht="15" hidden="false" customHeight="false" outlineLevel="0" collapsed="false">
      <c r="A176" s="40"/>
      <c r="B176" s="41"/>
      <c r="C176" s="41"/>
      <c r="D176" s="46"/>
    </row>
    <row r="177" customFormat="false" ht="15" hidden="false" customHeight="false" outlineLevel="0" collapsed="false">
      <c r="A177" s="40"/>
      <c r="B177" s="41"/>
      <c r="C177" s="41"/>
      <c r="D177" s="46"/>
    </row>
    <row r="178" customFormat="false" ht="15" hidden="false" customHeight="false" outlineLevel="0" collapsed="false">
      <c r="A178" s="40"/>
      <c r="B178" s="41"/>
      <c r="C178" s="41"/>
      <c r="D178" s="46"/>
    </row>
    <row r="179" customFormat="false" ht="15" hidden="false" customHeight="false" outlineLevel="0" collapsed="false">
      <c r="A179" s="40"/>
      <c r="B179" s="41"/>
      <c r="C179" s="41"/>
      <c r="D179" s="46"/>
    </row>
    <row r="180" customFormat="false" ht="15" hidden="false" customHeight="false" outlineLevel="0" collapsed="false">
      <c r="A180" s="40"/>
      <c r="B180" s="41"/>
      <c r="C180" s="41"/>
      <c r="D180" s="46"/>
    </row>
    <row r="181" customFormat="false" ht="15" hidden="false" customHeight="false" outlineLevel="0" collapsed="false">
      <c r="A181" s="40"/>
      <c r="B181" s="41"/>
      <c r="C181" s="41"/>
      <c r="D181" s="46"/>
    </row>
    <row r="182" customFormat="false" ht="15" hidden="false" customHeight="false" outlineLevel="0" collapsed="false">
      <c r="A182" s="40"/>
      <c r="B182" s="41"/>
      <c r="C182" s="41"/>
      <c r="D182" s="46"/>
    </row>
    <row r="183" customFormat="false" ht="15" hidden="false" customHeight="false" outlineLevel="0" collapsed="false">
      <c r="A183" s="40"/>
      <c r="B183" s="41"/>
      <c r="C183" s="41"/>
      <c r="D183" s="46"/>
    </row>
    <row r="184" customFormat="false" ht="15" hidden="false" customHeight="false" outlineLevel="0" collapsed="false">
      <c r="A184" s="40"/>
      <c r="B184" s="41"/>
      <c r="C184" s="41"/>
      <c r="D184" s="46"/>
    </row>
    <row r="185" customFormat="false" ht="15" hidden="false" customHeight="false" outlineLevel="0" collapsed="false">
      <c r="A185" s="40"/>
      <c r="B185" s="41"/>
      <c r="C185" s="41"/>
      <c r="D185" s="46"/>
    </row>
    <row r="186" customFormat="false" ht="15" hidden="false" customHeight="false" outlineLevel="0" collapsed="false">
      <c r="A186" s="40"/>
      <c r="B186" s="41"/>
      <c r="C186" s="41"/>
      <c r="D186" s="46"/>
    </row>
    <row r="187" customFormat="false" ht="15" hidden="false" customHeight="false" outlineLevel="0" collapsed="false">
      <c r="A187" s="40"/>
      <c r="B187" s="41"/>
      <c r="C187" s="41"/>
      <c r="D187" s="46"/>
    </row>
    <row r="188" customFormat="false" ht="15" hidden="false" customHeight="false" outlineLevel="0" collapsed="false">
      <c r="A188" s="40"/>
      <c r="B188" s="41"/>
      <c r="C188" s="41"/>
      <c r="D188" s="46"/>
    </row>
    <row r="189" customFormat="false" ht="15" hidden="false" customHeight="false" outlineLevel="0" collapsed="false">
      <c r="A189" s="40"/>
      <c r="B189" s="41"/>
      <c r="C189" s="41"/>
      <c r="D189" s="46"/>
    </row>
    <row r="190" customFormat="false" ht="15" hidden="false" customHeight="false" outlineLevel="0" collapsed="false">
      <c r="A190" s="40"/>
      <c r="B190" s="41"/>
      <c r="C190" s="41"/>
      <c r="D190" s="46"/>
    </row>
    <row r="191" customFormat="false" ht="15" hidden="false" customHeight="false" outlineLevel="0" collapsed="false">
      <c r="A191" s="40"/>
      <c r="B191" s="41"/>
      <c r="C191" s="41"/>
      <c r="D191" s="46"/>
    </row>
    <row r="192" customFormat="false" ht="15" hidden="false" customHeight="false" outlineLevel="0" collapsed="false">
      <c r="A192" s="40"/>
      <c r="B192" s="41"/>
      <c r="C192" s="41"/>
      <c r="D192" s="46"/>
    </row>
    <row r="193" customFormat="false" ht="15" hidden="false" customHeight="false" outlineLevel="0" collapsed="false">
      <c r="A193" s="40"/>
      <c r="B193" s="41"/>
      <c r="C193" s="41"/>
      <c r="D193" s="46"/>
    </row>
    <row r="194" customFormat="false" ht="15" hidden="false" customHeight="false" outlineLevel="0" collapsed="false">
      <c r="A194" s="40"/>
      <c r="B194" s="41"/>
      <c r="C194" s="41"/>
      <c r="D194" s="46"/>
    </row>
    <row r="195" customFormat="false" ht="15" hidden="false" customHeight="false" outlineLevel="0" collapsed="false">
      <c r="A195" s="40"/>
      <c r="B195" s="41"/>
      <c r="C195" s="41"/>
      <c r="D195" s="46"/>
    </row>
    <row r="196" customFormat="false" ht="15" hidden="false" customHeight="false" outlineLevel="0" collapsed="false">
      <c r="A196" s="40"/>
      <c r="B196" s="41"/>
      <c r="C196" s="41"/>
      <c r="D196" s="46"/>
    </row>
    <row r="197" customFormat="false" ht="15" hidden="false" customHeight="false" outlineLevel="0" collapsed="false">
      <c r="A197" s="40"/>
      <c r="B197" s="41"/>
      <c r="C197" s="41"/>
      <c r="D197" s="46"/>
    </row>
    <row r="198" customFormat="false" ht="15" hidden="false" customHeight="false" outlineLevel="0" collapsed="false">
      <c r="A198" s="40"/>
      <c r="B198" s="41"/>
      <c r="C198" s="41"/>
      <c r="D198" s="46"/>
    </row>
    <row r="199" customFormat="false" ht="15" hidden="false" customHeight="false" outlineLevel="0" collapsed="false">
      <c r="A199" s="40"/>
      <c r="B199" s="41"/>
      <c r="C199" s="41"/>
      <c r="D199" s="46"/>
    </row>
    <row r="200" customFormat="false" ht="15" hidden="false" customHeight="false" outlineLevel="0" collapsed="false">
      <c r="A200" s="40"/>
      <c r="B200" s="41"/>
      <c r="C200" s="41"/>
      <c r="D200" s="46"/>
    </row>
    <row r="201" customFormat="false" ht="15" hidden="false" customHeight="false" outlineLevel="0" collapsed="false">
      <c r="A201" s="40"/>
      <c r="B201" s="41"/>
      <c r="C201" s="41"/>
      <c r="D201" s="46"/>
    </row>
    <row r="202" customFormat="false" ht="15" hidden="false" customHeight="false" outlineLevel="0" collapsed="false">
      <c r="A202" s="40"/>
      <c r="B202" s="41"/>
      <c r="C202" s="41"/>
      <c r="D202" s="46"/>
    </row>
    <row r="203" customFormat="false" ht="15" hidden="false" customHeight="false" outlineLevel="0" collapsed="false">
      <c r="A203" s="40"/>
      <c r="B203" s="41"/>
      <c r="C203" s="41"/>
      <c r="D203" s="46"/>
    </row>
    <row r="204" customFormat="false" ht="15" hidden="false" customHeight="false" outlineLevel="0" collapsed="false">
      <c r="A204" s="40"/>
      <c r="B204" s="41"/>
      <c r="C204" s="41"/>
      <c r="D204" s="46"/>
    </row>
    <row r="205" customFormat="false" ht="15" hidden="false" customHeight="false" outlineLevel="0" collapsed="false">
      <c r="A205" s="40"/>
      <c r="B205" s="41"/>
      <c r="C205" s="41"/>
      <c r="D205" s="46"/>
    </row>
    <row r="206" customFormat="false" ht="15" hidden="false" customHeight="false" outlineLevel="0" collapsed="false">
      <c r="A206" s="40"/>
      <c r="B206" s="41"/>
      <c r="C206" s="41"/>
      <c r="D206" s="46"/>
    </row>
    <row r="207" customFormat="false" ht="15" hidden="false" customHeight="false" outlineLevel="0" collapsed="false">
      <c r="A207" s="40"/>
      <c r="B207" s="41"/>
      <c r="C207" s="41"/>
      <c r="D207" s="46"/>
    </row>
    <row r="208" customFormat="false" ht="15" hidden="false" customHeight="false" outlineLevel="0" collapsed="false">
      <c r="A208" s="40"/>
      <c r="B208" s="41"/>
      <c r="C208" s="41"/>
      <c r="D208" s="46"/>
    </row>
    <row r="209" customFormat="false" ht="15" hidden="false" customHeight="false" outlineLevel="0" collapsed="false">
      <c r="A209" s="40"/>
      <c r="B209" s="41"/>
      <c r="C209" s="41"/>
      <c r="D209" s="46"/>
    </row>
    <row r="210" customFormat="false" ht="15" hidden="false" customHeight="false" outlineLevel="0" collapsed="false">
      <c r="A210" s="40"/>
      <c r="B210" s="41"/>
      <c r="C210" s="41"/>
      <c r="D210" s="46"/>
    </row>
    <row r="211" customFormat="false" ht="15" hidden="false" customHeight="false" outlineLevel="0" collapsed="false">
      <c r="A211" s="40"/>
      <c r="B211" s="41"/>
      <c r="C211" s="41"/>
      <c r="D211" s="46"/>
    </row>
    <row r="212" customFormat="false" ht="15" hidden="false" customHeight="false" outlineLevel="0" collapsed="false">
      <c r="A212" s="40"/>
      <c r="B212" s="41"/>
      <c r="C212" s="41"/>
      <c r="D212" s="46"/>
    </row>
    <row r="213" customFormat="false" ht="15" hidden="false" customHeight="false" outlineLevel="0" collapsed="false">
      <c r="A213" s="40"/>
      <c r="B213" s="41"/>
      <c r="C213" s="41"/>
      <c r="D213" s="46"/>
    </row>
    <row r="214" customFormat="false" ht="15" hidden="false" customHeight="false" outlineLevel="0" collapsed="false">
      <c r="A214" s="40"/>
      <c r="B214" s="41"/>
      <c r="C214" s="41"/>
      <c r="D214" s="46"/>
    </row>
    <row r="215" customFormat="false" ht="15" hidden="false" customHeight="false" outlineLevel="0" collapsed="false">
      <c r="A215" s="40"/>
      <c r="B215" s="41"/>
      <c r="C215" s="41"/>
      <c r="D215" s="46"/>
    </row>
    <row r="216" customFormat="false" ht="15" hidden="false" customHeight="false" outlineLevel="0" collapsed="false">
      <c r="A216" s="40"/>
      <c r="B216" s="41"/>
      <c r="C216" s="41"/>
      <c r="D216" s="46"/>
    </row>
    <row r="217" customFormat="false" ht="15" hidden="false" customHeight="false" outlineLevel="0" collapsed="false">
      <c r="A217" s="40"/>
      <c r="B217" s="41"/>
      <c r="C217" s="41"/>
      <c r="D217" s="46"/>
    </row>
    <row r="218" customFormat="false" ht="15" hidden="false" customHeight="false" outlineLevel="0" collapsed="false">
      <c r="A218" s="40"/>
      <c r="B218" s="41"/>
      <c r="C218" s="41"/>
      <c r="D218" s="46"/>
    </row>
    <row r="219" customFormat="false" ht="15" hidden="false" customHeight="false" outlineLevel="0" collapsed="false">
      <c r="A219" s="40"/>
      <c r="B219" s="41"/>
      <c r="C219" s="41"/>
      <c r="D219" s="46"/>
    </row>
    <row r="220" customFormat="false" ht="15" hidden="false" customHeight="false" outlineLevel="0" collapsed="false">
      <c r="A220" s="40"/>
      <c r="B220" s="41"/>
      <c r="C220" s="41"/>
      <c r="D220" s="46"/>
    </row>
    <row r="221" customFormat="false" ht="15" hidden="false" customHeight="false" outlineLevel="0" collapsed="false">
      <c r="A221" s="40"/>
      <c r="B221" s="41"/>
      <c r="C221" s="41"/>
      <c r="D221" s="46"/>
    </row>
    <row r="222" customFormat="false" ht="15" hidden="false" customHeight="false" outlineLevel="0" collapsed="false">
      <c r="A222" s="40"/>
      <c r="B222" s="41"/>
      <c r="C222" s="41"/>
      <c r="D222" s="46"/>
    </row>
    <row r="223" customFormat="false" ht="15" hidden="false" customHeight="false" outlineLevel="0" collapsed="false">
      <c r="A223" s="40"/>
      <c r="B223" s="41"/>
      <c r="C223" s="41"/>
      <c r="D223" s="46"/>
    </row>
    <row r="224" customFormat="false" ht="15" hidden="false" customHeight="false" outlineLevel="0" collapsed="false">
      <c r="A224" s="40"/>
      <c r="B224" s="41"/>
      <c r="C224" s="41"/>
      <c r="D224" s="46"/>
    </row>
    <row r="225" customFormat="false" ht="15" hidden="false" customHeight="false" outlineLevel="0" collapsed="false">
      <c r="A225" s="40"/>
      <c r="B225" s="41"/>
      <c r="C225" s="41"/>
      <c r="D225" s="46"/>
    </row>
    <row r="226" customFormat="false" ht="15" hidden="false" customHeight="false" outlineLevel="0" collapsed="false">
      <c r="A226" s="40"/>
      <c r="B226" s="41"/>
      <c r="C226" s="41"/>
      <c r="D226" s="46"/>
    </row>
    <row r="227" customFormat="false" ht="15" hidden="false" customHeight="false" outlineLevel="0" collapsed="false">
      <c r="A227" s="40"/>
      <c r="B227" s="41"/>
      <c r="C227" s="41"/>
      <c r="D227" s="46"/>
    </row>
    <row r="228" customFormat="false" ht="15" hidden="false" customHeight="false" outlineLevel="0" collapsed="false">
      <c r="A228" s="40"/>
      <c r="B228" s="41"/>
      <c r="C228" s="41"/>
      <c r="D228" s="46"/>
    </row>
    <row r="229" customFormat="false" ht="15" hidden="false" customHeight="false" outlineLevel="0" collapsed="false">
      <c r="A229" s="40"/>
      <c r="B229" s="41"/>
      <c r="C229" s="41"/>
      <c r="D229" s="46"/>
    </row>
    <row r="230" customFormat="false" ht="15" hidden="false" customHeight="false" outlineLevel="0" collapsed="false">
      <c r="A230" s="40"/>
      <c r="B230" s="41"/>
      <c r="C230" s="41"/>
      <c r="D230" s="46"/>
    </row>
    <row r="231" customFormat="false" ht="15" hidden="false" customHeight="false" outlineLevel="0" collapsed="false">
      <c r="A231" s="40"/>
      <c r="B231" s="41"/>
      <c r="C231" s="41"/>
      <c r="D231" s="46"/>
    </row>
    <row r="232" customFormat="false" ht="15" hidden="false" customHeight="false" outlineLevel="0" collapsed="false">
      <c r="A232" s="40"/>
      <c r="B232" s="41"/>
      <c r="C232" s="41"/>
      <c r="D232" s="46"/>
    </row>
    <row r="233" customFormat="false" ht="15" hidden="false" customHeight="false" outlineLevel="0" collapsed="false">
      <c r="A233" s="40"/>
      <c r="B233" s="41"/>
      <c r="C233" s="41"/>
      <c r="D233" s="46"/>
    </row>
    <row r="234" customFormat="false" ht="15" hidden="false" customHeight="false" outlineLevel="0" collapsed="false">
      <c r="A234" s="40"/>
      <c r="B234" s="41"/>
      <c r="C234" s="41"/>
      <c r="D234" s="46"/>
    </row>
    <row r="235" customFormat="false" ht="15" hidden="false" customHeight="false" outlineLevel="0" collapsed="false">
      <c r="A235" s="40"/>
      <c r="B235" s="41"/>
      <c r="C235" s="41"/>
      <c r="D235" s="46"/>
    </row>
    <row r="236" customFormat="false" ht="15" hidden="false" customHeight="false" outlineLevel="0" collapsed="false">
      <c r="A236" s="40"/>
      <c r="B236" s="41"/>
      <c r="C236" s="41"/>
      <c r="D236" s="46"/>
    </row>
    <row r="237" customFormat="false" ht="15" hidden="false" customHeight="false" outlineLevel="0" collapsed="false">
      <c r="A237" s="40"/>
      <c r="B237" s="41"/>
      <c r="C237" s="41"/>
      <c r="D237" s="46"/>
    </row>
    <row r="238" customFormat="false" ht="15" hidden="false" customHeight="false" outlineLevel="0" collapsed="false">
      <c r="A238" s="40"/>
      <c r="B238" s="41"/>
      <c r="C238" s="41"/>
      <c r="D238" s="46"/>
    </row>
    <row r="239" customFormat="false" ht="15" hidden="false" customHeight="false" outlineLevel="0" collapsed="false">
      <c r="A239" s="40"/>
      <c r="B239" s="41"/>
      <c r="C239" s="41"/>
      <c r="D239" s="46"/>
    </row>
    <row r="240" customFormat="false" ht="15" hidden="false" customHeight="false" outlineLevel="0" collapsed="false">
      <c r="A240" s="40"/>
      <c r="B240" s="41"/>
      <c r="C240" s="41"/>
      <c r="D240" s="46"/>
    </row>
    <row r="241" customFormat="false" ht="15" hidden="false" customHeight="false" outlineLevel="0" collapsed="false">
      <c r="A241" s="40"/>
      <c r="B241" s="41"/>
      <c r="C241" s="41"/>
      <c r="D241" s="46"/>
    </row>
    <row r="242" customFormat="false" ht="15" hidden="false" customHeight="false" outlineLevel="0" collapsed="false">
      <c r="A242" s="40"/>
      <c r="B242" s="41"/>
      <c r="C242" s="41"/>
      <c r="D242" s="46"/>
    </row>
    <row r="243" customFormat="false" ht="15" hidden="false" customHeight="false" outlineLevel="0" collapsed="false">
      <c r="A243" s="40"/>
      <c r="B243" s="41"/>
      <c r="C243" s="41"/>
      <c r="D243" s="46"/>
    </row>
    <row r="244" customFormat="false" ht="15" hidden="false" customHeight="false" outlineLevel="0" collapsed="false">
      <c r="A244" s="40"/>
      <c r="B244" s="41"/>
      <c r="C244" s="41"/>
      <c r="D244" s="46"/>
    </row>
    <row r="245" customFormat="false" ht="15" hidden="false" customHeight="false" outlineLevel="0" collapsed="false">
      <c r="A245" s="40"/>
      <c r="B245" s="41"/>
      <c r="C245" s="41"/>
      <c r="D245" s="46"/>
    </row>
    <row r="246" customFormat="false" ht="15" hidden="false" customHeight="false" outlineLevel="0" collapsed="false">
      <c r="A246" s="40"/>
      <c r="B246" s="41"/>
      <c r="C246" s="41"/>
      <c r="D246" s="46"/>
    </row>
    <row r="247" customFormat="false" ht="15" hidden="false" customHeight="false" outlineLevel="0" collapsed="false">
      <c r="A247" s="40"/>
      <c r="B247" s="41"/>
      <c r="C247" s="41"/>
      <c r="D247" s="46"/>
    </row>
    <row r="248" customFormat="false" ht="15" hidden="false" customHeight="false" outlineLevel="0" collapsed="false">
      <c r="A248" s="40"/>
      <c r="B248" s="41"/>
      <c r="C248" s="41"/>
      <c r="D248" s="46"/>
    </row>
    <row r="249" customFormat="false" ht="15" hidden="false" customHeight="false" outlineLevel="0" collapsed="false">
      <c r="A249" s="40"/>
      <c r="B249" s="41"/>
      <c r="C249" s="41"/>
      <c r="D249" s="46"/>
    </row>
    <row r="250" customFormat="false" ht="15" hidden="false" customHeight="false" outlineLevel="0" collapsed="false">
      <c r="A250" s="40"/>
      <c r="B250" s="41"/>
      <c r="C250" s="41"/>
      <c r="D250" s="46"/>
    </row>
    <row r="251" customFormat="false" ht="15" hidden="false" customHeight="false" outlineLevel="0" collapsed="false">
      <c r="A251" s="40"/>
      <c r="B251" s="41"/>
      <c r="C251" s="41"/>
      <c r="D251" s="46"/>
    </row>
    <row r="252" customFormat="false" ht="15" hidden="false" customHeight="false" outlineLevel="0" collapsed="false">
      <c r="A252" s="40"/>
      <c r="B252" s="41"/>
      <c r="C252" s="41"/>
      <c r="D252" s="46"/>
    </row>
    <row r="253" customFormat="false" ht="15" hidden="false" customHeight="false" outlineLevel="0" collapsed="false">
      <c r="A253" s="40"/>
      <c r="B253" s="41"/>
      <c r="C253" s="41"/>
      <c r="D253" s="46"/>
    </row>
    <row r="254" customFormat="false" ht="15" hidden="false" customHeight="false" outlineLevel="0" collapsed="false">
      <c r="A254" s="40"/>
      <c r="B254" s="41"/>
      <c r="C254" s="41"/>
      <c r="D254" s="46"/>
    </row>
    <row r="255" customFormat="false" ht="15" hidden="false" customHeight="false" outlineLevel="0" collapsed="false">
      <c r="A255" s="40"/>
      <c r="B255" s="41"/>
      <c r="C255" s="41"/>
      <c r="D255" s="46"/>
    </row>
    <row r="256" customFormat="false" ht="15" hidden="false" customHeight="false" outlineLevel="0" collapsed="false">
      <c r="A256" s="40"/>
      <c r="B256" s="41"/>
      <c r="C256" s="41"/>
      <c r="D256" s="46"/>
    </row>
    <row r="257" customFormat="false" ht="15" hidden="false" customHeight="false" outlineLevel="0" collapsed="false">
      <c r="A257" s="40"/>
      <c r="B257" s="41"/>
      <c r="C257" s="41"/>
      <c r="D257" s="46"/>
    </row>
    <row r="258" customFormat="false" ht="15" hidden="false" customHeight="false" outlineLevel="0" collapsed="false">
      <c r="A258" s="40"/>
      <c r="B258" s="41"/>
      <c r="C258" s="41"/>
      <c r="D258" s="46"/>
    </row>
    <row r="259" customFormat="false" ht="15" hidden="false" customHeight="false" outlineLevel="0" collapsed="false">
      <c r="A259" s="40"/>
      <c r="B259" s="41"/>
      <c r="C259" s="41"/>
      <c r="D259" s="46"/>
    </row>
    <row r="260" customFormat="false" ht="15" hidden="false" customHeight="false" outlineLevel="0" collapsed="false">
      <c r="A260" s="40"/>
      <c r="B260" s="41"/>
      <c r="C260" s="41"/>
      <c r="D260" s="46"/>
    </row>
    <row r="261" customFormat="false" ht="15" hidden="false" customHeight="false" outlineLevel="0" collapsed="false">
      <c r="A261" s="40"/>
      <c r="B261" s="41"/>
      <c r="C261" s="41"/>
      <c r="D261" s="46"/>
    </row>
    <row r="262" customFormat="false" ht="15" hidden="false" customHeight="false" outlineLevel="0" collapsed="false">
      <c r="A262" s="40"/>
      <c r="B262" s="41"/>
      <c r="C262" s="41"/>
      <c r="D262" s="46"/>
    </row>
    <row r="263" customFormat="false" ht="15" hidden="false" customHeight="false" outlineLevel="0" collapsed="false">
      <c r="A263" s="40"/>
      <c r="B263" s="41"/>
      <c r="C263" s="41"/>
      <c r="D263" s="46"/>
    </row>
    <row r="264" customFormat="false" ht="15" hidden="false" customHeight="false" outlineLevel="0" collapsed="false">
      <c r="A264" s="40"/>
      <c r="B264" s="41"/>
      <c r="C264" s="41"/>
      <c r="D264" s="46"/>
    </row>
    <row r="265" customFormat="false" ht="15" hidden="false" customHeight="false" outlineLevel="0" collapsed="false">
      <c r="A265" s="40"/>
      <c r="B265" s="41"/>
      <c r="C265" s="41"/>
      <c r="D265" s="46"/>
    </row>
    <row r="266" customFormat="false" ht="15" hidden="false" customHeight="false" outlineLevel="0" collapsed="false">
      <c r="A266" s="40"/>
      <c r="B266" s="41"/>
      <c r="C266" s="41"/>
      <c r="D266" s="46"/>
    </row>
    <row r="267" customFormat="false" ht="15" hidden="false" customHeight="false" outlineLevel="0" collapsed="false">
      <c r="A267" s="40"/>
      <c r="B267" s="41"/>
      <c r="C267" s="41"/>
      <c r="D267" s="46"/>
    </row>
    <row r="268" customFormat="false" ht="15" hidden="false" customHeight="false" outlineLevel="0" collapsed="false">
      <c r="A268" s="40"/>
      <c r="B268" s="41"/>
      <c r="C268" s="41"/>
      <c r="D268" s="46"/>
    </row>
    <row r="269" customFormat="false" ht="15" hidden="false" customHeight="false" outlineLevel="0" collapsed="false">
      <c r="A269" s="40"/>
      <c r="B269" s="41"/>
      <c r="C269" s="41"/>
      <c r="D269" s="46"/>
    </row>
    <row r="270" customFormat="false" ht="15" hidden="false" customHeight="false" outlineLevel="0" collapsed="false">
      <c r="A270" s="40"/>
      <c r="B270" s="41"/>
      <c r="C270" s="41"/>
      <c r="D270" s="46"/>
    </row>
    <row r="271" customFormat="false" ht="15" hidden="false" customHeight="false" outlineLevel="0" collapsed="false">
      <c r="A271" s="40"/>
      <c r="B271" s="41"/>
      <c r="C271" s="41"/>
      <c r="D271" s="46"/>
    </row>
    <row r="272" customFormat="false" ht="15" hidden="false" customHeight="false" outlineLevel="0" collapsed="false">
      <c r="A272" s="40"/>
      <c r="B272" s="41"/>
      <c r="C272" s="41"/>
      <c r="D272" s="46"/>
    </row>
    <row r="273" customFormat="false" ht="15" hidden="false" customHeight="false" outlineLevel="0" collapsed="false">
      <c r="A273" s="40"/>
      <c r="B273" s="41"/>
      <c r="C273" s="41"/>
      <c r="D273" s="46"/>
    </row>
    <row r="274" customFormat="false" ht="15" hidden="false" customHeight="false" outlineLevel="0" collapsed="false">
      <c r="A274" s="40"/>
      <c r="B274" s="41"/>
      <c r="C274" s="41"/>
      <c r="D274" s="46"/>
    </row>
    <row r="275" customFormat="false" ht="15" hidden="false" customHeight="false" outlineLevel="0" collapsed="false">
      <c r="A275" s="40"/>
      <c r="B275" s="41"/>
      <c r="C275" s="41"/>
      <c r="D275" s="46"/>
    </row>
    <row r="276" customFormat="false" ht="15" hidden="false" customHeight="false" outlineLevel="0" collapsed="false">
      <c r="A276" s="40"/>
      <c r="B276" s="41"/>
      <c r="C276" s="41"/>
      <c r="D276" s="46"/>
    </row>
    <row r="277" customFormat="false" ht="15" hidden="false" customHeight="false" outlineLevel="0" collapsed="false">
      <c r="A277" s="40"/>
      <c r="B277" s="41"/>
      <c r="C277" s="41"/>
      <c r="D277" s="46"/>
    </row>
    <row r="278" customFormat="false" ht="15" hidden="false" customHeight="false" outlineLevel="0" collapsed="false">
      <c r="A278" s="40"/>
      <c r="B278" s="41"/>
      <c r="C278" s="41"/>
      <c r="D278" s="46"/>
    </row>
    <row r="279" customFormat="false" ht="15" hidden="false" customHeight="false" outlineLevel="0" collapsed="false">
      <c r="A279" s="40"/>
      <c r="B279" s="41"/>
      <c r="C279" s="41"/>
      <c r="D279" s="46"/>
    </row>
    <row r="280" customFormat="false" ht="15" hidden="false" customHeight="false" outlineLevel="0" collapsed="false">
      <c r="A280" s="40"/>
      <c r="B280" s="41"/>
      <c r="C280" s="41"/>
      <c r="D280" s="46"/>
    </row>
    <row r="281" customFormat="false" ht="15" hidden="false" customHeight="false" outlineLevel="0" collapsed="false">
      <c r="A281" s="40"/>
      <c r="B281" s="41"/>
      <c r="C281" s="41"/>
      <c r="D281" s="46"/>
    </row>
    <row r="282" customFormat="false" ht="15" hidden="false" customHeight="false" outlineLevel="0" collapsed="false">
      <c r="A282" s="40"/>
      <c r="B282" s="41"/>
      <c r="C282" s="41"/>
      <c r="D282" s="46"/>
    </row>
    <row r="283" customFormat="false" ht="15" hidden="false" customHeight="false" outlineLevel="0" collapsed="false">
      <c r="A283" s="40"/>
      <c r="B283" s="41"/>
      <c r="C283" s="41"/>
      <c r="D283" s="46"/>
    </row>
    <row r="284" customFormat="false" ht="15" hidden="false" customHeight="false" outlineLevel="0" collapsed="false">
      <c r="A284" s="40"/>
      <c r="B284" s="41"/>
      <c r="C284" s="41"/>
      <c r="D284" s="46"/>
    </row>
    <row r="285" customFormat="false" ht="15" hidden="false" customHeight="false" outlineLevel="0" collapsed="false">
      <c r="A285" s="40"/>
      <c r="B285" s="41"/>
      <c r="C285" s="41"/>
      <c r="D285" s="46"/>
    </row>
    <row r="286" customFormat="false" ht="15" hidden="false" customHeight="false" outlineLevel="0" collapsed="false">
      <c r="A286" s="40"/>
      <c r="B286" s="41"/>
      <c r="C286" s="41"/>
      <c r="D286" s="46"/>
    </row>
    <row r="287" customFormat="false" ht="15" hidden="false" customHeight="false" outlineLevel="0" collapsed="false">
      <c r="A287" s="40"/>
      <c r="B287" s="41"/>
      <c r="C287" s="41"/>
      <c r="D287" s="46"/>
    </row>
    <row r="288" customFormat="false" ht="15" hidden="false" customHeight="false" outlineLevel="0" collapsed="false">
      <c r="A288" s="40"/>
      <c r="B288" s="41"/>
      <c r="C288" s="41"/>
      <c r="D288" s="46"/>
    </row>
    <row r="289" customFormat="false" ht="15" hidden="false" customHeight="false" outlineLevel="0" collapsed="false">
      <c r="A289" s="40"/>
      <c r="B289" s="41"/>
      <c r="C289" s="41"/>
      <c r="D289" s="46"/>
    </row>
    <row r="290" customFormat="false" ht="15" hidden="false" customHeight="false" outlineLevel="0" collapsed="false">
      <c r="A290" s="40"/>
      <c r="B290" s="41"/>
      <c r="C290" s="41"/>
      <c r="D290" s="46"/>
    </row>
    <row r="291" customFormat="false" ht="15" hidden="false" customHeight="false" outlineLevel="0" collapsed="false">
      <c r="A291" s="40"/>
      <c r="B291" s="41"/>
      <c r="C291" s="41"/>
      <c r="D291" s="46"/>
    </row>
    <row r="292" customFormat="false" ht="15" hidden="false" customHeight="false" outlineLevel="0" collapsed="false">
      <c r="A292" s="40"/>
      <c r="B292" s="41"/>
      <c r="C292" s="41"/>
      <c r="D292" s="46"/>
    </row>
    <row r="293" customFormat="false" ht="15" hidden="false" customHeight="false" outlineLevel="0" collapsed="false">
      <c r="A293" s="40"/>
      <c r="B293" s="41"/>
      <c r="C293" s="41"/>
      <c r="D293" s="46"/>
    </row>
    <row r="294" customFormat="false" ht="15" hidden="false" customHeight="false" outlineLevel="0" collapsed="false">
      <c r="A294" s="40"/>
      <c r="B294" s="41"/>
      <c r="C294" s="41"/>
      <c r="D294" s="46"/>
    </row>
    <row r="295" customFormat="false" ht="15" hidden="false" customHeight="false" outlineLevel="0" collapsed="false">
      <c r="A295" s="40"/>
      <c r="B295" s="41"/>
      <c r="C295" s="41"/>
      <c r="D295" s="46"/>
    </row>
    <row r="296" customFormat="false" ht="15" hidden="false" customHeight="false" outlineLevel="0" collapsed="false">
      <c r="A296" s="40"/>
      <c r="B296" s="41"/>
      <c r="C296" s="41"/>
      <c r="D296" s="46"/>
    </row>
    <row r="297" customFormat="false" ht="15" hidden="false" customHeight="false" outlineLevel="0" collapsed="false">
      <c r="A297" s="40"/>
      <c r="B297" s="41"/>
      <c r="C297" s="41"/>
      <c r="D297" s="46"/>
    </row>
    <row r="298" customFormat="false" ht="15" hidden="false" customHeight="false" outlineLevel="0" collapsed="false">
      <c r="A298" s="40"/>
      <c r="B298" s="41"/>
      <c r="C298" s="41"/>
      <c r="D298" s="46"/>
    </row>
    <row r="299" customFormat="false" ht="15" hidden="false" customHeight="false" outlineLevel="0" collapsed="false">
      <c r="A299" s="40"/>
      <c r="B299" s="41"/>
      <c r="C299" s="41"/>
      <c r="D299" s="46"/>
    </row>
    <row r="300" customFormat="false" ht="15" hidden="false" customHeight="false" outlineLevel="0" collapsed="false">
      <c r="A300" s="40"/>
      <c r="B300" s="41"/>
      <c r="C300" s="41"/>
      <c r="D300" s="46"/>
    </row>
    <row r="301" customFormat="false" ht="15" hidden="false" customHeight="false" outlineLevel="0" collapsed="false">
      <c r="A301" s="40"/>
      <c r="B301" s="41"/>
      <c r="C301" s="41"/>
      <c r="D301" s="46"/>
    </row>
    <row r="302" customFormat="false" ht="15" hidden="false" customHeight="false" outlineLevel="0" collapsed="false">
      <c r="A302" s="40"/>
      <c r="B302" s="41"/>
      <c r="C302" s="41"/>
      <c r="D302" s="46"/>
    </row>
    <row r="303" customFormat="false" ht="15" hidden="false" customHeight="false" outlineLevel="0" collapsed="false">
      <c r="A303" s="40"/>
      <c r="B303" s="41"/>
      <c r="C303" s="41"/>
      <c r="D303" s="46"/>
    </row>
    <row r="304" customFormat="false" ht="15" hidden="false" customHeight="false" outlineLevel="0" collapsed="false">
      <c r="A304" s="40"/>
      <c r="B304" s="41"/>
      <c r="C304" s="41"/>
      <c r="D304" s="46"/>
    </row>
    <row r="305" customFormat="false" ht="15" hidden="false" customHeight="false" outlineLevel="0" collapsed="false">
      <c r="A305" s="40"/>
      <c r="B305" s="41"/>
      <c r="C305" s="41"/>
      <c r="D305" s="46"/>
    </row>
  </sheetData>
  <autoFilter ref="A5:D305"/>
  <dataValidations count="3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5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2" t="s">
        <v>502</v>
      </c>
    </row>
    <row r="2" customFormat="false" ht="15" hidden="false" customHeight="true" outlineLevel="0" collapsed="false">
      <c r="A2" s="23" t="s">
        <v>503</v>
      </c>
    </row>
    <row r="3" customFormat="false" ht="15" hidden="false" customHeight="true" outlineLevel="0" collapsed="false">
      <c r="A3" s="35" t="s">
        <v>504</v>
      </c>
    </row>
    <row r="5" customFormat="false" ht="43.5" hidden="false" customHeight="true" outlineLevel="0" collapsed="false">
      <c r="A5" s="39" t="s">
        <v>505</v>
      </c>
      <c r="B5" s="39" t="s">
        <v>506</v>
      </c>
      <c r="C5" s="39" t="s">
        <v>507</v>
      </c>
      <c r="D5" s="39" t="s">
        <v>508</v>
      </c>
      <c r="E5" s="39" t="s">
        <v>424</v>
      </c>
      <c r="F5" s="39" t="s">
        <v>350</v>
      </c>
      <c r="G5" s="39" t="s">
        <v>262</v>
      </c>
    </row>
    <row r="6" customFormat="false" ht="30" hidden="false" customHeight="true" outlineLevel="0" collapsed="false">
      <c r="A6" s="40" t="n">
        <v>46192</v>
      </c>
      <c r="B6" s="47" t="s">
        <v>509</v>
      </c>
      <c r="C6" s="46" t="s">
        <v>510</v>
      </c>
      <c r="D6" s="46" t="s">
        <v>511</v>
      </c>
      <c r="E6" s="47" t="s">
        <v>161</v>
      </c>
      <c r="F6" s="47" t="s">
        <v>512</v>
      </c>
      <c r="G6" s="46" t="s">
        <v>171</v>
      </c>
    </row>
    <row r="7" customFormat="false" ht="30" hidden="false" customHeight="true" outlineLevel="0" collapsed="false">
      <c r="A7" s="40" t="n">
        <v>46241</v>
      </c>
      <c r="B7" s="47" t="s">
        <v>513</v>
      </c>
      <c r="C7" s="46" t="s">
        <v>514</v>
      </c>
      <c r="D7" s="46" t="s">
        <v>515</v>
      </c>
      <c r="E7" s="47" t="s">
        <v>158</v>
      </c>
      <c r="F7" s="47" t="s">
        <v>416</v>
      </c>
      <c r="G7" s="46" t="s">
        <v>171</v>
      </c>
    </row>
    <row r="8" customFormat="false" ht="15" hidden="false" customHeight="false" outlineLevel="0" collapsed="false">
      <c r="A8" s="40"/>
      <c r="B8" s="47"/>
      <c r="C8" s="46"/>
      <c r="D8" s="46"/>
      <c r="E8" s="47"/>
      <c r="F8" s="47"/>
      <c r="G8" s="46"/>
    </row>
    <row r="9" customFormat="false" ht="15" hidden="false" customHeight="false" outlineLevel="0" collapsed="false">
      <c r="A9" s="40"/>
      <c r="B9" s="47"/>
      <c r="C9" s="46"/>
      <c r="D9" s="46"/>
      <c r="E9" s="47"/>
      <c r="F9" s="47"/>
      <c r="G9" s="46"/>
    </row>
    <row r="10" customFormat="false" ht="15" hidden="false" customHeight="false" outlineLevel="0" collapsed="false">
      <c r="A10" s="40"/>
      <c r="B10" s="47"/>
      <c r="C10" s="46"/>
      <c r="D10" s="46"/>
      <c r="E10" s="47"/>
      <c r="F10" s="47"/>
      <c r="G10" s="46"/>
    </row>
    <row r="11" customFormat="false" ht="15" hidden="false" customHeight="false" outlineLevel="0" collapsed="false">
      <c r="A11" s="40"/>
      <c r="B11" s="47"/>
      <c r="C11" s="46"/>
      <c r="D11" s="46"/>
      <c r="E11" s="47"/>
      <c r="F11" s="47"/>
      <c r="G11" s="46"/>
    </row>
    <row r="12" customFormat="false" ht="15" hidden="false" customHeight="false" outlineLevel="0" collapsed="false">
      <c r="A12" s="40"/>
      <c r="B12" s="47"/>
      <c r="C12" s="46"/>
      <c r="D12" s="46"/>
      <c r="E12" s="47"/>
      <c r="F12" s="47"/>
      <c r="G12" s="46"/>
    </row>
    <row r="13" customFormat="false" ht="15" hidden="false" customHeight="false" outlineLevel="0" collapsed="false">
      <c r="A13" s="40"/>
      <c r="B13" s="47"/>
      <c r="C13" s="46"/>
      <c r="D13" s="46"/>
      <c r="E13" s="47"/>
      <c r="F13" s="47"/>
      <c r="G13" s="46"/>
    </row>
    <row r="14" customFormat="false" ht="15" hidden="false" customHeight="false" outlineLevel="0" collapsed="false">
      <c r="A14" s="40"/>
      <c r="B14" s="47"/>
      <c r="C14" s="46"/>
      <c r="D14" s="46"/>
      <c r="E14" s="47"/>
      <c r="F14" s="47"/>
      <c r="G14" s="46"/>
    </row>
    <row r="15" customFormat="false" ht="15" hidden="false" customHeight="false" outlineLevel="0" collapsed="false">
      <c r="A15" s="40"/>
      <c r="B15" s="47"/>
      <c r="C15" s="46"/>
      <c r="D15" s="46"/>
      <c r="E15" s="47"/>
      <c r="F15" s="47"/>
      <c r="G15" s="46"/>
    </row>
    <row r="16" customFormat="false" ht="15" hidden="false" customHeight="false" outlineLevel="0" collapsed="false">
      <c r="A16" s="40"/>
      <c r="B16" s="47"/>
      <c r="C16" s="46"/>
      <c r="D16" s="46"/>
      <c r="E16" s="47"/>
      <c r="F16" s="47"/>
      <c r="G16" s="46"/>
    </row>
    <row r="17" customFormat="false" ht="15" hidden="false" customHeight="false" outlineLevel="0" collapsed="false">
      <c r="A17" s="40"/>
      <c r="B17" s="47"/>
      <c r="C17" s="46"/>
      <c r="D17" s="46"/>
      <c r="E17" s="47"/>
      <c r="F17" s="47"/>
      <c r="G17" s="46"/>
    </row>
    <row r="18" customFormat="false" ht="15" hidden="false" customHeight="false" outlineLevel="0" collapsed="false">
      <c r="A18" s="40"/>
      <c r="B18" s="47"/>
      <c r="C18" s="46"/>
      <c r="D18" s="46"/>
      <c r="E18" s="47"/>
      <c r="F18" s="47"/>
      <c r="G18" s="46"/>
    </row>
    <row r="19" customFormat="false" ht="15" hidden="false" customHeight="false" outlineLevel="0" collapsed="false">
      <c r="A19" s="40"/>
      <c r="B19" s="47"/>
      <c r="C19" s="46"/>
      <c r="D19" s="46"/>
      <c r="E19" s="47"/>
      <c r="F19" s="47"/>
      <c r="G19" s="46"/>
    </row>
    <row r="20" customFormat="false" ht="15" hidden="false" customHeight="false" outlineLevel="0" collapsed="false">
      <c r="A20" s="40"/>
      <c r="B20" s="47"/>
      <c r="C20" s="46"/>
      <c r="D20" s="46"/>
      <c r="E20" s="47"/>
      <c r="F20" s="47"/>
      <c r="G20" s="46"/>
    </row>
    <row r="21" customFormat="false" ht="15" hidden="false" customHeight="false" outlineLevel="0" collapsed="false">
      <c r="A21" s="40"/>
      <c r="B21" s="47"/>
      <c r="C21" s="46"/>
      <c r="D21" s="46"/>
      <c r="E21" s="47"/>
      <c r="F21" s="47"/>
      <c r="G21" s="46"/>
    </row>
    <row r="22" customFormat="false" ht="15" hidden="false" customHeight="false" outlineLevel="0" collapsed="false">
      <c r="A22" s="40"/>
      <c r="B22" s="47"/>
      <c r="C22" s="46"/>
      <c r="D22" s="46"/>
      <c r="E22" s="47"/>
      <c r="F22" s="47"/>
      <c r="G22" s="46"/>
    </row>
    <row r="23" customFormat="false" ht="15" hidden="false" customHeight="false" outlineLevel="0" collapsed="false">
      <c r="A23" s="40"/>
      <c r="B23" s="47"/>
      <c r="C23" s="46"/>
      <c r="D23" s="46"/>
      <c r="E23" s="47"/>
      <c r="F23" s="47"/>
      <c r="G23" s="46"/>
    </row>
    <row r="24" customFormat="false" ht="15" hidden="false" customHeight="false" outlineLevel="0" collapsed="false">
      <c r="A24" s="40"/>
      <c r="B24" s="47"/>
      <c r="C24" s="46"/>
      <c r="D24" s="46"/>
      <c r="E24" s="47"/>
      <c r="F24" s="47"/>
      <c r="G24" s="46"/>
    </row>
    <row r="25" customFormat="false" ht="15" hidden="false" customHeight="false" outlineLevel="0" collapsed="false">
      <c r="A25" s="40"/>
      <c r="B25" s="47"/>
      <c r="C25" s="46"/>
      <c r="D25" s="46"/>
      <c r="E25" s="47"/>
      <c r="F25" s="47"/>
      <c r="G25" s="46"/>
    </row>
    <row r="26" customFormat="false" ht="15" hidden="false" customHeight="false" outlineLevel="0" collapsed="false">
      <c r="A26" s="40"/>
      <c r="B26" s="47"/>
      <c r="C26" s="46"/>
      <c r="D26" s="46"/>
      <c r="E26" s="47"/>
      <c r="F26" s="47"/>
      <c r="G26" s="46"/>
    </row>
    <row r="27" customFormat="false" ht="15" hidden="false" customHeight="false" outlineLevel="0" collapsed="false">
      <c r="A27" s="40"/>
      <c r="B27" s="47"/>
      <c r="C27" s="46"/>
      <c r="D27" s="46"/>
      <c r="E27" s="47"/>
      <c r="F27" s="47"/>
      <c r="G27" s="46"/>
    </row>
    <row r="28" customFormat="false" ht="15" hidden="false" customHeight="false" outlineLevel="0" collapsed="false">
      <c r="A28" s="40"/>
      <c r="B28" s="47"/>
      <c r="C28" s="46"/>
      <c r="D28" s="46"/>
      <c r="E28" s="47"/>
      <c r="F28" s="47"/>
      <c r="G28" s="46"/>
    </row>
    <row r="29" customFormat="false" ht="15" hidden="false" customHeight="false" outlineLevel="0" collapsed="false">
      <c r="A29" s="40"/>
      <c r="B29" s="47"/>
      <c r="C29" s="46"/>
      <c r="D29" s="46"/>
      <c r="E29" s="47"/>
      <c r="F29" s="47"/>
      <c r="G29" s="46"/>
    </row>
    <row r="30" customFormat="false" ht="15" hidden="false" customHeight="false" outlineLevel="0" collapsed="false">
      <c r="A30" s="40"/>
      <c r="B30" s="47"/>
      <c r="C30" s="46"/>
      <c r="D30" s="46"/>
      <c r="E30" s="47"/>
      <c r="F30" s="47"/>
      <c r="G30" s="46"/>
    </row>
    <row r="31" customFormat="false" ht="15" hidden="false" customHeight="false" outlineLevel="0" collapsed="false">
      <c r="A31" s="40"/>
      <c r="B31" s="47"/>
      <c r="C31" s="46"/>
      <c r="D31" s="46"/>
      <c r="E31" s="47"/>
      <c r="F31" s="47"/>
      <c r="G31" s="46"/>
    </row>
    <row r="32" customFormat="false" ht="15" hidden="false" customHeight="false" outlineLevel="0" collapsed="false">
      <c r="A32" s="40"/>
      <c r="B32" s="47"/>
      <c r="C32" s="46"/>
      <c r="D32" s="46"/>
      <c r="E32" s="47"/>
      <c r="F32" s="47"/>
      <c r="G32" s="46"/>
    </row>
    <row r="33" customFormat="false" ht="15" hidden="false" customHeight="false" outlineLevel="0" collapsed="false">
      <c r="A33" s="40"/>
      <c r="B33" s="47"/>
      <c r="C33" s="46"/>
      <c r="D33" s="46"/>
      <c r="E33" s="47"/>
      <c r="F33" s="47"/>
      <c r="G33" s="46"/>
    </row>
    <row r="34" customFormat="false" ht="15" hidden="false" customHeight="false" outlineLevel="0" collapsed="false">
      <c r="A34" s="40"/>
      <c r="B34" s="47"/>
      <c r="C34" s="46"/>
      <c r="D34" s="46"/>
      <c r="E34" s="47"/>
      <c r="F34" s="47"/>
      <c r="G34" s="46"/>
    </row>
    <row r="35" customFormat="false" ht="15" hidden="false" customHeight="false" outlineLevel="0" collapsed="false">
      <c r="A35" s="40"/>
      <c r="B35" s="47"/>
      <c r="C35" s="46"/>
      <c r="D35" s="46"/>
      <c r="E35" s="47"/>
      <c r="F35" s="47"/>
      <c r="G35" s="46"/>
    </row>
    <row r="36" customFormat="false" ht="15" hidden="false" customHeight="false" outlineLevel="0" collapsed="false">
      <c r="A36" s="40"/>
      <c r="B36" s="47"/>
      <c r="C36" s="46"/>
      <c r="D36" s="46"/>
      <c r="E36" s="47"/>
      <c r="F36" s="47"/>
      <c r="G36" s="46"/>
    </row>
    <row r="37" customFormat="false" ht="15" hidden="false" customHeight="false" outlineLevel="0" collapsed="false">
      <c r="A37" s="40"/>
      <c r="B37" s="47"/>
      <c r="C37" s="46"/>
      <c r="D37" s="46"/>
      <c r="E37" s="47"/>
      <c r="F37" s="47"/>
      <c r="G37" s="46"/>
    </row>
    <row r="38" customFormat="false" ht="15" hidden="false" customHeight="false" outlineLevel="0" collapsed="false">
      <c r="A38" s="40"/>
      <c r="B38" s="47"/>
      <c r="C38" s="46"/>
      <c r="D38" s="46"/>
      <c r="E38" s="47"/>
      <c r="F38" s="47"/>
      <c r="G38" s="46"/>
    </row>
    <row r="39" customFormat="false" ht="15" hidden="false" customHeight="false" outlineLevel="0" collapsed="false">
      <c r="A39" s="40"/>
      <c r="B39" s="47"/>
      <c r="C39" s="46"/>
      <c r="D39" s="46"/>
      <c r="E39" s="47"/>
      <c r="F39" s="47"/>
      <c r="G39" s="46"/>
    </row>
    <row r="40" customFormat="false" ht="15" hidden="false" customHeight="false" outlineLevel="0" collapsed="false">
      <c r="A40" s="40"/>
      <c r="B40" s="47"/>
      <c r="C40" s="46"/>
      <c r="D40" s="46"/>
      <c r="E40" s="47"/>
      <c r="F40" s="47"/>
      <c r="G40" s="46"/>
    </row>
    <row r="41" customFormat="false" ht="15" hidden="false" customHeight="false" outlineLevel="0" collapsed="false">
      <c r="A41" s="40"/>
      <c r="B41" s="47"/>
      <c r="C41" s="46"/>
      <c r="D41" s="46"/>
      <c r="E41" s="47"/>
      <c r="F41" s="47"/>
      <c r="G41" s="46"/>
    </row>
    <row r="42" customFormat="false" ht="15" hidden="false" customHeight="false" outlineLevel="0" collapsed="false">
      <c r="A42" s="40"/>
      <c r="B42" s="47"/>
      <c r="C42" s="46"/>
      <c r="D42" s="46"/>
      <c r="E42" s="47"/>
      <c r="F42" s="47"/>
      <c r="G42" s="46"/>
    </row>
    <row r="43" customFormat="false" ht="15" hidden="false" customHeight="false" outlineLevel="0" collapsed="false">
      <c r="A43" s="40"/>
      <c r="B43" s="47"/>
      <c r="C43" s="46"/>
      <c r="D43" s="46"/>
      <c r="E43" s="47"/>
      <c r="F43" s="47"/>
      <c r="G43" s="46"/>
    </row>
    <row r="44" customFormat="false" ht="15" hidden="false" customHeight="false" outlineLevel="0" collapsed="false">
      <c r="A44" s="40"/>
      <c r="B44" s="47"/>
      <c r="C44" s="46"/>
      <c r="D44" s="46"/>
      <c r="E44" s="47"/>
      <c r="F44" s="47"/>
      <c r="G44" s="46"/>
    </row>
    <row r="45" customFormat="false" ht="15" hidden="false" customHeight="false" outlineLevel="0" collapsed="false">
      <c r="A45" s="40"/>
      <c r="B45" s="47"/>
      <c r="C45" s="46"/>
      <c r="D45" s="46"/>
      <c r="E45" s="47"/>
      <c r="F45" s="47"/>
      <c r="G45" s="46"/>
    </row>
    <row r="46" customFormat="false" ht="15" hidden="false" customHeight="false" outlineLevel="0" collapsed="false">
      <c r="A46" s="40"/>
      <c r="B46" s="47"/>
      <c r="C46" s="46"/>
      <c r="D46" s="46"/>
      <c r="E46" s="47"/>
      <c r="F46" s="47"/>
      <c r="G46" s="46"/>
    </row>
    <row r="47" customFormat="false" ht="15" hidden="false" customHeight="false" outlineLevel="0" collapsed="false">
      <c r="A47" s="40"/>
      <c r="B47" s="47"/>
      <c r="C47" s="46"/>
      <c r="D47" s="46"/>
      <c r="E47" s="47"/>
      <c r="F47" s="47"/>
      <c r="G47" s="46"/>
    </row>
    <row r="48" customFormat="false" ht="15" hidden="false" customHeight="false" outlineLevel="0" collapsed="false">
      <c r="A48" s="40"/>
      <c r="B48" s="47"/>
      <c r="C48" s="46"/>
      <c r="D48" s="46"/>
      <c r="E48" s="47"/>
      <c r="F48" s="47"/>
      <c r="G48" s="46"/>
    </row>
    <row r="49" customFormat="false" ht="15" hidden="false" customHeight="false" outlineLevel="0" collapsed="false">
      <c r="A49" s="40"/>
      <c r="B49" s="47"/>
      <c r="C49" s="46"/>
      <c r="D49" s="46"/>
      <c r="E49" s="47"/>
      <c r="F49" s="47"/>
      <c r="G49" s="46"/>
    </row>
    <row r="50" customFormat="false" ht="15" hidden="false" customHeight="false" outlineLevel="0" collapsed="false">
      <c r="A50" s="40"/>
      <c r="B50" s="47"/>
      <c r="C50" s="46"/>
      <c r="D50" s="46"/>
      <c r="E50" s="47"/>
      <c r="F50" s="47"/>
      <c r="G50" s="46"/>
    </row>
    <row r="51" customFormat="false" ht="15" hidden="false" customHeight="false" outlineLevel="0" collapsed="false">
      <c r="A51" s="40"/>
      <c r="B51" s="47"/>
      <c r="C51" s="46"/>
      <c r="D51" s="46"/>
      <c r="E51" s="47"/>
      <c r="F51" s="47"/>
      <c r="G51" s="46"/>
    </row>
    <row r="52" customFormat="false" ht="15" hidden="false" customHeight="false" outlineLevel="0" collapsed="false">
      <c r="A52" s="40"/>
      <c r="B52" s="47"/>
      <c r="C52" s="46"/>
      <c r="D52" s="46"/>
      <c r="E52" s="47"/>
      <c r="F52" s="47"/>
      <c r="G52" s="46"/>
    </row>
    <row r="53" customFormat="false" ht="15" hidden="false" customHeight="false" outlineLevel="0" collapsed="false">
      <c r="A53" s="40"/>
      <c r="B53" s="47"/>
      <c r="C53" s="46"/>
      <c r="D53" s="46"/>
      <c r="E53" s="47"/>
      <c r="F53" s="47"/>
      <c r="G53" s="46"/>
    </row>
    <row r="54" customFormat="false" ht="15" hidden="false" customHeight="false" outlineLevel="0" collapsed="false">
      <c r="A54" s="40"/>
      <c r="B54" s="47"/>
      <c r="C54" s="46"/>
      <c r="D54" s="46"/>
      <c r="E54" s="47"/>
      <c r="F54" s="47"/>
      <c r="G54" s="46"/>
    </row>
    <row r="55" customFormat="false" ht="15" hidden="false" customHeight="false" outlineLevel="0" collapsed="false">
      <c r="A55" s="40"/>
      <c r="B55" s="47"/>
      <c r="C55" s="46"/>
      <c r="D55" s="46"/>
      <c r="E55" s="47"/>
      <c r="F55" s="47"/>
      <c r="G55" s="46"/>
    </row>
    <row r="56" customFormat="false" ht="15" hidden="false" customHeight="false" outlineLevel="0" collapsed="false">
      <c r="A56" s="40"/>
      <c r="B56" s="47"/>
      <c r="C56" s="46"/>
      <c r="D56" s="46"/>
      <c r="E56" s="47"/>
      <c r="F56" s="47"/>
      <c r="G56" s="46"/>
    </row>
    <row r="57" customFormat="false" ht="15" hidden="false" customHeight="false" outlineLevel="0" collapsed="false">
      <c r="A57" s="40"/>
      <c r="B57" s="47"/>
      <c r="C57" s="46"/>
      <c r="D57" s="46"/>
      <c r="E57" s="47"/>
      <c r="F57" s="47"/>
      <c r="G57" s="46"/>
    </row>
    <row r="58" customFormat="false" ht="15" hidden="false" customHeight="false" outlineLevel="0" collapsed="false">
      <c r="A58" s="40"/>
      <c r="B58" s="47"/>
      <c r="C58" s="46"/>
      <c r="D58" s="46"/>
      <c r="E58" s="47"/>
      <c r="F58" s="47"/>
      <c r="G58" s="46"/>
    </row>
    <row r="59" customFormat="false" ht="15" hidden="false" customHeight="false" outlineLevel="0" collapsed="false">
      <c r="A59" s="40"/>
      <c r="B59" s="47"/>
      <c r="C59" s="46"/>
      <c r="D59" s="46"/>
      <c r="E59" s="47"/>
      <c r="F59" s="47"/>
      <c r="G59" s="46"/>
    </row>
    <row r="60" customFormat="false" ht="15" hidden="false" customHeight="false" outlineLevel="0" collapsed="false">
      <c r="A60" s="40"/>
      <c r="B60" s="47"/>
      <c r="C60" s="46"/>
      <c r="D60" s="46"/>
      <c r="E60" s="47"/>
      <c r="F60" s="47"/>
      <c r="G60" s="46"/>
    </row>
    <row r="61" customFormat="false" ht="15" hidden="false" customHeight="false" outlineLevel="0" collapsed="false">
      <c r="A61" s="40"/>
      <c r="B61" s="47"/>
      <c r="C61" s="46"/>
      <c r="D61" s="46"/>
      <c r="E61" s="47"/>
      <c r="F61" s="47"/>
      <c r="G61" s="46"/>
    </row>
    <row r="62" customFormat="false" ht="15" hidden="false" customHeight="false" outlineLevel="0" collapsed="false">
      <c r="A62" s="40"/>
      <c r="B62" s="47"/>
      <c r="C62" s="46"/>
      <c r="D62" s="46"/>
      <c r="E62" s="47"/>
      <c r="F62" s="47"/>
      <c r="G62" s="46"/>
    </row>
    <row r="63" customFormat="false" ht="15" hidden="false" customHeight="false" outlineLevel="0" collapsed="false">
      <c r="A63" s="40"/>
      <c r="B63" s="47"/>
      <c r="C63" s="46"/>
      <c r="D63" s="46"/>
      <c r="E63" s="47"/>
      <c r="F63" s="47"/>
      <c r="G63" s="46"/>
    </row>
    <row r="64" customFormat="false" ht="15" hidden="false" customHeight="false" outlineLevel="0" collapsed="false">
      <c r="A64" s="40"/>
      <c r="B64" s="47"/>
      <c r="C64" s="46"/>
      <c r="D64" s="46"/>
      <c r="E64" s="47"/>
      <c r="F64" s="47"/>
      <c r="G64" s="46"/>
    </row>
    <row r="65" customFormat="false" ht="15" hidden="false" customHeight="false" outlineLevel="0" collapsed="false">
      <c r="A65" s="40"/>
      <c r="B65" s="47"/>
      <c r="C65" s="46"/>
      <c r="D65" s="46"/>
      <c r="E65" s="47"/>
      <c r="F65" s="47"/>
      <c r="G65" s="46"/>
    </row>
    <row r="66" customFormat="false" ht="15" hidden="false" customHeight="false" outlineLevel="0" collapsed="false">
      <c r="A66" s="40"/>
      <c r="B66" s="47"/>
      <c r="C66" s="46"/>
      <c r="D66" s="46"/>
      <c r="E66" s="47"/>
      <c r="F66" s="47"/>
      <c r="G66" s="46"/>
    </row>
    <row r="67" customFormat="false" ht="15" hidden="false" customHeight="false" outlineLevel="0" collapsed="false">
      <c r="A67" s="40"/>
      <c r="B67" s="47"/>
      <c r="C67" s="46"/>
      <c r="D67" s="46"/>
      <c r="E67" s="47"/>
      <c r="F67" s="47"/>
      <c r="G67" s="46"/>
    </row>
    <row r="68" customFormat="false" ht="15" hidden="false" customHeight="false" outlineLevel="0" collapsed="false">
      <c r="A68" s="40"/>
      <c r="B68" s="47"/>
      <c r="C68" s="46"/>
      <c r="D68" s="46"/>
      <c r="E68" s="47"/>
      <c r="F68" s="47"/>
      <c r="G68" s="46"/>
    </row>
    <row r="69" customFormat="false" ht="15" hidden="false" customHeight="false" outlineLevel="0" collapsed="false">
      <c r="A69" s="40"/>
      <c r="B69" s="47"/>
      <c r="C69" s="46"/>
      <c r="D69" s="46"/>
      <c r="E69" s="47"/>
      <c r="F69" s="47"/>
      <c r="G69" s="46"/>
    </row>
    <row r="70" customFormat="false" ht="15" hidden="false" customHeight="false" outlineLevel="0" collapsed="false">
      <c r="A70" s="40"/>
      <c r="B70" s="47"/>
      <c r="C70" s="46"/>
      <c r="D70" s="46"/>
      <c r="E70" s="47"/>
      <c r="F70" s="47"/>
      <c r="G70" s="46"/>
    </row>
    <row r="71" customFormat="false" ht="15" hidden="false" customHeight="false" outlineLevel="0" collapsed="false">
      <c r="A71" s="40"/>
      <c r="B71" s="47"/>
      <c r="C71" s="46"/>
      <c r="D71" s="46"/>
      <c r="E71" s="47"/>
      <c r="F71" s="47"/>
      <c r="G71" s="46"/>
    </row>
    <row r="72" customFormat="false" ht="15" hidden="false" customHeight="false" outlineLevel="0" collapsed="false">
      <c r="A72" s="40"/>
      <c r="B72" s="47"/>
      <c r="C72" s="46"/>
      <c r="D72" s="46"/>
      <c r="E72" s="47"/>
      <c r="F72" s="47"/>
      <c r="G72" s="46"/>
    </row>
    <row r="73" customFormat="false" ht="15" hidden="false" customHeight="false" outlineLevel="0" collapsed="false">
      <c r="A73" s="40"/>
      <c r="B73" s="47"/>
      <c r="C73" s="46"/>
      <c r="D73" s="46"/>
      <c r="E73" s="47"/>
      <c r="F73" s="47"/>
      <c r="G73" s="46"/>
    </row>
    <row r="74" customFormat="false" ht="15" hidden="false" customHeight="false" outlineLevel="0" collapsed="false">
      <c r="A74" s="40"/>
      <c r="B74" s="47"/>
      <c r="C74" s="46"/>
      <c r="D74" s="46"/>
      <c r="E74" s="47"/>
      <c r="F74" s="47"/>
      <c r="G74" s="46"/>
    </row>
    <row r="75" customFormat="false" ht="15" hidden="false" customHeight="false" outlineLevel="0" collapsed="false">
      <c r="A75" s="40"/>
      <c r="B75" s="47"/>
      <c r="C75" s="46"/>
      <c r="D75" s="46"/>
      <c r="E75" s="47"/>
      <c r="F75" s="47"/>
      <c r="G75" s="46"/>
    </row>
    <row r="76" customFormat="false" ht="15" hidden="false" customHeight="false" outlineLevel="0" collapsed="false">
      <c r="A76" s="40"/>
      <c r="B76" s="47"/>
      <c r="C76" s="46"/>
      <c r="D76" s="46"/>
      <c r="E76" s="47"/>
      <c r="F76" s="47"/>
      <c r="G76" s="46"/>
    </row>
    <row r="77" customFormat="false" ht="15" hidden="false" customHeight="false" outlineLevel="0" collapsed="false">
      <c r="A77" s="40"/>
      <c r="B77" s="47"/>
      <c r="C77" s="46"/>
      <c r="D77" s="46"/>
      <c r="E77" s="47"/>
      <c r="F77" s="47"/>
      <c r="G77" s="46"/>
    </row>
    <row r="78" customFormat="false" ht="15" hidden="false" customHeight="false" outlineLevel="0" collapsed="false">
      <c r="A78" s="40"/>
      <c r="B78" s="47"/>
      <c r="C78" s="46"/>
      <c r="D78" s="46"/>
      <c r="E78" s="47"/>
      <c r="F78" s="47"/>
      <c r="G78" s="46"/>
    </row>
    <row r="79" customFormat="false" ht="15" hidden="false" customHeight="false" outlineLevel="0" collapsed="false">
      <c r="A79" s="40"/>
      <c r="B79" s="47"/>
      <c r="C79" s="46"/>
      <c r="D79" s="46"/>
      <c r="E79" s="47"/>
      <c r="F79" s="47"/>
      <c r="G79" s="46"/>
    </row>
    <row r="80" customFormat="false" ht="15" hidden="false" customHeight="false" outlineLevel="0" collapsed="false">
      <c r="A80" s="40"/>
      <c r="B80" s="47"/>
      <c r="C80" s="46"/>
      <c r="D80" s="46"/>
      <c r="E80" s="47"/>
      <c r="F80" s="47"/>
      <c r="G80" s="46"/>
    </row>
    <row r="81" customFormat="false" ht="15" hidden="false" customHeight="false" outlineLevel="0" collapsed="false">
      <c r="A81" s="40"/>
      <c r="B81" s="47"/>
      <c r="C81" s="46"/>
      <c r="D81" s="46"/>
      <c r="E81" s="47"/>
      <c r="F81" s="47"/>
      <c r="G81" s="46"/>
    </row>
    <row r="82" customFormat="false" ht="15" hidden="false" customHeight="false" outlineLevel="0" collapsed="false">
      <c r="A82" s="40"/>
      <c r="B82" s="47"/>
      <c r="C82" s="46"/>
      <c r="D82" s="46"/>
      <c r="E82" s="47"/>
      <c r="F82" s="47"/>
      <c r="G82" s="46"/>
    </row>
    <row r="83" customFormat="false" ht="15" hidden="false" customHeight="false" outlineLevel="0" collapsed="false">
      <c r="A83" s="40"/>
      <c r="B83" s="47"/>
      <c r="C83" s="46"/>
      <c r="D83" s="46"/>
      <c r="E83" s="47"/>
      <c r="F83" s="47"/>
      <c r="G83" s="46"/>
    </row>
    <row r="84" customFormat="false" ht="15" hidden="false" customHeight="false" outlineLevel="0" collapsed="false">
      <c r="A84" s="40"/>
      <c r="B84" s="47"/>
      <c r="C84" s="46"/>
      <c r="D84" s="46"/>
      <c r="E84" s="47"/>
      <c r="F84" s="47"/>
      <c r="G84" s="46"/>
    </row>
    <row r="85" customFormat="false" ht="15" hidden="false" customHeight="false" outlineLevel="0" collapsed="false">
      <c r="A85" s="40"/>
      <c r="B85" s="47"/>
      <c r="C85" s="46"/>
      <c r="D85" s="46"/>
      <c r="E85" s="47"/>
      <c r="F85" s="47"/>
      <c r="G85" s="46"/>
    </row>
    <row r="86" customFormat="false" ht="15" hidden="false" customHeight="false" outlineLevel="0" collapsed="false">
      <c r="A86" s="40"/>
      <c r="B86" s="47"/>
      <c r="C86" s="46"/>
      <c r="D86" s="46"/>
      <c r="E86" s="47"/>
      <c r="F86" s="47"/>
      <c r="G86" s="46"/>
    </row>
    <row r="87" customFormat="false" ht="15" hidden="false" customHeight="false" outlineLevel="0" collapsed="false">
      <c r="A87" s="40"/>
      <c r="B87" s="47"/>
      <c r="C87" s="46"/>
      <c r="D87" s="46"/>
      <c r="E87" s="47"/>
      <c r="F87" s="47"/>
      <c r="G87" s="46"/>
    </row>
    <row r="88" customFormat="false" ht="15" hidden="false" customHeight="false" outlineLevel="0" collapsed="false">
      <c r="A88" s="40"/>
      <c r="B88" s="47"/>
      <c r="C88" s="46"/>
      <c r="D88" s="46"/>
      <c r="E88" s="47"/>
      <c r="F88" s="47"/>
      <c r="G88" s="46"/>
    </row>
    <row r="89" customFormat="false" ht="15" hidden="false" customHeight="false" outlineLevel="0" collapsed="false">
      <c r="A89" s="40"/>
      <c r="B89" s="47"/>
      <c r="C89" s="46"/>
      <c r="D89" s="46"/>
      <c r="E89" s="47"/>
      <c r="F89" s="47"/>
      <c r="G89" s="46"/>
    </row>
    <row r="90" customFormat="false" ht="15" hidden="false" customHeight="false" outlineLevel="0" collapsed="false">
      <c r="A90" s="40"/>
      <c r="B90" s="47"/>
      <c r="C90" s="46"/>
      <c r="D90" s="46"/>
      <c r="E90" s="47"/>
      <c r="F90" s="47"/>
      <c r="G90" s="46"/>
    </row>
    <row r="91" customFormat="false" ht="15" hidden="false" customHeight="false" outlineLevel="0" collapsed="false">
      <c r="A91" s="40"/>
      <c r="B91" s="47"/>
      <c r="C91" s="46"/>
      <c r="D91" s="46"/>
      <c r="E91" s="47"/>
      <c r="F91" s="47"/>
      <c r="G91" s="46"/>
    </row>
    <row r="92" customFormat="false" ht="15" hidden="false" customHeight="false" outlineLevel="0" collapsed="false">
      <c r="A92" s="40"/>
      <c r="B92" s="47"/>
      <c r="C92" s="46"/>
      <c r="D92" s="46"/>
      <c r="E92" s="47"/>
      <c r="F92" s="47"/>
      <c r="G92" s="46"/>
    </row>
    <row r="93" customFormat="false" ht="15" hidden="false" customHeight="false" outlineLevel="0" collapsed="false">
      <c r="A93" s="40"/>
      <c r="B93" s="47"/>
      <c r="C93" s="46"/>
      <c r="D93" s="46"/>
      <c r="E93" s="47"/>
      <c r="F93" s="47"/>
      <c r="G93" s="46"/>
    </row>
    <row r="94" customFormat="false" ht="15" hidden="false" customHeight="false" outlineLevel="0" collapsed="false">
      <c r="A94" s="40"/>
      <c r="B94" s="47"/>
      <c r="C94" s="46"/>
      <c r="D94" s="46"/>
      <c r="E94" s="47"/>
      <c r="F94" s="47"/>
      <c r="G94" s="46"/>
    </row>
    <row r="95" customFormat="false" ht="15" hidden="false" customHeight="false" outlineLevel="0" collapsed="false">
      <c r="A95" s="40"/>
      <c r="B95" s="47"/>
      <c r="C95" s="46"/>
      <c r="D95" s="46"/>
      <c r="E95" s="47"/>
      <c r="F95" s="47"/>
      <c r="G95" s="46"/>
    </row>
    <row r="96" customFormat="false" ht="15" hidden="false" customHeight="false" outlineLevel="0" collapsed="false">
      <c r="A96" s="40"/>
      <c r="B96" s="47"/>
      <c r="C96" s="46"/>
      <c r="D96" s="46"/>
      <c r="E96" s="47"/>
      <c r="F96" s="47"/>
      <c r="G96" s="46"/>
    </row>
    <row r="97" customFormat="false" ht="15" hidden="false" customHeight="false" outlineLevel="0" collapsed="false">
      <c r="A97" s="40"/>
      <c r="B97" s="47"/>
      <c r="C97" s="46"/>
      <c r="D97" s="46"/>
      <c r="E97" s="47"/>
      <c r="F97" s="47"/>
      <c r="G97" s="46"/>
    </row>
    <row r="98" customFormat="false" ht="15" hidden="false" customHeight="false" outlineLevel="0" collapsed="false">
      <c r="A98" s="40"/>
      <c r="B98" s="47"/>
      <c r="C98" s="46"/>
      <c r="D98" s="46"/>
      <c r="E98" s="47"/>
      <c r="F98" s="47"/>
      <c r="G98" s="46"/>
    </row>
    <row r="99" customFormat="false" ht="15" hidden="false" customHeight="false" outlineLevel="0" collapsed="false">
      <c r="A99" s="40"/>
      <c r="B99" s="47"/>
      <c r="C99" s="46"/>
      <c r="D99" s="46"/>
      <c r="E99" s="47"/>
      <c r="F99" s="47"/>
      <c r="G99" s="46"/>
    </row>
    <row r="100" customFormat="false" ht="15" hidden="false" customHeight="false" outlineLevel="0" collapsed="false">
      <c r="A100" s="40"/>
      <c r="B100" s="47"/>
      <c r="C100" s="46"/>
      <c r="D100" s="46"/>
      <c r="E100" s="47"/>
      <c r="F100" s="47"/>
      <c r="G100" s="46"/>
    </row>
    <row r="101" customFormat="false" ht="15" hidden="false" customHeight="false" outlineLevel="0" collapsed="false">
      <c r="A101" s="40"/>
      <c r="B101" s="47"/>
      <c r="C101" s="46"/>
      <c r="D101" s="46"/>
      <c r="E101" s="47"/>
      <c r="F101" s="47"/>
      <c r="G101" s="46"/>
    </row>
    <row r="102" customFormat="false" ht="15" hidden="false" customHeight="false" outlineLevel="0" collapsed="false">
      <c r="A102" s="40"/>
      <c r="B102" s="47"/>
      <c r="C102" s="46"/>
      <c r="D102" s="46"/>
      <c r="E102" s="47"/>
      <c r="F102" s="47"/>
      <c r="G102" s="46"/>
    </row>
    <row r="103" customFormat="false" ht="15" hidden="false" customHeight="false" outlineLevel="0" collapsed="false">
      <c r="A103" s="40"/>
      <c r="B103" s="47"/>
      <c r="C103" s="46"/>
      <c r="D103" s="46"/>
      <c r="E103" s="47"/>
      <c r="F103" s="47"/>
      <c r="G103" s="46"/>
    </row>
    <row r="104" customFormat="false" ht="15" hidden="false" customHeight="false" outlineLevel="0" collapsed="false">
      <c r="A104" s="40"/>
      <c r="B104" s="47"/>
      <c r="C104" s="46"/>
      <c r="D104" s="46"/>
      <c r="E104" s="47"/>
      <c r="F104" s="47"/>
      <c r="G104" s="46"/>
    </row>
    <row r="105" customFormat="false" ht="15" hidden="false" customHeight="false" outlineLevel="0" collapsed="false">
      <c r="A105" s="40"/>
      <c r="B105" s="47"/>
      <c r="C105" s="46"/>
      <c r="D105" s="46"/>
      <c r="E105" s="47"/>
      <c r="F105" s="47"/>
      <c r="G105" s="46"/>
    </row>
    <row r="106" customFormat="false" ht="15" hidden="false" customHeight="false" outlineLevel="0" collapsed="false">
      <c r="A106" s="40"/>
      <c r="B106" s="47"/>
      <c r="C106" s="46"/>
      <c r="D106" s="46"/>
      <c r="E106" s="47"/>
      <c r="F106" s="47"/>
      <c r="G106" s="46"/>
    </row>
    <row r="107" customFormat="false" ht="15" hidden="false" customHeight="false" outlineLevel="0" collapsed="false">
      <c r="A107" s="40"/>
      <c r="B107" s="47"/>
      <c r="C107" s="46"/>
      <c r="D107" s="46"/>
      <c r="E107" s="47"/>
      <c r="F107" s="47"/>
      <c r="G107" s="46"/>
    </row>
    <row r="108" customFormat="false" ht="15" hidden="false" customHeight="false" outlineLevel="0" collapsed="false">
      <c r="A108" s="40"/>
      <c r="B108" s="47"/>
      <c r="C108" s="46"/>
      <c r="D108" s="46"/>
      <c r="E108" s="47"/>
      <c r="F108" s="47"/>
      <c r="G108" s="46"/>
    </row>
    <row r="109" customFormat="false" ht="15" hidden="false" customHeight="false" outlineLevel="0" collapsed="false">
      <c r="A109" s="40"/>
      <c r="B109" s="47"/>
      <c r="C109" s="46"/>
      <c r="D109" s="46"/>
      <c r="E109" s="47"/>
      <c r="F109" s="47"/>
      <c r="G109" s="46"/>
    </row>
    <row r="110" customFormat="false" ht="15" hidden="false" customHeight="false" outlineLevel="0" collapsed="false">
      <c r="A110" s="40"/>
      <c r="B110" s="47"/>
      <c r="C110" s="46"/>
      <c r="D110" s="46"/>
      <c r="E110" s="47"/>
      <c r="F110" s="47"/>
      <c r="G110" s="46"/>
    </row>
    <row r="111" customFormat="false" ht="15" hidden="false" customHeight="false" outlineLevel="0" collapsed="false">
      <c r="A111" s="40"/>
      <c r="B111" s="47"/>
      <c r="C111" s="46"/>
      <c r="D111" s="46"/>
      <c r="E111" s="47"/>
      <c r="F111" s="47"/>
      <c r="G111" s="46"/>
    </row>
    <row r="112" customFormat="false" ht="15" hidden="false" customHeight="false" outlineLevel="0" collapsed="false">
      <c r="A112" s="40"/>
      <c r="B112" s="47"/>
      <c r="C112" s="46"/>
      <c r="D112" s="46"/>
      <c r="E112" s="47"/>
      <c r="F112" s="47"/>
      <c r="G112" s="46"/>
    </row>
    <row r="113" customFormat="false" ht="15" hidden="false" customHeight="false" outlineLevel="0" collapsed="false">
      <c r="A113" s="40"/>
      <c r="B113" s="47"/>
      <c r="C113" s="46"/>
      <c r="D113" s="46"/>
      <c r="E113" s="47"/>
      <c r="F113" s="47"/>
      <c r="G113" s="46"/>
    </row>
    <row r="114" customFormat="false" ht="15" hidden="false" customHeight="false" outlineLevel="0" collapsed="false">
      <c r="A114" s="40"/>
      <c r="B114" s="47"/>
      <c r="C114" s="46"/>
      <c r="D114" s="46"/>
      <c r="E114" s="47"/>
      <c r="F114" s="47"/>
      <c r="G114" s="46"/>
    </row>
    <row r="115" customFormat="false" ht="15" hidden="false" customHeight="false" outlineLevel="0" collapsed="false">
      <c r="A115" s="40"/>
      <c r="B115" s="47"/>
      <c r="C115" s="46"/>
      <c r="D115" s="46"/>
      <c r="E115" s="47"/>
      <c r="F115" s="47"/>
      <c r="G115" s="46"/>
    </row>
    <row r="116" customFormat="false" ht="15" hidden="false" customHeight="false" outlineLevel="0" collapsed="false">
      <c r="A116" s="40"/>
      <c r="B116" s="47"/>
      <c r="C116" s="46"/>
      <c r="D116" s="46"/>
      <c r="E116" s="47"/>
      <c r="F116" s="47"/>
      <c r="G116" s="46"/>
    </row>
    <row r="117" customFormat="false" ht="15" hidden="false" customHeight="false" outlineLevel="0" collapsed="false">
      <c r="A117" s="40"/>
      <c r="B117" s="47"/>
      <c r="C117" s="46"/>
      <c r="D117" s="46"/>
      <c r="E117" s="47"/>
      <c r="F117" s="47"/>
      <c r="G117" s="46"/>
    </row>
    <row r="118" customFormat="false" ht="15" hidden="false" customHeight="false" outlineLevel="0" collapsed="false">
      <c r="A118" s="40"/>
      <c r="B118" s="47"/>
      <c r="C118" s="46"/>
      <c r="D118" s="46"/>
      <c r="E118" s="47"/>
      <c r="F118" s="47"/>
      <c r="G118" s="46"/>
    </row>
    <row r="119" customFormat="false" ht="15" hidden="false" customHeight="false" outlineLevel="0" collapsed="false">
      <c r="A119" s="40"/>
      <c r="B119" s="47"/>
      <c r="C119" s="46"/>
      <c r="D119" s="46"/>
      <c r="E119" s="47"/>
      <c r="F119" s="47"/>
      <c r="G119" s="46"/>
    </row>
    <row r="120" customFormat="false" ht="15" hidden="false" customHeight="false" outlineLevel="0" collapsed="false">
      <c r="A120" s="40"/>
      <c r="B120" s="47"/>
      <c r="C120" s="46"/>
      <c r="D120" s="46"/>
      <c r="E120" s="47"/>
      <c r="F120" s="47"/>
      <c r="G120" s="46"/>
    </row>
    <row r="121" customFormat="false" ht="15" hidden="false" customHeight="false" outlineLevel="0" collapsed="false">
      <c r="A121" s="40"/>
      <c r="B121" s="47"/>
      <c r="C121" s="46"/>
      <c r="D121" s="46"/>
      <c r="E121" s="47"/>
      <c r="F121" s="47"/>
      <c r="G121" s="46"/>
    </row>
    <row r="122" customFormat="false" ht="15" hidden="false" customHeight="false" outlineLevel="0" collapsed="false">
      <c r="A122" s="40"/>
      <c r="B122" s="47"/>
      <c r="C122" s="46"/>
      <c r="D122" s="46"/>
      <c r="E122" s="47"/>
      <c r="F122" s="47"/>
      <c r="G122" s="46"/>
    </row>
    <row r="123" customFormat="false" ht="15" hidden="false" customHeight="false" outlineLevel="0" collapsed="false">
      <c r="A123" s="40"/>
      <c r="B123" s="47"/>
      <c r="C123" s="46"/>
      <c r="D123" s="46"/>
      <c r="E123" s="47"/>
      <c r="F123" s="47"/>
      <c r="G123" s="46"/>
    </row>
    <row r="124" customFormat="false" ht="15" hidden="false" customHeight="false" outlineLevel="0" collapsed="false">
      <c r="A124" s="40"/>
      <c r="B124" s="47"/>
      <c r="C124" s="46"/>
      <c r="D124" s="46"/>
      <c r="E124" s="47"/>
      <c r="F124" s="47"/>
      <c r="G124" s="46"/>
    </row>
    <row r="125" customFormat="false" ht="15" hidden="false" customHeight="false" outlineLevel="0" collapsed="false">
      <c r="A125" s="40"/>
      <c r="B125" s="47"/>
      <c r="C125" s="46"/>
      <c r="D125" s="46"/>
      <c r="E125" s="47"/>
      <c r="F125" s="47"/>
      <c r="G125" s="46"/>
    </row>
    <row r="126" customFormat="false" ht="15" hidden="false" customHeight="false" outlineLevel="0" collapsed="false">
      <c r="A126" s="40"/>
      <c r="B126" s="47"/>
      <c r="C126" s="46"/>
      <c r="D126" s="46"/>
      <c r="E126" s="47"/>
      <c r="F126" s="47"/>
      <c r="G126" s="46"/>
    </row>
    <row r="127" customFormat="false" ht="15" hidden="false" customHeight="false" outlineLevel="0" collapsed="false">
      <c r="A127" s="40"/>
      <c r="B127" s="47"/>
      <c r="C127" s="46"/>
      <c r="D127" s="46"/>
      <c r="E127" s="47"/>
      <c r="F127" s="47"/>
      <c r="G127" s="46"/>
    </row>
    <row r="128" customFormat="false" ht="15" hidden="false" customHeight="false" outlineLevel="0" collapsed="false">
      <c r="A128" s="40"/>
      <c r="B128" s="47"/>
      <c r="C128" s="46"/>
      <c r="D128" s="46"/>
      <c r="E128" s="47"/>
      <c r="F128" s="47"/>
      <c r="G128" s="46"/>
    </row>
    <row r="129" customFormat="false" ht="15" hidden="false" customHeight="false" outlineLevel="0" collapsed="false">
      <c r="A129" s="40"/>
      <c r="B129" s="47"/>
      <c r="C129" s="46"/>
      <c r="D129" s="46"/>
      <c r="E129" s="47"/>
      <c r="F129" s="47"/>
      <c r="G129" s="46"/>
    </row>
    <row r="130" customFormat="false" ht="15" hidden="false" customHeight="false" outlineLevel="0" collapsed="false">
      <c r="A130" s="40"/>
      <c r="B130" s="47"/>
      <c r="C130" s="46"/>
      <c r="D130" s="46"/>
      <c r="E130" s="47"/>
      <c r="F130" s="47"/>
      <c r="G130" s="46"/>
    </row>
    <row r="131" customFormat="false" ht="15" hidden="false" customHeight="false" outlineLevel="0" collapsed="false">
      <c r="A131" s="40"/>
      <c r="B131" s="47"/>
      <c r="C131" s="46"/>
      <c r="D131" s="46"/>
      <c r="E131" s="47"/>
      <c r="F131" s="47"/>
      <c r="G131" s="46"/>
    </row>
    <row r="132" customFormat="false" ht="15" hidden="false" customHeight="false" outlineLevel="0" collapsed="false">
      <c r="A132" s="40"/>
      <c r="B132" s="47"/>
      <c r="C132" s="46"/>
      <c r="D132" s="46"/>
      <c r="E132" s="47"/>
      <c r="F132" s="47"/>
      <c r="G132" s="46"/>
    </row>
    <row r="133" customFormat="false" ht="15" hidden="false" customHeight="false" outlineLevel="0" collapsed="false">
      <c r="A133" s="40"/>
      <c r="B133" s="47"/>
      <c r="C133" s="46"/>
      <c r="D133" s="46"/>
      <c r="E133" s="47"/>
      <c r="F133" s="47"/>
      <c r="G133" s="46"/>
    </row>
    <row r="134" customFormat="false" ht="15" hidden="false" customHeight="false" outlineLevel="0" collapsed="false">
      <c r="A134" s="40"/>
      <c r="B134" s="47"/>
      <c r="C134" s="46"/>
      <c r="D134" s="46"/>
      <c r="E134" s="47"/>
      <c r="F134" s="47"/>
      <c r="G134" s="46"/>
    </row>
    <row r="135" customFormat="false" ht="15" hidden="false" customHeight="false" outlineLevel="0" collapsed="false">
      <c r="A135" s="40"/>
      <c r="B135" s="47"/>
      <c r="C135" s="46"/>
      <c r="D135" s="46"/>
      <c r="E135" s="47"/>
      <c r="F135" s="47"/>
      <c r="G135" s="46"/>
    </row>
    <row r="136" customFormat="false" ht="15" hidden="false" customHeight="false" outlineLevel="0" collapsed="false">
      <c r="A136" s="40"/>
      <c r="B136" s="47"/>
      <c r="C136" s="46"/>
      <c r="D136" s="46"/>
      <c r="E136" s="47"/>
      <c r="F136" s="47"/>
      <c r="G136" s="46"/>
    </row>
    <row r="137" customFormat="false" ht="15" hidden="false" customHeight="false" outlineLevel="0" collapsed="false">
      <c r="A137" s="40"/>
      <c r="B137" s="47"/>
      <c r="C137" s="46"/>
      <c r="D137" s="46"/>
      <c r="E137" s="47"/>
      <c r="F137" s="47"/>
      <c r="G137" s="46"/>
    </row>
    <row r="138" customFormat="false" ht="15" hidden="false" customHeight="false" outlineLevel="0" collapsed="false">
      <c r="A138" s="40"/>
      <c r="B138" s="47"/>
      <c r="C138" s="46"/>
      <c r="D138" s="46"/>
      <c r="E138" s="47"/>
      <c r="F138" s="47"/>
      <c r="G138" s="46"/>
    </row>
    <row r="139" customFormat="false" ht="15" hidden="false" customHeight="false" outlineLevel="0" collapsed="false">
      <c r="A139" s="40"/>
      <c r="B139" s="47"/>
      <c r="C139" s="46"/>
      <c r="D139" s="46"/>
      <c r="E139" s="47"/>
      <c r="F139" s="47"/>
      <c r="G139" s="46"/>
    </row>
    <row r="140" customFormat="false" ht="15" hidden="false" customHeight="false" outlineLevel="0" collapsed="false">
      <c r="A140" s="40"/>
      <c r="B140" s="47"/>
      <c r="C140" s="46"/>
      <c r="D140" s="46"/>
      <c r="E140" s="47"/>
      <c r="F140" s="47"/>
      <c r="G140" s="46"/>
    </row>
    <row r="141" customFormat="false" ht="15" hidden="false" customHeight="false" outlineLevel="0" collapsed="false">
      <c r="A141" s="40"/>
      <c r="B141" s="47"/>
      <c r="C141" s="46"/>
      <c r="D141" s="46"/>
      <c r="E141" s="47"/>
      <c r="F141" s="47"/>
      <c r="G141" s="46"/>
    </row>
    <row r="142" customFormat="false" ht="15" hidden="false" customHeight="false" outlineLevel="0" collapsed="false">
      <c r="A142" s="40"/>
      <c r="B142" s="47"/>
      <c r="C142" s="46"/>
      <c r="D142" s="46"/>
      <c r="E142" s="47"/>
      <c r="F142" s="47"/>
      <c r="G142" s="46"/>
    </row>
    <row r="143" customFormat="false" ht="15" hidden="false" customHeight="false" outlineLevel="0" collapsed="false">
      <c r="A143" s="40"/>
      <c r="B143" s="47"/>
      <c r="C143" s="46"/>
      <c r="D143" s="46"/>
      <c r="E143" s="47"/>
      <c r="F143" s="47"/>
      <c r="G143" s="46"/>
    </row>
    <row r="144" customFormat="false" ht="15" hidden="false" customHeight="false" outlineLevel="0" collapsed="false">
      <c r="A144" s="40"/>
      <c r="B144" s="47"/>
      <c r="C144" s="46"/>
      <c r="D144" s="46"/>
      <c r="E144" s="47"/>
      <c r="F144" s="47"/>
      <c r="G144" s="46"/>
    </row>
    <row r="145" customFormat="false" ht="15" hidden="false" customHeight="false" outlineLevel="0" collapsed="false">
      <c r="A145" s="40"/>
      <c r="B145" s="47"/>
      <c r="C145" s="46"/>
      <c r="D145" s="46"/>
      <c r="E145" s="47"/>
      <c r="F145" s="47"/>
      <c r="G145" s="46"/>
    </row>
    <row r="146" customFormat="false" ht="15" hidden="false" customHeight="false" outlineLevel="0" collapsed="false">
      <c r="A146" s="40"/>
      <c r="B146" s="47"/>
      <c r="C146" s="46"/>
      <c r="D146" s="46"/>
      <c r="E146" s="47"/>
      <c r="F146" s="47"/>
      <c r="G146" s="46"/>
    </row>
    <row r="147" customFormat="false" ht="15" hidden="false" customHeight="false" outlineLevel="0" collapsed="false">
      <c r="A147" s="40"/>
      <c r="B147" s="47"/>
      <c r="C147" s="46"/>
      <c r="D147" s="46"/>
      <c r="E147" s="47"/>
      <c r="F147" s="47"/>
      <c r="G147" s="46"/>
    </row>
    <row r="148" customFormat="false" ht="15" hidden="false" customHeight="false" outlineLevel="0" collapsed="false">
      <c r="A148" s="40"/>
      <c r="B148" s="47"/>
      <c r="C148" s="46"/>
      <c r="D148" s="46"/>
      <c r="E148" s="47"/>
      <c r="F148" s="47"/>
      <c r="G148" s="46"/>
    </row>
    <row r="149" customFormat="false" ht="15" hidden="false" customHeight="false" outlineLevel="0" collapsed="false">
      <c r="A149" s="40"/>
      <c r="B149" s="47"/>
      <c r="C149" s="46"/>
      <c r="D149" s="46"/>
      <c r="E149" s="47"/>
      <c r="F149" s="47"/>
      <c r="G149" s="46"/>
    </row>
    <row r="150" customFormat="false" ht="15" hidden="false" customHeight="false" outlineLevel="0" collapsed="false">
      <c r="A150" s="40"/>
      <c r="B150" s="47"/>
      <c r="C150" s="46"/>
      <c r="D150" s="46"/>
      <c r="E150" s="47"/>
      <c r="F150" s="47"/>
      <c r="G150" s="46"/>
    </row>
    <row r="151" customFormat="false" ht="15" hidden="false" customHeight="false" outlineLevel="0" collapsed="false">
      <c r="A151" s="40"/>
      <c r="B151" s="47"/>
      <c r="C151" s="46"/>
      <c r="D151" s="46"/>
      <c r="E151" s="47"/>
      <c r="F151" s="47"/>
      <c r="G151" s="46"/>
    </row>
    <row r="152" customFormat="false" ht="15" hidden="false" customHeight="false" outlineLevel="0" collapsed="false">
      <c r="A152" s="40"/>
      <c r="B152" s="47"/>
      <c r="C152" s="46"/>
      <c r="D152" s="46"/>
      <c r="E152" s="47"/>
      <c r="F152" s="47"/>
      <c r="G152" s="46"/>
    </row>
    <row r="153" customFormat="false" ht="15" hidden="false" customHeight="false" outlineLevel="0" collapsed="false">
      <c r="A153" s="40"/>
      <c r="B153" s="47"/>
      <c r="C153" s="46"/>
      <c r="D153" s="46"/>
      <c r="E153" s="47"/>
      <c r="F153" s="47"/>
      <c r="G153" s="46"/>
    </row>
    <row r="154" customFormat="false" ht="15" hidden="false" customHeight="false" outlineLevel="0" collapsed="false">
      <c r="A154" s="40"/>
      <c r="B154" s="47"/>
      <c r="C154" s="46"/>
      <c r="D154" s="46"/>
      <c r="E154" s="47"/>
      <c r="F154" s="47"/>
      <c r="G154" s="46"/>
    </row>
    <row r="155" customFormat="false" ht="15" hidden="false" customHeight="false" outlineLevel="0" collapsed="false">
      <c r="A155" s="40"/>
      <c r="B155" s="47"/>
      <c r="C155" s="46"/>
      <c r="D155" s="46"/>
      <c r="E155" s="47"/>
      <c r="F155" s="47"/>
      <c r="G155" s="46"/>
    </row>
    <row r="156" customFormat="false" ht="15" hidden="false" customHeight="false" outlineLevel="0" collapsed="false">
      <c r="A156" s="40"/>
      <c r="B156" s="47"/>
      <c r="C156" s="46"/>
      <c r="D156" s="46"/>
      <c r="E156" s="47"/>
      <c r="F156" s="47"/>
      <c r="G156" s="46"/>
    </row>
    <row r="157" customFormat="false" ht="15" hidden="false" customHeight="false" outlineLevel="0" collapsed="false">
      <c r="A157" s="40"/>
      <c r="B157" s="47"/>
      <c r="C157" s="46"/>
      <c r="D157" s="46"/>
      <c r="E157" s="47"/>
      <c r="F157" s="47"/>
      <c r="G157" s="46"/>
    </row>
    <row r="158" customFormat="false" ht="15" hidden="false" customHeight="false" outlineLevel="0" collapsed="false">
      <c r="A158" s="40"/>
      <c r="B158" s="47"/>
      <c r="C158" s="46"/>
      <c r="D158" s="46"/>
      <c r="E158" s="47"/>
      <c r="F158" s="47"/>
      <c r="G158" s="46"/>
    </row>
    <row r="159" customFormat="false" ht="15" hidden="false" customHeight="false" outlineLevel="0" collapsed="false">
      <c r="A159" s="40"/>
      <c r="B159" s="47"/>
      <c r="C159" s="46"/>
      <c r="D159" s="46"/>
      <c r="E159" s="47"/>
      <c r="F159" s="47"/>
      <c r="G159" s="46"/>
    </row>
    <row r="160" customFormat="false" ht="15" hidden="false" customHeight="false" outlineLevel="0" collapsed="false">
      <c r="A160" s="40"/>
      <c r="B160" s="47"/>
      <c r="C160" s="46"/>
      <c r="D160" s="46"/>
      <c r="E160" s="47"/>
      <c r="F160" s="47"/>
      <c r="G160" s="46"/>
    </row>
    <row r="161" customFormat="false" ht="15" hidden="false" customHeight="false" outlineLevel="0" collapsed="false">
      <c r="A161" s="40"/>
      <c r="B161" s="47"/>
      <c r="C161" s="46"/>
      <c r="D161" s="46"/>
      <c r="E161" s="47"/>
      <c r="F161" s="47"/>
      <c r="G161" s="46"/>
    </row>
    <row r="162" customFormat="false" ht="15" hidden="false" customHeight="false" outlineLevel="0" collapsed="false">
      <c r="A162" s="40"/>
      <c r="B162" s="47"/>
      <c r="C162" s="46"/>
      <c r="D162" s="46"/>
      <c r="E162" s="47"/>
      <c r="F162" s="47"/>
      <c r="G162" s="46"/>
    </row>
    <row r="163" customFormat="false" ht="15" hidden="false" customHeight="false" outlineLevel="0" collapsed="false">
      <c r="A163" s="40"/>
      <c r="B163" s="47"/>
      <c r="C163" s="46"/>
      <c r="D163" s="46"/>
      <c r="E163" s="47"/>
      <c r="F163" s="47"/>
      <c r="G163" s="46"/>
    </row>
    <row r="164" customFormat="false" ht="15" hidden="false" customHeight="false" outlineLevel="0" collapsed="false">
      <c r="A164" s="40"/>
      <c r="B164" s="47"/>
      <c r="C164" s="46"/>
      <c r="D164" s="46"/>
      <c r="E164" s="47"/>
      <c r="F164" s="47"/>
      <c r="G164" s="46"/>
    </row>
    <row r="165" customFormat="false" ht="15" hidden="false" customHeight="false" outlineLevel="0" collapsed="false">
      <c r="A165" s="40"/>
      <c r="B165" s="47"/>
      <c r="C165" s="46"/>
      <c r="D165" s="46"/>
      <c r="E165" s="47"/>
      <c r="F165" s="47"/>
      <c r="G165" s="46"/>
    </row>
    <row r="166" customFormat="false" ht="15" hidden="false" customHeight="false" outlineLevel="0" collapsed="false">
      <c r="A166" s="40"/>
      <c r="B166" s="47"/>
      <c r="C166" s="46"/>
      <c r="D166" s="46"/>
      <c r="E166" s="47"/>
      <c r="F166" s="47"/>
      <c r="G166" s="46"/>
    </row>
    <row r="167" customFormat="false" ht="15" hidden="false" customHeight="false" outlineLevel="0" collapsed="false">
      <c r="A167" s="40"/>
      <c r="B167" s="47"/>
      <c r="C167" s="46"/>
      <c r="D167" s="46"/>
      <c r="E167" s="47"/>
      <c r="F167" s="47"/>
      <c r="G167" s="46"/>
    </row>
    <row r="168" customFormat="false" ht="15" hidden="false" customHeight="false" outlineLevel="0" collapsed="false">
      <c r="A168" s="40"/>
      <c r="B168" s="47"/>
      <c r="C168" s="46"/>
      <c r="D168" s="46"/>
      <c r="E168" s="47"/>
      <c r="F168" s="47"/>
      <c r="G168" s="46"/>
    </row>
    <row r="169" customFormat="false" ht="15" hidden="false" customHeight="false" outlineLevel="0" collapsed="false">
      <c r="A169" s="40"/>
      <c r="B169" s="47"/>
      <c r="C169" s="46"/>
      <c r="D169" s="46"/>
      <c r="E169" s="47"/>
      <c r="F169" s="47"/>
      <c r="G169" s="46"/>
    </row>
    <row r="170" customFormat="false" ht="15" hidden="false" customHeight="false" outlineLevel="0" collapsed="false">
      <c r="A170" s="40"/>
      <c r="B170" s="47"/>
      <c r="C170" s="46"/>
      <c r="D170" s="46"/>
      <c r="E170" s="47"/>
      <c r="F170" s="47"/>
      <c r="G170" s="46"/>
    </row>
    <row r="171" customFormat="false" ht="15" hidden="false" customHeight="false" outlineLevel="0" collapsed="false">
      <c r="A171" s="40"/>
      <c r="B171" s="47"/>
      <c r="C171" s="46"/>
      <c r="D171" s="46"/>
      <c r="E171" s="47"/>
      <c r="F171" s="47"/>
      <c r="G171" s="46"/>
    </row>
    <row r="172" customFormat="false" ht="15" hidden="false" customHeight="false" outlineLevel="0" collapsed="false">
      <c r="A172" s="40"/>
      <c r="B172" s="47"/>
      <c r="C172" s="46"/>
      <c r="D172" s="46"/>
      <c r="E172" s="47"/>
      <c r="F172" s="47"/>
      <c r="G172" s="46"/>
    </row>
    <row r="173" customFormat="false" ht="15" hidden="false" customHeight="false" outlineLevel="0" collapsed="false">
      <c r="A173" s="40"/>
      <c r="B173" s="47"/>
      <c r="C173" s="46"/>
      <c r="D173" s="46"/>
      <c r="E173" s="47"/>
      <c r="F173" s="47"/>
      <c r="G173" s="46"/>
    </row>
    <row r="174" customFormat="false" ht="15" hidden="false" customHeight="false" outlineLevel="0" collapsed="false">
      <c r="A174" s="40"/>
      <c r="B174" s="47"/>
      <c r="C174" s="46"/>
      <c r="D174" s="46"/>
      <c r="E174" s="47"/>
      <c r="F174" s="47"/>
      <c r="G174" s="46"/>
    </row>
    <row r="175" customFormat="false" ht="15" hidden="false" customHeight="false" outlineLevel="0" collapsed="false">
      <c r="A175" s="40"/>
      <c r="B175" s="47"/>
      <c r="C175" s="46"/>
      <c r="D175" s="46"/>
      <c r="E175" s="47"/>
      <c r="F175" s="47"/>
      <c r="G175" s="46"/>
    </row>
    <row r="176" customFormat="false" ht="15" hidden="false" customHeight="false" outlineLevel="0" collapsed="false">
      <c r="A176" s="40"/>
      <c r="B176" s="47"/>
      <c r="C176" s="46"/>
      <c r="D176" s="46"/>
      <c r="E176" s="47"/>
      <c r="F176" s="47"/>
      <c r="G176" s="46"/>
    </row>
    <row r="177" customFormat="false" ht="15" hidden="false" customHeight="false" outlineLevel="0" collapsed="false">
      <c r="A177" s="40"/>
      <c r="B177" s="47"/>
      <c r="C177" s="46"/>
      <c r="D177" s="46"/>
      <c r="E177" s="47"/>
      <c r="F177" s="47"/>
      <c r="G177" s="46"/>
    </row>
    <row r="178" customFormat="false" ht="15" hidden="false" customHeight="false" outlineLevel="0" collapsed="false">
      <c r="A178" s="40"/>
      <c r="B178" s="47"/>
      <c r="C178" s="46"/>
      <c r="D178" s="46"/>
      <c r="E178" s="47"/>
      <c r="F178" s="47"/>
      <c r="G178" s="46"/>
    </row>
    <row r="179" customFormat="false" ht="15" hidden="false" customHeight="false" outlineLevel="0" collapsed="false">
      <c r="A179" s="40"/>
      <c r="B179" s="47"/>
      <c r="C179" s="46"/>
      <c r="D179" s="46"/>
      <c r="E179" s="47"/>
      <c r="F179" s="47"/>
      <c r="G179" s="46"/>
    </row>
    <row r="180" customFormat="false" ht="15" hidden="false" customHeight="false" outlineLevel="0" collapsed="false">
      <c r="A180" s="40"/>
      <c r="B180" s="47"/>
      <c r="C180" s="46"/>
      <c r="D180" s="46"/>
      <c r="E180" s="47"/>
      <c r="F180" s="47"/>
      <c r="G180" s="46"/>
    </row>
    <row r="181" customFormat="false" ht="15" hidden="false" customHeight="false" outlineLevel="0" collapsed="false">
      <c r="A181" s="40"/>
      <c r="B181" s="47"/>
      <c r="C181" s="46"/>
      <c r="D181" s="46"/>
      <c r="E181" s="47"/>
      <c r="F181" s="47"/>
      <c r="G181" s="46"/>
    </row>
    <row r="182" customFormat="false" ht="15" hidden="false" customHeight="false" outlineLevel="0" collapsed="false">
      <c r="A182" s="40"/>
      <c r="B182" s="47"/>
      <c r="C182" s="46"/>
      <c r="D182" s="46"/>
      <c r="E182" s="47"/>
      <c r="F182" s="47"/>
      <c r="G182" s="46"/>
    </row>
    <row r="183" customFormat="false" ht="15" hidden="false" customHeight="false" outlineLevel="0" collapsed="false">
      <c r="A183" s="40"/>
      <c r="B183" s="47"/>
      <c r="C183" s="46"/>
      <c r="D183" s="46"/>
      <c r="E183" s="47"/>
      <c r="F183" s="47"/>
      <c r="G183" s="46"/>
    </row>
    <row r="184" customFormat="false" ht="15" hidden="false" customHeight="false" outlineLevel="0" collapsed="false">
      <c r="A184" s="40"/>
      <c r="B184" s="47"/>
      <c r="C184" s="46"/>
      <c r="D184" s="46"/>
      <c r="E184" s="47"/>
      <c r="F184" s="47"/>
      <c r="G184" s="46"/>
    </row>
    <row r="185" customFormat="false" ht="15" hidden="false" customHeight="false" outlineLevel="0" collapsed="false">
      <c r="A185" s="40"/>
      <c r="B185" s="47"/>
      <c r="C185" s="46"/>
      <c r="D185" s="46"/>
      <c r="E185" s="47"/>
      <c r="F185" s="47"/>
      <c r="G185" s="46"/>
    </row>
    <row r="186" customFormat="false" ht="15" hidden="false" customHeight="false" outlineLevel="0" collapsed="false">
      <c r="A186" s="40"/>
      <c r="B186" s="47"/>
      <c r="C186" s="46"/>
      <c r="D186" s="46"/>
      <c r="E186" s="47"/>
      <c r="F186" s="47"/>
      <c r="G186" s="46"/>
    </row>
    <row r="187" customFormat="false" ht="15" hidden="false" customHeight="false" outlineLevel="0" collapsed="false">
      <c r="A187" s="40"/>
      <c r="B187" s="47"/>
      <c r="C187" s="46"/>
      <c r="D187" s="46"/>
      <c r="E187" s="47"/>
      <c r="F187" s="47"/>
      <c r="G187" s="46"/>
    </row>
    <row r="188" customFormat="false" ht="15" hidden="false" customHeight="false" outlineLevel="0" collapsed="false">
      <c r="A188" s="40"/>
      <c r="B188" s="47"/>
      <c r="C188" s="46"/>
      <c r="D188" s="46"/>
      <c r="E188" s="47"/>
      <c r="F188" s="47"/>
      <c r="G188" s="46"/>
    </row>
    <row r="189" customFormat="false" ht="15" hidden="false" customHeight="false" outlineLevel="0" collapsed="false">
      <c r="A189" s="40"/>
      <c r="B189" s="47"/>
      <c r="C189" s="46"/>
      <c r="D189" s="46"/>
      <c r="E189" s="47"/>
      <c r="F189" s="47"/>
      <c r="G189" s="46"/>
    </row>
    <row r="190" customFormat="false" ht="15" hidden="false" customHeight="false" outlineLevel="0" collapsed="false">
      <c r="A190" s="40"/>
      <c r="B190" s="47"/>
      <c r="C190" s="46"/>
      <c r="D190" s="46"/>
      <c r="E190" s="47"/>
      <c r="F190" s="47"/>
      <c r="G190" s="46"/>
    </row>
    <row r="191" customFormat="false" ht="15" hidden="false" customHeight="false" outlineLevel="0" collapsed="false">
      <c r="A191" s="40"/>
      <c r="B191" s="47"/>
      <c r="C191" s="46"/>
      <c r="D191" s="46"/>
      <c r="E191" s="47"/>
      <c r="F191" s="47"/>
      <c r="G191" s="46"/>
    </row>
    <row r="192" customFormat="false" ht="15" hidden="false" customHeight="false" outlineLevel="0" collapsed="false">
      <c r="A192" s="40"/>
      <c r="B192" s="47"/>
      <c r="C192" s="46"/>
      <c r="D192" s="46"/>
      <c r="E192" s="47"/>
      <c r="F192" s="47"/>
      <c r="G192" s="46"/>
    </row>
    <row r="193" customFormat="false" ht="15" hidden="false" customHeight="false" outlineLevel="0" collapsed="false">
      <c r="A193" s="40"/>
      <c r="B193" s="47"/>
      <c r="C193" s="46"/>
      <c r="D193" s="46"/>
      <c r="E193" s="47"/>
      <c r="F193" s="47"/>
      <c r="G193" s="46"/>
    </row>
    <row r="194" customFormat="false" ht="15" hidden="false" customHeight="false" outlineLevel="0" collapsed="false">
      <c r="A194" s="40"/>
      <c r="B194" s="47"/>
      <c r="C194" s="46"/>
      <c r="D194" s="46"/>
      <c r="E194" s="47"/>
      <c r="F194" s="47"/>
      <c r="G194" s="46"/>
    </row>
    <row r="195" customFormat="false" ht="15" hidden="false" customHeight="false" outlineLevel="0" collapsed="false">
      <c r="A195" s="40"/>
      <c r="B195" s="47"/>
      <c r="C195" s="46"/>
      <c r="D195" s="46"/>
      <c r="E195" s="47"/>
      <c r="F195" s="47"/>
      <c r="G195" s="46"/>
    </row>
    <row r="196" customFormat="false" ht="15" hidden="false" customHeight="false" outlineLevel="0" collapsed="false">
      <c r="A196" s="40"/>
      <c r="B196" s="47"/>
      <c r="C196" s="46"/>
      <c r="D196" s="46"/>
      <c r="E196" s="47"/>
      <c r="F196" s="47"/>
      <c r="G196" s="46"/>
    </row>
    <row r="197" customFormat="false" ht="15" hidden="false" customHeight="false" outlineLevel="0" collapsed="false">
      <c r="A197" s="40"/>
      <c r="B197" s="47"/>
      <c r="C197" s="46"/>
      <c r="D197" s="46"/>
      <c r="E197" s="47"/>
      <c r="F197" s="47"/>
      <c r="G197" s="46"/>
    </row>
    <row r="198" customFormat="false" ht="15" hidden="false" customHeight="false" outlineLevel="0" collapsed="false">
      <c r="A198" s="40"/>
      <c r="B198" s="47"/>
      <c r="C198" s="46"/>
      <c r="D198" s="46"/>
      <c r="E198" s="47"/>
      <c r="F198" s="47"/>
      <c r="G198" s="46"/>
    </row>
    <row r="199" customFormat="false" ht="15" hidden="false" customHeight="false" outlineLevel="0" collapsed="false">
      <c r="A199" s="40"/>
      <c r="B199" s="47"/>
      <c r="C199" s="46"/>
      <c r="D199" s="46"/>
      <c r="E199" s="47"/>
      <c r="F199" s="47"/>
      <c r="G199" s="46"/>
    </row>
    <row r="200" customFormat="false" ht="15" hidden="false" customHeight="false" outlineLevel="0" collapsed="false">
      <c r="A200" s="40"/>
      <c r="B200" s="47"/>
      <c r="C200" s="46"/>
      <c r="D200" s="46"/>
      <c r="E200" s="47"/>
      <c r="F200" s="47"/>
      <c r="G200" s="46"/>
    </row>
    <row r="201" customFormat="false" ht="15" hidden="false" customHeight="false" outlineLevel="0" collapsed="false">
      <c r="A201" s="40"/>
      <c r="B201" s="47"/>
      <c r="C201" s="46"/>
      <c r="D201" s="46"/>
      <c r="E201" s="47"/>
      <c r="F201" s="47"/>
      <c r="G201" s="46"/>
    </row>
    <row r="202" customFormat="false" ht="15" hidden="false" customHeight="false" outlineLevel="0" collapsed="false">
      <c r="A202" s="40"/>
      <c r="B202" s="47"/>
      <c r="C202" s="46"/>
      <c r="D202" s="46"/>
      <c r="E202" s="47"/>
      <c r="F202" s="47"/>
      <c r="G202" s="46"/>
    </row>
    <row r="203" customFormat="false" ht="15" hidden="false" customHeight="false" outlineLevel="0" collapsed="false">
      <c r="A203" s="40"/>
      <c r="B203" s="47"/>
      <c r="C203" s="46"/>
      <c r="D203" s="46"/>
      <c r="E203" s="47"/>
      <c r="F203" s="47"/>
      <c r="G203" s="46"/>
    </row>
    <row r="204" customFormat="false" ht="15" hidden="false" customHeight="false" outlineLevel="0" collapsed="false">
      <c r="A204" s="40"/>
      <c r="B204" s="47"/>
      <c r="C204" s="46"/>
      <c r="D204" s="46"/>
      <c r="E204" s="47"/>
      <c r="F204" s="47"/>
      <c r="G204" s="46"/>
    </row>
    <row r="205" customFormat="false" ht="15" hidden="false" customHeight="false" outlineLevel="0" collapsed="false">
      <c r="A205" s="40"/>
      <c r="B205" s="47"/>
      <c r="C205" s="46"/>
      <c r="D205" s="46"/>
      <c r="E205" s="47"/>
      <c r="F205" s="47"/>
      <c r="G205" s="46"/>
    </row>
    <row r="206" customFormat="false" ht="15" hidden="false" customHeight="false" outlineLevel="0" collapsed="false">
      <c r="A206" s="40"/>
      <c r="B206" s="47"/>
      <c r="C206" s="46"/>
      <c r="D206" s="46"/>
      <c r="E206" s="47"/>
      <c r="F206" s="47"/>
      <c r="G206" s="46"/>
    </row>
    <row r="207" customFormat="false" ht="15" hidden="false" customHeight="false" outlineLevel="0" collapsed="false">
      <c r="A207" s="40"/>
      <c r="B207" s="47"/>
      <c r="C207" s="46"/>
      <c r="D207" s="46"/>
      <c r="E207" s="47"/>
      <c r="F207" s="47"/>
      <c r="G207" s="46"/>
    </row>
    <row r="208" customFormat="false" ht="15" hidden="false" customHeight="false" outlineLevel="0" collapsed="false">
      <c r="A208" s="40"/>
      <c r="B208" s="47"/>
      <c r="C208" s="46"/>
      <c r="D208" s="46"/>
      <c r="E208" s="47"/>
      <c r="F208" s="47"/>
      <c r="G208" s="46"/>
    </row>
    <row r="209" customFormat="false" ht="15" hidden="false" customHeight="false" outlineLevel="0" collapsed="false">
      <c r="A209" s="40"/>
      <c r="B209" s="47"/>
      <c r="C209" s="46"/>
      <c r="D209" s="46"/>
      <c r="E209" s="47"/>
      <c r="F209" s="47"/>
      <c r="G209" s="46"/>
    </row>
    <row r="210" customFormat="false" ht="15" hidden="false" customHeight="false" outlineLevel="0" collapsed="false">
      <c r="A210" s="40"/>
      <c r="B210" s="47"/>
      <c r="C210" s="46"/>
      <c r="D210" s="46"/>
      <c r="E210" s="47"/>
      <c r="F210" s="47"/>
      <c r="G210" s="46"/>
    </row>
    <row r="211" customFormat="false" ht="15" hidden="false" customHeight="false" outlineLevel="0" collapsed="false">
      <c r="A211" s="40"/>
      <c r="B211" s="47"/>
      <c r="C211" s="46"/>
      <c r="D211" s="46"/>
      <c r="E211" s="47"/>
      <c r="F211" s="47"/>
      <c r="G211" s="46"/>
    </row>
    <row r="212" customFormat="false" ht="15" hidden="false" customHeight="false" outlineLevel="0" collapsed="false">
      <c r="A212" s="40"/>
      <c r="B212" s="47"/>
      <c r="C212" s="46"/>
      <c r="D212" s="46"/>
      <c r="E212" s="47"/>
      <c r="F212" s="47"/>
      <c r="G212" s="46"/>
    </row>
    <row r="213" customFormat="false" ht="15" hidden="false" customHeight="false" outlineLevel="0" collapsed="false">
      <c r="A213" s="40"/>
      <c r="B213" s="47"/>
      <c r="C213" s="46"/>
      <c r="D213" s="46"/>
      <c r="E213" s="47"/>
      <c r="F213" s="47"/>
      <c r="G213" s="46"/>
    </row>
    <row r="214" customFormat="false" ht="15" hidden="false" customHeight="false" outlineLevel="0" collapsed="false">
      <c r="A214" s="40"/>
      <c r="B214" s="47"/>
      <c r="C214" s="46"/>
      <c r="D214" s="46"/>
      <c r="E214" s="47"/>
      <c r="F214" s="47"/>
      <c r="G214" s="46"/>
    </row>
    <row r="215" customFormat="false" ht="15" hidden="false" customHeight="false" outlineLevel="0" collapsed="false">
      <c r="A215" s="40"/>
      <c r="B215" s="47"/>
      <c r="C215" s="46"/>
      <c r="D215" s="46"/>
      <c r="E215" s="47"/>
      <c r="F215" s="47"/>
      <c r="G215" s="46"/>
    </row>
    <row r="216" customFormat="false" ht="15" hidden="false" customHeight="false" outlineLevel="0" collapsed="false">
      <c r="A216" s="40"/>
      <c r="B216" s="47"/>
      <c r="C216" s="46"/>
      <c r="D216" s="46"/>
      <c r="E216" s="47"/>
      <c r="F216" s="47"/>
      <c r="G216" s="46"/>
    </row>
    <row r="217" customFormat="false" ht="15" hidden="false" customHeight="false" outlineLevel="0" collapsed="false">
      <c r="A217" s="40"/>
      <c r="B217" s="47"/>
      <c r="C217" s="46"/>
      <c r="D217" s="46"/>
      <c r="E217" s="47"/>
      <c r="F217" s="47"/>
      <c r="G217" s="46"/>
    </row>
    <row r="218" customFormat="false" ht="15" hidden="false" customHeight="false" outlineLevel="0" collapsed="false">
      <c r="A218" s="40"/>
      <c r="B218" s="47"/>
      <c r="C218" s="46"/>
      <c r="D218" s="46"/>
      <c r="E218" s="47"/>
      <c r="F218" s="47"/>
      <c r="G218" s="46"/>
    </row>
    <row r="219" customFormat="false" ht="15" hidden="false" customHeight="false" outlineLevel="0" collapsed="false">
      <c r="A219" s="40"/>
      <c r="B219" s="47"/>
      <c r="C219" s="46"/>
      <c r="D219" s="46"/>
      <c r="E219" s="47"/>
      <c r="F219" s="47"/>
      <c r="G219" s="46"/>
    </row>
    <row r="220" customFormat="false" ht="15" hidden="false" customHeight="false" outlineLevel="0" collapsed="false">
      <c r="A220" s="40"/>
      <c r="B220" s="47"/>
      <c r="C220" s="46"/>
      <c r="D220" s="46"/>
      <c r="E220" s="47"/>
      <c r="F220" s="47"/>
      <c r="G220" s="46"/>
    </row>
    <row r="221" customFormat="false" ht="15" hidden="false" customHeight="false" outlineLevel="0" collapsed="false">
      <c r="A221" s="40"/>
      <c r="B221" s="47"/>
      <c r="C221" s="46"/>
      <c r="D221" s="46"/>
      <c r="E221" s="47"/>
      <c r="F221" s="47"/>
      <c r="G221" s="46"/>
    </row>
    <row r="222" customFormat="false" ht="15" hidden="false" customHeight="false" outlineLevel="0" collapsed="false">
      <c r="A222" s="40"/>
      <c r="B222" s="47"/>
      <c r="C222" s="46"/>
      <c r="D222" s="46"/>
      <c r="E222" s="47"/>
      <c r="F222" s="47"/>
      <c r="G222" s="46"/>
    </row>
    <row r="223" customFormat="false" ht="15" hidden="false" customHeight="false" outlineLevel="0" collapsed="false">
      <c r="A223" s="40"/>
      <c r="B223" s="47"/>
      <c r="C223" s="46"/>
      <c r="D223" s="46"/>
      <c r="E223" s="47"/>
      <c r="F223" s="47"/>
      <c r="G223" s="46"/>
    </row>
    <row r="224" customFormat="false" ht="15" hidden="false" customHeight="false" outlineLevel="0" collapsed="false">
      <c r="A224" s="40"/>
      <c r="B224" s="47"/>
      <c r="C224" s="46"/>
      <c r="D224" s="46"/>
      <c r="E224" s="47"/>
      <c r="F224" s="47"/>
      <c r="G224" s="46"/>
    </row>
    <row r="225" customFormat="false" ht="15" hidden="false" customHeight="false" outlineLevel="0" collapsed="false">
      <c r="A225" s="40"/>
      <c r="B225" s="47"/>
      <c r="C225" s="46"/>
      <c r="D225" s="46"/>
      <c r="E225" s="47"/>
      <c r="F225" s="47"/>
      <c r="G225" s="46"/>
    </row>
    <row r="226" customFormat="false" ht="15" hidden="false" customHeight="false" outlineLevel="0" collapsed="false">
      <c r="A226" s="40"/>
      <c r="B226" s="47"/>
      <c r="C226" s="46"/>
      <c r="D226" s="46"/>
      <c r="E226" s="47"/>
      <c r="F226" s="47"/>
      <c r="G226" s="46"/>
    </row>
    <row r="227" customFormat="false" ht="15" hidden="false" customHeight="false" outlineLevel="0" collapsed="false">
      <c r="A227" s="40"/>
      <c r="B227" s="47"/>
      <c r="C227" s="46"/>
      <c r="D227" s="46"/>
      <c r="E227" s="47"/>
      <c r="F227" s="47"/>
      <c r="G227" s="46"/>
    </row>
    <row r="228" customFormat="false" ht="15" hidden="false" customHeight="false" outlineLevel="0" collapsed="false">
      <c r="A228" s="40"/>
      <c r="B228" s="47"/>
      <c r="C228" s="46"/>
      <c r="D228" s="46"/>
      <c r="E228" s="47"/>
      <c r="F228" s="47"/>
      <c r="G228" s="46"/>
    </row>
    <row r="229" customFormat="false" ht="15" hidden="false" customHeight="false" outlineLevel="0" collapsed="false">
      <c r="A229" s="40"/>
      <c r="B229" s="47"/>
      <c r="C229" s="46"/>
      <c r="D229" s="46"/>
      <c r="E229" s="47"/>
      <c r="F229" s="47"/>
      <c r="G229" s="46"/>
    </row>
    <row r="230" customFormat="false" ht="15" hidden="false" customHeight="false" outlineLevel="0" collapsed="false">
      <c r="A230" s="40"/>
      <c r="B230" s="47"/>
      <c r="C230" s="46"/>
      <c r="D230" s="46"/>
      <c r="E230" s="47"/>
      <c r="F230" s="47"/>
      <c r="G230" s="46"/>
    </row>
    <row r="231" customFormat="false" ht="15" hidden="false" customHeight="false" outlineLevel="0" collapsed="false">
      <c r="A231" s="40"/>
      <c r="B231" s="47"/>
      <c r="C231" s="46"/>
      <c r="D231" s="46"/>
      <c r="E231" s="47"/>
      <c r="F231" s="47"/>
      <c r="G231" s="46"/>
    </row>
    <row r="232" customFormat="false" ht="15" hidden="false" customHeight="false" outlineLevel="0" collapsed="false">
      <c r="A232" s="40"/>
      <c r="B232" s="47"/>
      <c r="C232" s="46"/>
      <c r="D232" s="46"/>
      <c r="E232" s="47"/>
      <c r="F232" s="47"/>
      <c r="G232" s="46"/>
    </row>
    <row r="233" customFormat="false" ht="15" hidden="false" customHeight="false" outlineLevel="0" collapsed="false">
      <c r="A233" s="40"/>
      <c r="B233" s="47"/>
      <c r="C233" s="46"/>
      <c r="D233" s="46"/>
      <c r="E233" s="47"/>
      <c r="F233" s="47"/>
      <c r="G233" s="46"/>
    </row>
    <row r="234" customFormat="false" ht="15" hidden="false" customHeight="false" outlineLevel="0" collapsed="false">
      <c r="A234" s="40"/>
      <c r="B234" s="47"/>
      <c r="C234" s="46"/>
      <c r="D234" s="46"/>
      <c r="E234" s="47"/>
      <c r="F234" s="47"/>
      <c r="G234" s="46"/>
    </row>
    <row r="235" customFormat="false" ht="15" hidden="false" customHeight="false" outlineLevel="0" collapsed="false">
      <c r="A235" s="40"/>
      <c r="B235" s="47"/>
      <c r="C235" s="46"/>
      <c r="D235" s="46"/>
      <c r="E235" s="47"/>
      <c r="F235" s="47"/>
      <c r="G235" s="46"/>
    </row>
    <row r="236" customFormat="false" ht="15" hidden="false" customHeight="false" outlineLevel="0" collapsed="false">
      <c r="A236" s="40"/>
      <c r="B236" s="47"/>
      <c r="C236" s="46"/>
      <c r="D236" s="46"/>
      <c r="E236" s="47"/>
      <c r="F236" s="47"/>
      <c r="G236" s="46"/>
    </row>
    <row r="237" customFormat="false" ht="15" hidden="false" customHeight="false" outlineLevel="0" collapsed="false">
      <c r="A237" s="40"/>
      <c r="B237" s="47"/>
      <c r="C237" s="46"/>
      <c r="D237" s="46"/>
      <c r="E237" s="47"/>
      <c r="F237" s="47"/>
      <c r="G237" s="46"/>
    </row>
    <row r="238" customFormat="false" ht="15" hidden="false" customHeight="false" outlineLevel="0" collapsed="false">
      <c r="A238" s="40"/>
      <c r="B238" s="47"/>
      <c r="C238" s="46"/>
      <c r="D238" s="46"/>
      <c r="E238" s="47"/>
      <c r="F238" s="47"/>
      <c r="G238" s="46"/>
    </row>
    <row r="239" customFormat="false" ht="15" hidden="false" customHeight="false" outlineLevel="0" collapsed="false">
      <c r="A239" s="40"/>
      <c r="B239" s="47"/>
      <c r="C239" s="46"/>
      <c r="D239" s="46"/>
      <c r="E239" s="47"/>
      <c r="F239" s="47"/>
      <c r="G239" s="46"/>
    </row>
    <row r="240" customFormat="false" ht="15" hidden="false" customHeight="false" outlineLevel="0" collapsed="false">
      <c r="A240" s="40"/>
      <c r="B240" s="47"/>
      <c r="C240" s="46"/>
      <c r="D240" s="46"/>
      <c r="E240" s="47"/>
      <c r="F240" s="47"/>
      <c r="G240" s="46"/>
    </row>
    <row r="241" customFormat="false" ht="15" hidden="false" customHeight="false" outlineLevel="0" collapsed="false">
      <c r="A241" s="40"/>
      <c r="B241" s="47"/>
      <c r="C241" s="46"/>
      <c r="D241" s="46"/>
      <c r="E241" s="47"/>
      <c r="F241" s="47"/>
      <c r="G241" s="46"/>
    </row>
    <row r="242" customFormat="false" ht="15" hidden="false" customHeight="false" outlineLevel="0" collapsed="false">
      <c r="A242" s="40"/>
      <c r="B242" s="47"/>
      <c r="C242" s="46"/>
      <c r="D242" s="46"/>
      <c r="E242" s="47"/>
      <c r="F242" s="47"/>
      <c r="G242" s="46"/>
    </row>
    <row r="243" customFormat="false" ht="15" hidden="false" customHeight="false" outlineLevel="0" collapsed="false">
      <c r="A243" s="40"/>
      <c r="B243" s="47"/>
      <c r="C243" s="46"/>
      <c r="D243" s="46"/>
      <c r="E243" s="47"/>
      <c r="F243" s="47"/>
      <c r="G243" s="46"/>
    </row>
    <row r="244" customFormat="false" ht="15" hidden="false" customHeight="false" outlineLevel="0" collapsed="false">
      <c r="A244" s="40"/>
      <c r="B244" s="47"/>
      <c r="C244" s="46"/>
      <c r="D244" s="46"/>
      <c r="E244" s="47"/>
      <c r="F244" s="47"/>
      <c r="G244" s="46"/>
    </row>
    <row r="245" customFormat="false" ht="15" hidden="false" customHeight="false" outlineLevel="0" collapsed="false">
      <c r="A245" s="40"/>
      <c r="B245" s="47"/>
      <c r="C245" s="46"/>
      <c r="D245" s="46"/>
      <c r="E245" s="47"/>
      <c r="F245" s="47"/>
      <c r="G245" s="46"/>
    </row>
    <row r="246" customFormat="false" ht="15" hidden="false" customHeight="false" outlineLevel="0" collapsed="false">
      <c r="A246" s="40"/>
      <c r="B246" s="47"/>
      <c r="C246" s="46"/>
      <c r="D246" s="46"/>
      <c r="E246" s="47"/>
      <c r="F246" s="47"/>
      <c r="G246" s="46"/>
    </row>
    <row r="247" customFormat="false" ht="15" hidden="false" customHeight="false" outlineLevel="0" collapsed="false">
      <c r="A247" s="40"/>
      <c r="B247" s="47"/>
      <c r="C247" s="46"/>
      <c r="D247" s="46"/>
      <c r="E247" s="47"/>
      <c r="F247" s="47"/>
      <c r="G247" s="46"/>
    </row>
    <row r="248" customFormat="false" ht="15" hidden="false" customHeight="false" outlineLevel="0" collapsed="false">
      <c r="A248" s="40"/>
      <c r="B248" s="47"/>
      <c r="C248" s="46"/>
      <c r="D248" s="46"/>
      <c r="E248" s="47"/>
      <c r="F248" s="47"/>
      <c r="G248" s="46"/>
    </row>
    <row r="249" customFormat="false" ht="15" hidden="false" customHeight="false" outlineLevel="0" collapsed="false">
      <c r="A249" s="40"/>
      <c r="B249" s="47"/>
      <c r="C249" s="46"/>
      <c r="D249" s="46"/>
      <c r="E249" s="47"/>
      <c r="F249" s="47"/>
      <c r="G249" s="46"/>
    </row>
    <row r="250" customFormat="false" ht="15" hidden="false" customHeight="false" outlineLevel="0" collapsed="false">
      <c r="A250" s="40"/>
      <c r="B250" s="47"/>
      <c r="C250" s="46"/>
      <c r="D250" s="46"/>
      <c r="E250" s="47"/>
      <c r="F250" s="47"/>
      <c r="G250" s="46"/>
    </row>
    <row r="251" customFormat="false" ht="15" hidden="false" customHeight="false" outlineLevel="0" collapsed="false">
      <c r="A251" s="40"/>
      <c r="B251" s="47"/>
      <c r="C251" s="46"/>
      <c r="D251" s="46"/>
      <c r="E251" s="47"/>
      <c r="F251" s="47"/>
      <c r="G251" s="46"/>
    </row>
    <row r="252" customFormat="false" ht="15" hidden="false" customHeight="false" outlineLevel="0" collapsed="false">
      <c r="A252" s="40"/>
      <c r="B252" s="47"/>
      <c r="C252" s="46"/>
      <c r="D252" s="46"/>
      <c r="E252" s="47"/>
      <c r="F252" s="47"/>
      <c r="G252" s="46"/>
    </row>
    <row r="253" customFormat="false" ht="15" hidden="false" customHeight="false" outlineLevel="0" collapsed="false">
      <c r="A253" s="40"/>
      <c r="B253" s="47"/>
      <c r="C253" s="46"/>
      <c r="D253" s="46"/>
      <c r="E253" s="47"/>
      <c r="F253" s="47"/>
      <c r="G253" s="46"/>
    </row>
    <row r="254" customFormat="false" ht="15" hidden="false" customHeight="false" outlineLevel="0" collapsed="false">
      <c r="A254" s="40"/>
      <c r="B254" s="47"/>
      <c r="C254" s="46"/>
      <c r="D254" s="46"/>
      <c r="E254" s="47"/>
      <c r="F254" s="47"/>
      <c r="G254" s="46"/>
    </row>
    <row r="255" customFormat="false" ht="15" hidden="false" customHeight="false" outlineLevel="0" collapsed="false">
      <c r="A255" s="40"/>
      <c r="B255" s="47"/>
      <c r="C255" s="46"/>
      <c r="D255" s="46"/>
      <c r="E255" s="47"/>
      <c r="F255" s="47"/>
      <c r="G255" s="46"/>
    </row>
    <row r="256" customFormat="false" ht="15" hidden="false" customHeight="false" outlineLevel="0" collapsed="false">
      <c r="A256" s="40"/>
      <c r="B256" s="47"/>
      <c r="C256" s="46"/>
      <c r="D256" s="46"/>
      <c r="E256" s="47"/>
      <c r="F256" s="47"/>
      <c r="G256" s="46"/>
    </row>
    <row r="257" customFormat="false" ht="15" hidden="false" customHeight="false" outlineLevel="0" collapsed="false">
      <c r="A257" s="40"/>
      <c r="B257" s="47"/>
      <c r="C257" s="46"/>
      <c r="D257" s="46"/>
      <c r="E257" s="47"/>
      <c r="F257" s="47"/>
      <c r="G257" s="46"/>
    </row>
    <row r="258" customFormat="false" ht="15" hidden="false" customHeight="false" outlineLevel="0" collapsed="false">
      <c r="A258" s="40"/>
      <c r="B258" s="47"/>
      <c r="C258" s="46"/>
      <c r="D258" s="46"/>
      <c r="E258" s="47"/>
      <c r="F258" s="47"/>
      <c r="G258" s="46"/>
    </row>
    <row r="259" customFormat="false" ht="15" hidden="false" customHeight="false" outlineLevel="0" collapsed="false">
      <c r="A259" s="40"/>
      <c r="B259" s="47"/>
      <c r="C259" s="46"/>
      <c r="D259" s="46"/>
      <c r="E259" s="47"/>
      <c r="F259" s="47"/>
      <c r="G259" s="46"/>
    </row>
    <row r="260" customFormat="false" ht="15" hidden="false" customHeight="false" outlineLevel="0" collapsed="false">
      <c r="A260" s="40"/>
      <c r="B260" s="47"/>
      <c r="C260" s="46"/>
      <c r="D260" s="46"/>
      <c r="E260" s="47"/>
      <c r="F260" s="47"/>
      <c r="G260" s="46"/>
    </row>
    <row r="261" customFormat="false" ht="15" hidden="false" customHeight="false" outlineLevel="0" collapsed="false">
      <c r="A261" s="40"/>
      <c r="B261" s="47"/>
      <c r="C261" s="46"/>
      <c r="D261" s="46"/>
      <c r="E261" s="47"/>
      <c r="F261" s="47"/>
      <c r="G261" s="46"/>
    </row>
    <row r="262" customFormat="false" ht="15" hidden="false" customHeight="false" outlineLevel="0" collapsed="false">
      <c r="A262" s="40"/>
      <c r="B262" s="47"/>
      <c r="C262" s="46"/>
      <c r="D262" s="46"/>
      <c r="E262" s="47"/>
      <c r="F262" s="47"/>
      <c r="G262" s="46"/>
    </row>
    <row r="263" customFormat="false" ht="15" hidden="false" customHeight="false" outlineLevel="0" collapsed="false">
      <c r="A263" s="40"/>
      <c r="B263" s="47"/>
      <c r="C263" s="46"/>
      <c r="D263" s="46"/>
      <c r="E263" s="47"/>
      <c r="F263" s="47"/>
      <c r="G263" s="46"/>
    </row>
    <row r="264" customFormat="false" ht="15" hidden="false" customHeight="false" outlineLevel="0" collapsed="false">
      <c r="A264" s="40"/>
      <c r="B264" s="47"/>
      <c r="C264" s="46"/>
      <c r="D264" s="46"/>
      <c r="E264" s="47"/>
      <c r="F264" s="47"/>
      <c r="G264" s="46"/>
    </row>
    <row r="265" customFormat="false" ht="15" hidden="false" customHeight="false" outlineLevel="0" collapsed="false">
      <c r="A265" s="40"/>
      <c r="B265" s="47"/>
      <c r="C265" s="46"/>
      <c r="D265" s="46"/>
      <c r="E265" s="47"/>
      <c r="F265" s="47"/>
      <c r="G265" s="46"/>
    </row>
    <row r="266" customFormat="false" ht="15" hidden="false" customHeight="false" outlineLevel="0" collapsed="false">
      <c r="A266" s="40"/>
      <c r="B266" s="47"/>
      <c r="C266" s="46"/>
      <c r="D266" s="46"/>
      <c r="E266" s="47"/>
      <c r="F266" s="47"/>
      <c r="G266" s="46"/>
    </row>
    <row r="267" customFormat="false" ht="15" hidden="false" customHeight="false" outlineLevel="0" collapsed="false">
      <c r="A267" s="40"/>
      <c r="B267" s="47"/>
      <c r="C267" s="46"/>
      <c r="D267" s="46"/>
      <c r="E267" s="47"/>
      <c r="F267" s="47"/>
      <c r="G267" s="46"/>
    </row>
    <row r="268" customFormat="false" ht="15" hidden="false" customHeight="false" outlineLevel="0" collapsed="false">
      <c r="A268" s="40"/>
      <c r="B268" s="47"/>
      <c r="C268" s="46"/>
      <c r="D268" s="46"/>
      <c r="E268" s="47"/>
      <c r="F268" s="47"/>
      <c r="G268" s="46"/>
    </row>
    <row r="269" customFormat="false" ht="15" hidden="false" customHeight="false" outlineLevel="0" collapsed="false">
      <c r="A269" s="40"/>
      <c r="B269" s="47"/>
      <c r="C269" s="46"/>
      <c r="D269" s="46"/>
      <c r="E269" s="47"/>
      <c r="F269" s="47"/>
      <c r="G269" s="46"/>
    </row>
    <row r="270" customFormat="false" ht="15" hidden="false" customHeight="false" outlineLevel="0" collapsed="false">
      <c r="A270" s="40"/>
      <c r="B270" s="47"/>
      <c r="C270" s="46"/>
      <c r="D270" s="46"/>
      <c r="E270" s="47"/>
      <c r="F270" s="47"/>
      <c r="G270" s="46"/>
    </row>
    <row r="271" customFormat="false" ht="15" hidden="false" customHeight="false" outlineLevel="0" collapsed="false">
      <c r="A271" s="40"/>
      <c r="B271" s="47"/>
      <c r="C271" s="46"/>
      <c r="D271" s="46"/>
      <c r="E271" s="47"/>
      <c r="F271" s="47"/>
      <c r="G271" s="46"/>
    </row>
    <row r="272" customFormat="false" ht="15" hidden="false" customHeight="false" outlineLevel="0" collapsed="false">
      <c r="A272" s="40"/>
      <c r="B272" s="47"/>
      <c r="C272" s="46"/>
      <c r="D272" s="46"/>
      <c r="E272" s="47"/>
      <c r="F272" s="47"/>
      <c r="G272" s="46"/>
    </row>
    <row r="273" customFormat="false" ht="15" hidden="false" customHeight="false" outlineLevel="0" collapsed="false">
      <c r="A273" s="40"/>
      <c r="B273" s="47"/>
      <c r="C273" s="46"/>
      <c r="D273" s="46"/>
      <c r="E273" s="47"/>
      <c r="F273" s="47"/>
      <c r="G273" s="46"/>
    </row>
    <row r="274" customFormat="false" ht="15" hidden="false" customHeight="false" outlineLevel="0" collapsed="false">
      <c r="A274" s="40"/>
      <c r="B274" s="47"/>
      <c r="C274" s="46"/>
      <c r="D274" s="46"/>
      <c r="E274" s="47"/>
      <c r="F274" s="47"/>
      <c r="G274" s="46"/>
    </row>
    <row r="275" customFormat="false" ht="15" hidden="false" customHeight="false" outlineLevel="0" collapsed="false">
      <c r="A275" s="40"/>
      <c r="B275" s="47"/>
      <c r="C275" s="46"/>
      <c r="D275" s="46"/>
      <c r="E275" s="47"/>
      <c r="F275" s="47"/>
      <c r="G275" s="46"/>
    </row>
    <row r="276" customFormat="false" ht="15" hidden="false" customHeight="false" outlineLevel="0" collapsed="false">
      <c r="A276" s="40"/>
      <c r="B276" s="47"/>
      <c r="C276" s="46"/>
      <c r="D276" s="46"/>
      <c r="E276" s="47"/>
      <c r="F276" s="47"/>
      <c r="G276" s="46"/>
    </row>
    <row r="277" customFormat="false" ht="15" hidden="false" customHeight="false" outlineLevel="0" collapsed="false">
      <c r="A277" s="40"/>
      <c r="B277" s="47"/>
      <c r="C277" s="46"/>
      <c r="D277" s="46"/>
      <c r="E277" s="47"/>
      <c r="F277" s="47"/>
      <c r="G277" s="46"/>
    </row>
    <row r="278" customFormat="false" ht="15" hidden="false" customHeight="false" outlineLevel="0" collapsed="false">
      <c r="A278" s="40"/>
      <c r="B278" s="47"/>
      <c r="C278" s="46"/>
      <c r="D278" s="46"/>
      <c r="E278" s="47"/>
      <c r="F278" s="47"/>
      <c r="G278" s="46"/>
    </row>
    <row r="279" customFormat="false" ht="15" hidden="false" customHeight="false" outlineLevel="0" collapsed="false">
      <c r="A279" s="40"/>
      <c r="B279" s="47"/>
      <c r="C279" s="46"/>
      <c r="D279" s="46"/>
      <c r="E279" s="47"/>
      <c r="F279" s="47"/>
      <c r="G279" s="46"/>
    </row>
    <row r="280" customFormat="false" ht="15" hidden="false" customHeight="false" outlineLevel="0" collapsed="false">
      <c r="A280" s="40"/>
      <c r="B280" s="47"/>
      <c r="C280" s="46"/>
      <c r="D280" s="46"/>
      <c r="E280" s="47"/>
      <c r="F280" s="47"/>
      <c r="G280" s="46"/>
    </row>
    <row r="281" customFormat="false" ht="15" hidden="false" customHeight="false" outlineLevel="0" collapsed="false">
      <c r="A281" s="40"/>
      <c r="B281" s="47"/>
      <c r="C281" s="46"/>
      <c r="D281" s="46"/>
      <c r="E281" s="47"/>
      <c r="F281" s="47"/>
      <c r="G281" s="46"/>
    </row>
    <row r="282" customFormat="false" ht="15" hidden="false" customHeight="false" outlineLevel="0" collapsed="false">
      <c r="A282" s="40"/>
      <c r="B282" s="47"/>
      <c r="C282" s="46"/>
      <c r="D282" s="46"/>
      <c r="E282" s="47"/>
      <c r="F282" s="47"/>
      <c r="G282" s="46"/>
    </row>
    <row r="283" customFormat="false" ht="15" hidden="false" customHeight="false" outlineLevel="0" collapsed="false">
      <c r="A283" s="40"/>
      <c r="B283" s="47"/>
      <c r="C283" s="46"/>
      <c r="D283" s="46"/>
      <c r="E283" s="47"/>
      <c r="F283" s="47"/>
      <c r="G283" s="46"/>
    </row>
    <row r="284" customFormat="false" ht="15" hidden="false" customHeight="false" outlineLevel="0" collapsed="false">
      <c r="A284" s="40"/>
      <c r="B284" s="47"/>
      <c r="C284" s="46"/>
      <c r="D284" s="46"/>
      <c r="E284" s="47"/>
      <c r="F284" s="47"/>
      <c r="G284" s="46"/>
    </row>
    <row r="285" customFormat="false" ht="15" hidden="false" customHeight="false" outlineLevel="0" collapsed="false">
      <c r="A285" s="40"/>
      <c r="B285" s="47"/>
      <c r="C285" s="46"/>
      <c r="D285" s="46"/>
      <c r="E285" s="47"/>
      <c r="F285" s="47"/>
      <c r="G285" s="46"/>
    </row>
    <row r="286" customFormat="false" ht="15" hidden="false" customHeight="false" outlineLevel="0" collapsed="false">
      <c r="A286" s="40"/>
      <c r="B286" s="47"/>
      <c r="C286" s="46"/>
      <c r="D286" s="46"/>
      <c r="E286" s="47"/>
      <c r="F286" s="47"/>
      <c r="G286" s="46"/>
    </row>
    <row r="287" customFormat="false" ht="15" hidden="false" customHeight="false" outlineLevel="0" collapsed="false">
      <c r="A287" s="40"/>
      <c r="B287" s="47"/>
      <c r="C287" s="46"/>
      <c r="D287" s="46"/>
      <c r="E287" s="47"/>
      <c r="F287" s="47"/>
      <c r="G287" s="46"/>
    </row>
    <row r="288" customFormat="false" ht="15" hidden="false" customHeight="false" outlineLevel="0" collapsed="false">
      <c r="A288" s="40"/>
      <c r="B288" s="47"/>
      <c r="C288" s="46"/>
      <c r="D288" s="46"/>
      <c r="E288" s="47"/>
      <c r="F288" s="47"/>
      <c r="G288" s="46"/>
    </row>
    <row r="289" customFormat="false" ht="15" hidden="false" customHeight="false" outlineLevel="0" collapsed="false">
      <c r="A289" s="40"/>
      <c r="B289" s="47"/>
      <c r="C289" s="46"/>
      <c r="D289" s="46"/>
      <c r="E289" s="47"/>
      <c r="F289" s="47"/>
      <c r="G289" s="46"/>
    </row>
    <row r="290" customFormat="false" ht="15" hidden="false" customHeight="false" outlineLevel="0" collapsed="false">
      <c r="A290" s="40"/>
      <c r="B290" s="47"/>
      <c r="C290" s="46"/>
      <c r="D290" s="46"/>
      <c r="E290" s="47"/>
      <c r="F290" s="47"/>
      <c r="G290" s="46"/>
    </row>
    <row r="291" customFormat="false" ht="15" hidden="false" customHeight="false" outlineLevel="0" collapsed="false">
      <c r="A291" s="40"/>
      <c r="B291" s="47"/>
      <c r="C291" s="46"/>
      <c r="D291" s="46"/>
      <c r="E291" s="47"/>
      <c r="F291" s="47"/>
      <c r="G291" s="46"/>
    </row>
    <row r="292" customFormat="false" ht="15" hidden="false" customHeight="false" outlineLevel="0" collapsed="false">
      <c r="A292" s="40"/>
      <c r="B292" s="47"/>
      <c r="C292" s="46"/>
      <c r="D292" s="46"/>
      <c r="E292" s="47"/>
      <c r="F292" s="47"/>
      <c r="G292" s="46"/>
    </row>
    <row r="293" customFormat="false" ht="15" hidden="false" customHeight="false" outlineLevel="0" collapsed="false">
      <c r="A293" s="40"/>
      <c r="B293" s="47"/>
      <c r="C293" s="46"/>
      <c r="D293" s="46"/>
      <c r="E293" s="47"/>
      <c r="F293" s="47"/>
      <c r="G293" s="46"/>
    </row>
    <row r="294" customFormat="false" ht="15" hidden="false" customHeight="false" outlineLevel="0" collapsed="false">
      <c r="A294" s="40"/>
      <c r="B294" s="47"/>
      <c r="C294" s="46"/>
      <c r="D294" s="46"/>
      <c r="E294" s="47"/>
      <c r="F294" s="47"/>
      <c r="G294" s="46"/>
    </row>
    <row r="295" customFormat="false" ht="15" hidden="false" customHeight="false" outlineLevel="0" collapsed="false">
      <c r="A295" s="40"/>
      <c r="B295" s="47"/>
      <c r="C295" s="46"/>
      <c r="D295" s="46"/>
      <c r="E295" s="47"/>
      <c r="F295" s="47"/>
      <c r="G295" s="46"/>
    </row>
    <row r="296" customFormat="false" ht="15" hidden="false" customHeight="false" outlineLevel="0" collapsed="false">
      <c r="A296" s="40"/>
      <c r="B296" s="47"/>
      <c r="C296" s="46"/>
      <c r="D296" s="46"/>
      <c r="E296" s="47"/>
      <c r="F296" s="47"/>
      <c r="G296" s="46"/>
    </row>
    <row r="297" customFormat="false" ht="15" hidden="false" customHeight="false" outlineLevel="0" collapsed="false">
      <c r="A297" s="40"/>
      <c r="B297" s="47"/>
      <c r="C297" s="46"/>
      <c r="D297" s="46"/>
      <c r="E297" s="47"/>
      <c r="F297" s="47"/>
      <c r="G297" s="46"/>
    </row>
    <row r="298" customFormat="false" ht="15" hidden="false" customHeight="false" outlineLevel="0" collapsed="false">
      <c r="A298" s="40"/>
      <c r="B298" s="47"/>
      <c r="C298" s="46"/>
      <c r="D298" s="46"/>
      <c r="E298" s="47"/>
      <c r="F298" s="47"/>
      <c r="G298" s="46"/>
    </row>
    <row r="299" customFormat="false" ht="15" hidden="false" customHeight="false" outlineLevel="0" collapsed="false">
      <c r="A299" s="40"/>
      <c r="B299" s="47"/>
      <c r="C299" s="46"/>
      <c r="D299" s="46"/>
      <c r="E299" s="47"/>
      <c r="F299" s="47"/>
      <c r="G299" s="46"/>
    </row>
    <row r="300" customFormat="false" ht="15" hidden="false" customHeight="false" outlineLevel="0" collapsed="false">
      <c r="A300" s="40"/>
      <c r="B300" s="47"/>
      <c r="C300" s="46"/>
      <c r="D300" s="46"/>
      <c r="E300" s="47"/>
      <c r="F300" s="47"/>
      <c r="G300" s="46"/>
    </row>
    <row r="301" customFormat="false" ht="15" hidden="false" customHeight="false" outlineLevel="0" collapsed="false">
      <c r="A301" s="40"/>
      <c r="B301" s="47"/>
      <c r="C301" s="46"/>
      <c r="D301" s="46"/>
      <c r="E301" s="47"/>
      <c r="F301" s="47"/>
      <c r="G301" s="46"/>
    </row>
    <row r="302" customFormat="false" ht="15" hidden="false" customHeight="false" outlineLevel="0" collapsed="false">
      <c r="A302" s="40"/>
      <c r="B302" s="47"/>
      <c r="C302" s="46"/>
      <c r="D302" s="46"/>
      <c r="E302" s="47"/>
      <c r="F302" s="47"/>
      <c r="G302" s="46"/>
    </row>
    <row r="303" customFormat="false" ht="15" hidden="false" customHeight="false" outlineLevel="0" collapsed="false">
      <c r="A303" s="40"/>
      <c r="B303" s="47"/>
      <c r="C303" s="46"/>
      <c r="D303" s="46"/>
      <c r="E303" s="47"/>
      <c r="F303" s="47"/>
      <c r="G303" s="46"/>
    </row>
    <row r="304" customFormat="false" ht="15" hidden="false" customHeight="false" outlineLevel="0" collapsed="false">
      <c r="A304" s="40"/>
      <c r="B304" s="47"/>
      <c r="C304" s="46"/>
      <c r="D304" s="46"/>
      <c r="E304" s="47"/>
      <c r="F304" s="47"/>
      <c r="G304" s="46"/>
    </row>
    <row r="305" customFormat="false" ht="15" hidden="false" customHeight="false" outlineLevel="0" collapsed="false">
      <c r="A305" s="40"/>
      <c r="B305" s="47"/>
      <c r="C305" s="46"/>
      <c r="D305" s="46"/>
      <c r="E305" s="47"/>
      <c r="F305" s="47"/>
      <c r="G305" s="46"/>
    </row>
  </sheetData>
  <autoFilter ref="A5:G305"/>
  <dataValidations count="2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false" error="Please choose a value from the dropdown (list 'Lesson Status' on the Lists sheet)." errorStyle="stop" errorTitle="Pick from the list" operator="between" showDropDown="false" showErrorMessage="true" showInputMessage="false" sqref="F6:F305" type="list">
      <formula1>Lists!$K$2:$K$40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2" t="s">
        <v>516</v>
      </c>
    </row>
    <row r="2" customFormat="false" ht="15" hidden="false" customHeight="true" outlineLevel="0" collapsed="false">
      <c r="A2" s="23" t="s">
        <v>517</v>
      </c>
    </row>
    <row r="3" customFormat="false" ht="15" hidden="false" customHeight="true" outlineLevel="0" collapsed="false">
      <c r="A3" s="35" t="s">
        <v>518</v>
      </c>
    </row>
    <row r="5" customFormat="false" ht="15" hidden="false" customHeight="true" outlineLevel="0" collapsed="false">
      <c r="A5" s="51" t="s">
        <v>505</v>
      </c>
      <c r="B5" s="51" t="s">
        <v>484</v>
      </c>
    </row>
    <row r="6" customFormat="false" ht="15" hidden="false" customHeight="true" outlineLevel="0" collapsed="false">
      <c r="A6" s="52" t="n">
        <v>46023</v>
      </c>
      <c r="B6" s="11" t="s">
        <v>519</v>
      </c>
    </row>
    <row r="7" customFormat="false" ht="15" hidden="false" customHeight="true" outlineLevel="0" collapsed="false">
      <c r="A7" s="52" t="n">
        <v>46115</v>
      </c>
      <c r="B7" s="11" t="s">
        <v>520</v>
      </c>
    </row>
    <row r="8" customFormat="false" ht="15" hidden="false" customHeight="true" outlineLevel="0" collapsed="false">
      <c r="A8" s="52" t="n">
        <v>46118</v>
      </c>
      <c r="B8" s="11" t="s">
        <v>521</v>
      </c>
    </row>
    <row r="9" customFormat="false" ht="15" hidden="false" customHeight="true" outlineLevel="0" collapsed="false">
      <c r="A9" s="52" t="n">
        <v>46146</v>
      </c>
      <c r="B9" s="11" t="s">
        <v>522</v>
      </c>
    </row>
    <row r="10" customFormat="false" ht="15" hidden="false" customHeight="true" outlineLevel="0" collapsed="false">
      <c r="A10" s="52" t="n">
        <v>46167</v>
      </c>
      <c r="B10" s="11" t="s">
        <v>523</v>
      </c>
    </row>
    <row r="11" customFormat="false" ht="15" hidden="false" customHeight="true" outlineLevel="0" collapsed="false">
      <c r="A11" s="52" t="n">
        <v>46265</v>
      </c>
      <c r="B11" s="11" t="s">
        <v>524</v>
      </c>
    </row>
    <row r="12" customFormat="false" ht="15" hidden="false" customHeight="true" outlineLevel="0" collapsed="false">
      <c r="A12" s="52" t="n">
        <v>46381</v>
      </c>
      <c r="B12" s="11" t="s">
        <v>525</v>
      </c>
    </row>
    <row r="13" customFormat="false" ht="15" hidden="false" customHeight="true" outlineLevel="0" collapsed="false">
      <c r="A13" s="52" t="n">
        <v>46384</v>
      </c>
      <c r="B13" s="11" t="s">
        <v>526</v>
      </c>
    </row>
    <row r="14" customFormat="false" ht="15" hidden="false" customHeight="true" outlineLevel="0" collapsed="false">
      <c r="A14" s="52" t="n">
        <v>46388</v>
      </c>
      <c r="B14" s="11" t="s">
        <v>519</v>
      </c>
    </row>
    <row r="15" customFormat="false" ht="15" hidden="false" customHeight="true" outlineLevel="0" collapsed="false">
      <c r="A15" s="52" t="n">
        <v>46472</v>
      </c>
      <c r="B15" s="11" t="s">
        <v>520</v>
      </c>
    </row>
    <row r="16" customFormat="false" ht="15" hidden="false" customHeight="true" outlineLevel="0" collapsed="false">
      <c r="A16" s="52" t="n">
        <v>46475</v>
      </c>
      <c r="B16" s="11" t="s">
        <v>521</v>
      </c>
    </row>
    <row r="17" customFormat="false" ht="15" hidden="false" customHeight="true" outlineLevel="0" collapsed="false">
      <c r="A17" s="52" t="n">
        <v>46510</v>
      </c>
      <c r="B17" s="11" t="s">
        <v>522</v>
      </c>
    </row>
    <row r="18" customFormat="false" ht="15" hidden="false" customHeight="true" outlineLevel="0" collapsed="false">
      <c r="A18" s="52" t="n">
        <v>46538</v>
      </c>
      <c r="B18" s="11" t="s">
        <v>523</v>
      </c>
    </row>
    <row r="19" customFormat="false" ht="15" hidden="false" customHeight="true" outlineLevel="0" collapsed="false">
      <c r="A19" s="52" t="n">
        <v>46629</v>
      </c>
      <c r="B19" s="11" t="s">
        <v>524</v>
      </c>
    </row>
    <row r="20" customFormat="false" ht="15" hidden="false" customHeight="true" outlineLevel="0" collapsed="false">
      <c r="A20" s="52" t="n">
        <v>46748</v>
      </c>
      <c r="B20" s="11" t="s">
        <v>527</v>
      </c>
    </row>
    <row r="21" customFormat="false" ht="15" hidden="false" customHeight="true" outlineLevel="0" collapsed="false">
      <c r="A21" s="52" t="n">
        <v>46749</v>
      </c>
      <c r="B21" s="11" t="s">
        <v>528</v>
      </c>
    </row>
    <row r="22" customFormat="false" ht="15" hidden="false" customHeight="true" outlineLevel="0" collapsed="false">
      <c r="A22" s="52"/>
      <c r="B22" s="11"/>
    </row>
    <row r="23" customFormat="false" ht="15" hidden="false" customHeight="true" outlineLevel="0" collapsed="false">
      <c r="A23" s="52"/>
      <c r="B23" s="11"/>
    </row>
    <row r="24" customFormat="false" ht="15" hidden="false" customHeight="true" outlineLevel="0" collapsed="false">
      <c r="A24" s="52"/>
      <c r="B24" s="11"/>
    </row>
    <row r="25" customFormat="false" ht="15" hidden="false" customHeight="true" outlineLevel="0" collapsed="false">
      <c r="A25" s="52"/>
      <c r="B25" s="11"/>
    </row>
    <row r="26" customFormat="false" ht="15" hidden="false" customHeight="true" outlineLevel="0" collapsed="false">
      <c r="A26" s="52"/>
      <c r="B26" s="11"/>
    </row>
    <row r="27" customFormat="false" ht="15" hidden="false" customHeight="true" outlineLevel="0" collapsed="false">
      <c r="A27" s="52"/>
      <c r="B27" s="11"/>
    </row>
    <row r="28" customFormat="false" ht="15" hidden="false" customHeight="true" outlineLevel="0" collapsed="false">
      <c r="A28" s="52"/>
      <c r="B28" s="11"/>
    </row>
    <row r="29" customFormat="false" ht="15" hidden="false" customHeight="true" outlineLevel="0" collapsed="false">
      <c r="A29" s="52"/>
      <c r="B29" s="11"/>
    </row>
    <row r="30" customFormat="false" ht="15" hidden="false" customHeight="true" outlineLevel="0" collapsed="false">
      <c r="A30" s="52"/>
      <c r="B30" s="11"/>
    </row>
    <row r="31" customFormat="false" ht="15" hidden="false" customHeight="true" outlineLevel="0" collapsed="false">
      <c r="A31" s="52"/>
      <c r="B31" s="11"/>
    </row>
    <row r="32" customFormat="false" ht="15" hidden="false" customHeight="true" outlineLevel="0" collapsed="false">
      <c r="A32" s="52"/>
      <c r="B32" s="11"/>
    </row>
    <row r="33" customFormat="false" ht="15" hidden="false" customHeight="true" outlineLevel="0" collapsed="false">
      <c r="A33" s="52"/>
      <c r="B33" s="11"/>
    </row>
    <row r="34" customFormat="false" ht="15" hidden="false" customHeight="true" outlineLevel="0" collapsed="false">
      <c r="A34" s="52"/>
      <c r="B34" s="11"/>
    </row>
    <row r="35" customFormat="false" ht="15" hidden="false" customHeight="true" outlineLevel="0" collapsed="false">
      <c r="A35" s="52"/>
      <c r="B35" s="11"/>
    </row>
    <row r="36" customFormat="false" ht="15" hidden="false" customHeight="true" outlineLevel="0" collapsed="false">
      <c r="A36" s="52"/>
      <c r="B36" s="11"/>
    </row>
    <row r="37" customFormat="false" ht="15" hidden="false" customHeight="true" outlineLevel="0" collapsed="false">
      <c r="A37" s="52"/>
      <c r="B37" s="11"/>
    </row>
    <row r="38" customFormat="false" ht="15" hidden="false" customHeight="true" outlineLevel="0" collapsed="false">
      <c r="A38" s="52"/>
      <c r="B38" s="11"/>
    </row>
    <row r="39" customFormat="false" ht="15" hidden="false" customHeight="true" outlineLevel="0" collapsed="false">
      <c r="A39" s="52"/>
      <c r="B39" s="11"/>
    </row>
    <row r="40" customFormat="false" ht="15" hidden="false" customHeight="true" outlineLevel="0" collapsed="false">
      <c r="A40" s="52"/>
      <c r="B40" s="11"/>
    </row>
    <row r="41" customFormat="false" ht="15" hidden="false" customHeight="true" outlineLevel="0" collapsed="false">
      <c r="A41" s="52"/>
      <c r="B41" s="11"/>
    </row>
    <row r="42" customFormat="false" ht="15" hidden="false" customHeight="true" outlineLevel="0" collapsed="false">
      <c r="A42" s="52"/>
      <c r="B42" s="11"/>
    </row>
    <row r="43" customFormat="false" ht="15" hidden="false" customHeight="true" outlineLevel="0" collapsed="false">
      <c r="A43" s="52"/>
      <c r="B43" s="11"/>
    </row>
    <row r="44" customFormat="false" ht="15" hidden="false" customHeight="true" outlineLevel="0" collapsed="false">
      <c r="A44" s="52"/>
      <c r="B44" s="11"/>
    </row>
    <row r="45" customFormat="false" ht="15" hidden="false" customHeight="true" outlineLevel="0" collapsed="false">
      <c r="A45" s="52"/>
      <c r="B45" s="11"/>
    </row>
    <row r="46" customFormat="false" ht="15" hidden="false" customHeight="true" outlineLevel="0" collapsed="false">
      <c r="A46" s="52"/>
      <c r="B46" s="11"/>
    </row>
    <row r="47" customFormat="false" ht="15" hidden="false" customHeight="true" outlineLevel="0" collapsed="false">
      <c r="A47" s="52"/>
      <c r="B47" s="11"/>
    </row>
    <row r="48" customFormat="false" ht="15" hidden="false" customHeight="true" outlineLevel="0" collapsed="false">
      <c r="A48" s="52"/>
      <c r="B48" s="11"/>
    </row>
    <row r="49" customFormat="false" ht="15" hidden="false" customHeight="true" outlineLevel="0" collapsed="false">
      <c r="A49" s="52"/>
      <c r="B49" s="11"/>
    </row>
    <row r="50" customFormat="false" ht="15" hidden="false" customHeight="true" outlineLevel="0" collapsed="false">
      <c r="A50" s="52"/>
      <c r="B50" s="11"/>
    </row>
    <row r="51" customFormat="false" ht="15" hidden="false" customHeight="true" outlineLevel="0" collapsed="false">
      <c r="A51" s="52"/>
      <c r="B51" s="11"/>
    </row>
    <row r="52" customFormat="false" ht="15" hidden="false" customHeight="true" outlineLevel="0" collapsed="false">
      <c r="A52" s="52"/>
      <c r="B52" s="11"/>
    </row>
    <row r="53" customFormat="false" ht="15" hidden="false" customHeight="true" outlineLevel="0" collapsed="false">
      <c r="A53" s="52"/>
      <c r="B53" s="11"/>
    </row>
    <row r="54" customFormat="false" ht="15" hidden="false" customHeight="true" outlineLevel="0" collapsed="false">
      <c r="A54" s="52"/>
      <c r="B54" s="11"/>
    </row>
    <row r="55" customFormat="false" ht="15" hidden="false" customHeight="true" outlineLevel="0" collapsed="false">
      <c r="A55" s="52"/>
      <c r="B55" s="11"/>
    </row>
    <row r="56" customFormat="false" ht="15" hidden="false" customHeight="true" outlineLevel="0" collapsed="false">
      <c r="A56" s="52"/>
      <c r="B56" s="11"/>
    </row>
    <row r="57" customFormat="false" ht="15" hidden="false" customHeight="true" outlineLevel="0" collapsed="false">
      <c r="A57" s="52"/>
      <c r="B57" s="11"/>
    </row>
    <row r="58" customFormat="false" ht="15" hidden="false" customHeight="true" outlineLevel="0" collapsed="false">
      <c r="A58" s="52"/>
      <c r="B58" s="11"/>
    </row>
    <row r="59" customFormat="false" ht="15" hidden="false" customHeight="true" outlineLevel="0" collapsed="false">
      <c r="A59" s="52"/>
      <c r="B59" s="11"/>
    </row>
    <row r="60" customFormat="false" ht="15" hidden="false" customHeight="true" outlineLevel="0" collapsed="false">
      <c r="A60" s="52"/>
      <c r="B60" s="11"/>
    </row>
  </sheetData>
  <autoFilter ref="A5:B60"/>
  <dataValidations count="1">
    <dataValidation allowBlank="true" error="Enter a real date." errorStyle="stop" errorTitle="Date expected" operator="greaterThanOrEqual" showDropDown="false" showErrorMessage="true" showInputMessage="false" sqref="A6:A60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1" width="18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15" hidden="false" customHeight="true" outlineLevel="0" collapsed="false">
      <c r="A1" s="39" t="s">
        <v>346</v>
      </c>
      <c r="B1" s="39" t="s">
        <v>347</v>
      </c>
      <c r="C1" s="39" t="s">
        <v>345</v>
      </c>
      <c r="D1" s="39" t="s">
        <v>529</v>
      </c>
      <c r="E1" s="39" t="s">
        <v>351</v>
      </c>
      <c r="F1" s="39" t="s">
        <v>530</v>
      </c>
      <c r="G1" s="39" t="s">
        <v>427</v>
      </c>
      <c r="H1" s="39" t="s">
        <v>531</v>
      </c>
      <c r="I1" s="39" t="s">
        <v>282</v>
      </c>
      <c r="J1" s="39" t="s">
        <v>532</v>
      </c>
      <c r="K1" s="39" t="s">
        <v>533</v>
      </c>
      <c r="L1" s="39" t="s">
        <v>281</v>
      </c>
      <c r="M1" s="39" t="s">
        <v>84</v>
      </c>
    </row>
    <row r="2" customFormat="false" ht="15" hidden="false" customHeight="true" outlineLevel="0" collapsed="false">
      <c r="A2" s="11" t="s">
        <v>381</v>
      </c>
      <c r="B2" s="11" t="s">
        <v>534</v>
      </c>
      <c r="C2" s="11" t="s">
        <v>298</v>
      </c>
      <c r="D2" s="11" t="s">
        <v>416</v>
      </c>
      <c r="E2" s="11" t="s">
        <v>362</v>
      </c>
      <c r="F2" s="11" t="s">
        <v>416</v>
      </c>
      <c r="G2" s="11" t="s">
        <v>63</v>
      </c>
      <c r="H2" s="11" t="s">
        <v>429</v>
      </c>
      <c r="I2" s="11" t="s">
        <v>293</v>
      </c>
      <c r="J2" s="11" t="s">
        <v>490</v>
      </c>
      <c r="K2" s="11" t="s">
        <v>416</v>
      </c>
      <c r="L2" s="11" t="s">
        <v>292</v>
      </c>
      <c r="M2" s="11" t="s">
        <v>475</v>
      </c>
    </row>
    <row r="3" customFormat="false" ht="15" hidden="false" customHeight="true" outlineLevel="0" collapsed="false">
      <c r="A3" s="11" t="s">
        <v>359</v>
      </c>
      <c r="B3" s="11" t="s">
        <v>535</v>
      </c>
      <c r="C3" s="11" t="s">
        <v>300</v>
      </c>
      <c r="D3" s="11" t="s">
        <v>392</v>
      </c>
      <c r="E3" s="11" t="s">
        <v>536</v>
      </c>
      <c r="F3" s="11" t="s">
        <v>407</v>
      </c>
      <c r="G3" s="11" t="s">
        <v>65</v>
      </c>
      <c r="H3" s="11" t="s">
        <v>436</v>
      </c>
      <c r="I3" s="11" t="s">
        <v>298</v>
      </c>
      <c r="J3" s="11" t="s">
        <v>537</v>
      </c>
      <c r="K3" s="11" t="s">
        <v>512</v>
      </c>
      <c r="L3" s="11" t="s">
        <v>309</v>
      </c>
      <c r="M3" s="11" t="s">
        <v>87</v>
      </c>
    </row>
    <row r="4" customFormat="false" ht="15" hidden="false" customHeight="true" outlineLevel="0" collapsed="false">
      <c r="A4" s="11" t="s">
        <v>367</v>
      </c>
      <c r="B4" s="11" t="s">
        <v>360</v>
      </c>
      <c r="C4" s="11" t="s">
        <v>538</v>
      </c>
      <c r="D4" s="11" t="s">
        <v>539</v>
      </c>
      <c r="E4" s="11"/>
      <c r="F4" s="11" t="s">
        <v>540</v>
      </c>
      <c r="G4" s="11" t="s">
        <v>67</v>
      </c>
      <c r="H4" s="11"/>
      <c r="I4" s="11" t="s">
        <v>300</v>
      </c>
      <c r="J4" s="11" t="s">
        <v>541</v>
      </c>
      <c r="K4" s="11"/>
      <c r="L4" s="11" t="s">
        <v>322</v>
      </c>
      <c r="M4" s="11" t="s">
        <v>542</v>
      </c>
    </row>
    <row r="5" customFormat="false" ht="15" hidden="false" customHeight="true" outlineLevel="0" collapsed="false">
      <c r="A5" s="11"/>
      <c r="B5" s="11" t="s">
        <v>372</v>
      </c>
      <c r="C5" s="11" t="s">
        <v>543</v>
      </c>
      <c r="D5" s="11" t="s">
        <v>377</v>
      </c>
      <c r="E5" s="11"/>
      <c r="F5" s="11"/>
      <c r="G5" s="11"/>
      <c r="H5" s="11"/>
      <c r="I5" s="11" t="s">
        <v>544</v>
      </c>
      <c r="J5" s="11"/>
      <c r="K5" s="11"/>
      <c r="L5" s="11" t="s">
        <v>333</v>
      </c>
      <c r="M5" s="11" t="s">
        <v>93</v>
      </c>
    </row>
    <row r="6" customFormat="false" ht="15" hidden="false" customHeight="true" outlineLevel="0" collapsed="false">
      <c r="A6" s="11"/>
      <c r="B6" s="11" t="s">
        <v>368</v>
      </c>
      <c r="C6" s="11" t="s">
        <v>544</v>
      </c>
      <c r="D6" s="11" t="s">
        <v>361</v>
      </c>
      <c r="E6" s="11"/>
      <c r="F6" s="11"/>
      <c r="G6" s="11"/>
      <c r="H6" s="11"/>
      <c r="I6" s="11" t="s">
        <v>538</v>
      </c>
      <c r="J6" s="11"/>
      <c r="K6" s="11"/>
      <c r="L6" s="11" t="s">
        <v>406</v>
      </c>
      <c r="M6" s="11" t="s">
        <v>96</v>
      </c>
    </row>
    <row r="7" customFormat="false" ht="15" hidden="false" customHeight="true" outlineLevel="0" collapsed="false">
      <c r="A7" s="11"/>
      <c r="B7" s="11" t="s">
        <v>376</v>
      </c>
      <c r="C7" s="11" t="s">
        <v>536</v>
      </c>
      <c r="D7" s="11" t="s">
        <v>545</v>
      </c>
      <c r="E7" s="11"/>
      <c r="F7" s="11"/>
      <c r="G7" s="11"/>
      <c r="H7" s="11"/>
      <c r="I7" s="11" t="s">
        <v>543</v>
      </c>
      <c r="J7" s="11"/>
      <c r="K7" s="11"/>
      <c r="L7" s="11"/>
      <c r="M7" s="11" t="s">
        <v>546</v>
      </c>
    </row>
    <row r="8" customFormat="false" ht="15" hidden="false" customHeight="true" outlineLevel="0" collapsed="false">
      <c r="A8" s="11"/>
      <c r="B8" s="11"/>
      <c r="C8" s="11"/>
      <c r="D8" s="11" t="s">
        <v>547</v>
      </c>
      <c r="E8" s="11"/>
      <c r="F8" s="11"/>
      <c r="G8" s="11"/>
      <c r="H8" s="11"/>
      <c r="I8" s="11" t="s">
        <v>548</v>
      </c>
      <c r="J8" s="11"/>
      <c r="K8" s="11"/>
      <c r="L8" s="11"/>
      <c r="M8" s="11" t="s">
        <v>102</v>
      </c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105</v>
      </c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108</v>
      </c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549</v>
      </c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 t="s">
        <v>114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 t="s">
        <v>117</v>
      </c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 t="s">
        <v>119</v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 t="s">
        <v>121</v>
      </c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">
        <v>124</v>
      </c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">
        <v>126</v>
      </c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2" customFormat="false" ht="15" hidden="false" customHeight="true" outlineLevel="0" collapsed="false">
      <c r="A42" s="53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2026-10-02T13:49:09Z</dcterms:created>
  <dc:creator>openpyxl</dc:creator>
  <dc:description/>
  <dc:language>en-IN</dc:language>
  <cp:lastModifiedBy/>
  <dcterms:modified xsi:type="dcterms:W3CDTF">2026-10-02T13:59:16Z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