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<sst xmlns="http://schemas.openxmlformats.org/spreadsheetml/2006/main" count="93" uniqueCount="76">
  <si>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</si>
  <si>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</si>
  <si>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</si>
  <si>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</si>
  <si>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</si>
  <si>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</si>
  <si>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</si>
  <si>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</si>
  <si>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</si>
  <si>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</si>
  <si>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</si>
  <si>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</si>
  <si>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</si>
  <si>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</si>
  <si>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</si>
  <si>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</si>
  <si>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</si>
  <si>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</si>
  <si>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</si>
  <si>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</si>
  <si>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</si>
  <si>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</si>
  <si>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Making Tax Digital</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</si>
  <si>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</si>
  <si>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</si>
  <si>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</si>
  <si>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</si>
  <si>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</si>
  <si>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</si>
  <si>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</si>
  <si>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</si>
  <si>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</si>
  <si>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</si>
  <si>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</si>
  <si>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</si>
  <si>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</si>
  <si>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</si>
  <si>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</si>
  <si>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</si>
  <si>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</si>
  <si>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</si>
  <si>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</si>
  <si>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</si>
  <si>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</si>
  <si>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</si>
  <si>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</si>
  <si>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</si>
  <si>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</si>
  <si>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</si>
  <si>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</si>
  <si>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</si>
  <si>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</si>
  <si>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</si>
  <si>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</si>
  <si>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</si>
  <si>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</si>
  <si>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</si>
  <si>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</si>
  <si>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</si>
  <si>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</si>
  <si>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</si>
  <si>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Additional environment test coverage</t>
  </si>
  <si>
    <t xml:space="preserve">TSR-202608-002</t>
  </si>
  <si>
    <t xml:space="preserve">Resource ramp-up for regression cycle</t>
  </si>
  <si>
    <t xml:space="preserve">TSR-202608-003</t>
  </si>
  <si>
    <t xml:space="preserve">Change request impact assessment</t>
  </si>
  <si>
    <t xml:space="preserve">TSR-202608-004</t>
  </si>
  <si>
    <t xml:space="preserve">New scope testing for release increment</t>
  </si>
  <si>
    <t xml:space="preserve">TSR-202608-005</t>
  </si>
  <si>
    <t xml:space="preserve">Approved</t>
  </si>
  <si>
    <t xml:space="preserve">TSR-202608-006</t>
  </si>
  <si>
    <t xml:space="preserve">TSR-202608-007</t>
  </si>
  <si>
    <t xml:space="preserve">TSR-202608-008</t>
  </si>
  <si>
    <t xml:space="preserve">Performance test scope for peak load</t>
  </si>
  <si>
    <t xml:space="preserve">TSR-202608-009</t>
  </si>
  <si>
    <t xml:space="preserve">TSR-202608-010</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</si>
</sst>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5.3</v>
      </c>
      <c r="H8" s="15" t="str">
        <f aca="false">IF(G8="","",IF(E8="Higher",IF(G8&gt;=F8,"Green",IF(G8&gt;=F8*0.9,"Amber","Red")),IF(G8&lt;=F8,"Green",IF(G8&lt;=F8*1.1,"Amber","Red"))))</f>
        <v>Amber</v>
      </c>
      <c r="I8" s="16"/>
    </row>
    <row r="9" customFormat="false" ht="15" hidden="false" customHeight="false" outlineLevel="0" collapsed="false">
      <c r="B9" s="11" t="n">
        <v>2</v>
      </c>
      <c r="C9" s="12" t="s">
        <v>38</v>
      </c>
      <c r="D9" s="11" t="s">
        <v>36</v>
      </c>
      <c r="E9" s="13" t="s">
        <v>39</v>
      </c>
      <c r="F9" s="14" t="n">
        <v>70</v>
      </c>
      <c r="G9" s="14" t="n">
        <v>64.5</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81.1</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89.1</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88.9</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10.6</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5</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3</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46237</v>
      </c>
      <c r="F6" s="20" t="n">
        <f aca="false">IF(E6="","",E6+5)</f>
        <v>46242</v>
      </c>
      <c r="G6" s="19" t="n">
        <v>46239</v>
      </c>
      <c r="H6" s="14" t="n">
        <v>3</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46236</v>
      </c>
      <c r="F7" s="20" t="n">
        <f aca="false">IF(E7="","",E7+5)</f>
        <v>46241</v>
      </c>
      <c r="G7" s="19" t="n">
        <v>46244</v>
      </c>
      <c r="H7" s="14" t="n">
        <v>8</v>
      </c>
      <c r="I7" s="21" t="str">
        <f aca="false">IF(E7="","",IF(G7="","Pending",IF(G7&lt;=F7,"SLA Met","SLA Overdue")))</f>
        <v>SLA Overdue</v>
      </c>
      <c r="J7" s="14"/>
      <c r="K7" s="11" t="str">
        <f aca="false">IF(I7="SLA Overdue","Yes","No")</f>
        <v>Yes</v>
      </c>
      <c r="L7" s="12"/>
    </row>
    <row r="8" customFormat="false" ht="15" hidden="false" customHeight="false" outlineLevel="0" collapsed="false">
      <c r="B8" s="11" t="n">
        <v>3</v>
      </c>
      <c r="C8" s="5" t="s">
        <v>64</v>
      </c>
      <c r="D8" s="5" t="s">
        <v>65</v>
      </c>
      <c r="E8" s="19" t="n">
        <v>46245</v>
      </c>
      <c r="F8" s="20" t="n">
        <f aca="false">IF(E8="","",E8+5)</f>
        <v>46250</v>
      </c>
      <c r="G8" s="19" t="n">
        <v>46249</v>
      </c>
      <c r="H8" s="14" t="n">
        <v>7</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66</v>
      </c>
      <c r="D9" s="5" t="s">
        <v>67</v>
      </c>
      <c r="E9" s="19" t="n">
        <v>46243</v>
      </c>
      <c r="F9" s="20" t="n">
        <f aca="false">IF(E9="","",E9+5)</f>
        <v>46248</v>
      </c>
      <c r="G9" s="19" t="n">
        <v>46247</v>
      </c>
      <c r="H9" s="14" t="n">
        <v>12</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68</v>
      </c>
      <c r="D10" s="5" t="s">
        <v>63</v>
      </c>
      <c r="E10" s="19" t="n">
        <v>46252</v>
      </c>
      <c r="F10" s="20" t="n">
        <f aca="false">IF(E10="","",E10+5)</f>
        <v>46257</v>
      </c>
      <c r="G10" s="19"/>
      <c r="H10" s="14" t="n">
        <v>11</v>
      </c>
      <c r="I10" s="21" t="str">
        <f aca="false">IF(E10="","",IF(G10="","Pending",IF(G10&lt;=F10,"SLA Met","SLA Overdue")))</f>
        <v>Pending</v>
      </c>
      <c r="J10" s="14" t="s">
        <v>69</v>
      </c>
      <c r="K10" s="11" t="str">
        <f aca="false">IF(I10="SLA Overdue","Yes","No")</f>
        <v>No</v>
      </c>
      <c r="L10" s="12"/>
    </row>
    <row r="11" customFormat="false" ht="15" hidden="false" customHeight="false" outlineLevel="0" collapsed="false">
      <c r="B11" s="11" t="n">
        <v>6</v>
      </c>
      <c r="C11" s="5" t="s">
        <v>70</v>
      </c>
      <c r="D11" s="5" t="s">
        <v>67</v>
      </c>
      <c r="E11" s="19" t="n">
        <v>46237</v>
      </c>
      <c r="F11" s="20" t="n">
        <f aca="false">IF(E11="","",E11+5)</f>
        <v>46242</v>
      </c>
      <c r="G11" s="19" t="n">
        <v>46238</v>
      </c>
      <c r="H11" s="14" t="n">
        <v>4</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71</v>
      </c>
      <c r="D12" s="5" t="s">
        <v>63</v>
      </c>
      <c r="E12" s="19" t="n">
        <v>46241</v>
      </c>
      <c r="F12" s="20" t="n">
        <f aca="false">IF(E12="","",E12+5)</f>
        <v>46246</v>
      </c>
      <c r="G12" s="19" t="n">
        <v>46246</v>
      </c>
      <c r="H12" s="14" t="n">
        <v>4</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72</v>
      </c>
      <c r="D13" s="5" t="s">
        <v>73</v>
      </c>
      <c r="E13" s="19" t="n">
        <v>46239</v>
      </c>
      <c r="F13" s="20" t="n">
        <f aca="false">IF(E13="","",E13+5)</f>
        <v>46244</v>
      </c>
      <c r="G13" s="19" t="n">
        <v>46240</v>
      </c>
      <c r="H13" s="14" t="n">
        <v>4</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74</v>
      </c>
      <c r="D14" s="5" t="s">
        <v>63</v>
      </c>
      <c r="E14" s="19" t="n">
        <v>46249</v>
      </c>
      <c r="F14" s="20" t="n">
        <f aca="false">IF(E14="","",E14+5)</f>
        <v>46254</v>
      </c>
      <c r="G14" s="19" t="n">
        <v>46252</v>
      </c>
      <c r="H14" s="14" t="n">
        <v>10</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75</v>
      </c>
      <c r="D15" s="5" t="s">
        <v>63</v>
      </c>
      <c r="E15" s="19" t="n">
        <v>46254</v>
      </c>
      <c r="F15" s="20" t="n">
        <f aca="false">IF(E15="","",E15+5)</f>
        <v>46259</v>
      </c>
      <c r="G15" s="19" t="n">
        <v>46255</v>
      </c>
      <c r="H15" s="14" t="n">
        <v>5</v>
      </c>
      <c r="I15" s="21" t="str">
        <f aca="false">IF(E15="","",IF(G15="","Pending",IF(G15&lt;=F15,"SLA Met","SLA Overdue")))</f>
        <v>SLA Met</v>
      </c>
      <c r="J15" s="14"/>
      <c r="K15" s="11" t="str">
        <f aca="false">IF(I15="SLA Overdue","Yes","No")</f>
        <v>No</v>
      </c>
      <c r="L15" s="12"/>
    </row>
  </sheetData>
  <autoFilter ref="B5:L15"/>
  <mergeCells count="2">
    <mergeCell ref="B2:K2"/>
    <mergeCell ref="B3:K3"/>
  </mergeCells>
  <conditionalFormatting sqref="I6:I15">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15"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