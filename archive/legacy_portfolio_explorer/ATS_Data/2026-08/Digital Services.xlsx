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KPI_Summary" sheetId="2" state="visible" r:id="rId4"/>
    <sheet name="TSR" sheetId="3" state="visible" r:id="rId5"/>
  </sheets>
  <definedNames>
    <definedName function="false" hidden="true" localSheetId="2" name="_xlnm._FilterDatabase" vbProcedure="false">TSR!$B$5:$L$16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<sst xmlns="http://schemas.openxmlformats.org/spreadsheetml/2006/main" count="96" uniqueCount="77">
  <si>
    <t xml:space="preserve">ATS Portfolio Data Template — Instructions</t>
  </si>
  <si>
    <t xml:space="preserve">What is this file?</t>
  </si>
  <si>
    <t xml:space="preserve">One workbook = one Portfolio's data for one reporting month. Save one copy per portfolio per month.</t>
  </si>
  <si>
    <t xml:space="preserve">Sheet: KPI_Summary</t>
  </si>
  <si>
    <t xml:space="preserve">Fill in the yellow cells only (Portfolio Name, Month, Actuals for each of the 8 KPI metrics). RAG Status and variance are calculated automatically — do not overwrite those formulas.</t>
  </si>
  <si>
    <t xml:space="preserve">Sheet: TSR</t>
  </si>
  <si>
    <t xml:space="preserve">One row per Test Scope Request (TSR) received. Fill in the yellow columns only. SLA Due Date, Response Status and Breach Flag are calculated automatically from the dates you enter — do not type over those columns.</t>
  </si>
  <si>
    <t xml:space="preserve">SLA rule</t>
  </si>
  <si>
    <t xml:space="preserve">TSRs must receive a response within 5 calendar days of receipt. If Date Responded is blank, the TSR is treated as Pending. If it is filled in after the SLA Due Date, it is flagged SLA Overdue (a contractual breach).</t>
  </si>
  <si>
    <t xml:space="preserve">File naming</t>
  </si>
  <si>
    <t xml:space="preserve">Name the file exactly as the Portfolio Name, e.g. 'Self Assessment.xlsx'. Do not include the month in the filename — the month lives inside the workbook and the folder it's placed in.</t>
  </si>
  <si>
    <t xml:space="preserve">Folder structure the dashboard expects</t>
  </si>
  <si>
    <t xml:space="preserve">ATS_Data / &lt;YYYY-MM&gt; / &lt;Portfolio Name&gt;.xlsx  — e.g. ATS_Data/2026-09/Self Assessment.xlsx</t>
  </si>
  <si>
    <t xml:space="preserve">Yellow cells</t>
  </si>
  <si>
    <t xml:space="preserve">Please fill these in.</t>
  </si>
  <si>
    <t xml:space="preserve">White cells with blue text</t>
  </si>
  <si>
    <t xml:space="preserve">Automatically calculated. Leave untouched.</t>
  </si>
  <si>
    <t xml:space="preserve">Legend</t>
  </si>
  <si>
    <t xml:space="preserve">  Fill this in  </t>
  </si>
  <si>
    <t xml:space="preserve">  Auto-calculated — do not edit  </t>
  </si>
  <si>
    <t xml:space="preserve">ATS Portfolio — KPI Summary</t>
  </si>
  <si>
    <t xml:space="preserve">Portfolio Name</t>
  </si>
  <si>
    <t xml:space="preserve">Digital Services</t>
  </si>
  <si>
    <t xml:space="preserve">Reporting Month (YYYY-MM)</t>
  </si>
  <si>
    <t xml:space="preserve">2026-08</t>
  </si>
  <si>
    <t xml:space="preserve">Prepared By</t>
  </si>
  <si>
    <t xml:space="preserve">Date Prepared</t>
  </si>
  <si>
    <t xml:space="preserve">#</t>
  </si>
  <si>
    <t xml:space="preserve">Metric</t>
  </si>
  <si>
    <t xml:space="preserve">Unit</t>
  </si>
  <si>
    <t xml:space="preserve">Direction</t>
  </si>
  <si>
    <t xml:space="preserve">Target</t>
  </si>
  <si>
    <t xml:space="preserve">Actual</t>
  </si>
  <si>
    <t xml:space="preserve">RAG Status</t>
  </si>
  <si>
    <t xml:space="preserve">Comments</t>
  </si>
  <si>
    <t xml:space="preserve">Defect Leakage</t>
  </si>
  <si>
    <t xml:space="preserve">%</t>
  </si>
  <si>
    <t xml:space="preserve">Lower</t>
  </si>
  <si>
    <t xml:space="preserve">Level of Automated Testing</t>
  </si>
  <si>
    <t xml:space="preserve">Higher</t>
  </si>
  <si>
    <t xml:space="preserve">Customer Satisfaction</t>
  </si>
  <si>
    <t xml:space="preserve">Risk-Based Test Coverage</t>
  </si>
  <si>
    <t xml:space="preserve">Defect Detection Rate</t>
  </si>
  <si>
    <t xml:space="preserve">Test Execution Downtime</t>
  </si>
  <si>
    <t xml:space="preserve">hrs</t>
  </si>
  <si>
    <t xml:space="preserve">Defect Turnaround Time</t>
  </si>
  <si>
    <t xml:space="preserve">days</t>
  </si>
  <si>
    <t xml:space="preserve">Critical Test Milestone Delays</t>
  </si>
  <si>
    <t xml:space="preserve">count</t>
  </si>
  <si>
    <t xml:space="preserve">ATS Portfolio — TSR Log (Test Scope Requests)</t>
  </si>
  <si>
    <t xml:space="preserve">SLA = 5 calendar days from Date Received. Response Status, SLA Due Date and Breach Flag are calculated automatically.</t>
  </si>
  <si>
    <t xml:space="preserve">TSR ID</t>
  </si>
  <si>
    <t xml:space="preserve">Scope Description</t>
  </si>
  <si>
    <t xml:space="preserve">Date Received</t>
  </si>
  <si>
    <t xml:space="preserve">SLA Due Date</t>
  </si>
  <si>
    <t xml:space="preserve">Date Responded</t>
  </si>
  <si>
    <t xml:space="preserve">Resource Count</t>
  </si>
  <si>
    <t xml:space="preserve">Response Status</t>
  </si>
  <si>
    <t xml:space="preserve">Pending Sub-Status</t>
  </si>
  <si>
    <t xml:space="preserve">Breach (Fine Applicable)</t>
  </si>
  <si>
    <t xml:space="preserve">TSR-202608-001</t>
  </si>
  <si>
    <t xml:space="preserve">Security test scope addition</t>
  </si>
  <si>
    <t xml:space="preserve">Impacting</t>
  </si>
  <si>
    <t xml:space="preserve">TSR-202608-002</t>
  </si>
  <si>
    <t xml:space="preserve">New scope testing for release increment</t>
  </si>
  <si>
    <t xml:space="preserve">TSR-202608-003</t>
  </si>
  <si>
    <t xml:space="preserve">TSR-202608-004</t>
  </si>
  <si>
    <t xml:space="preserve">TSR-202608-005</t>
  </si>
  <si>
    <t xml:space="preserve">TSR-202608-006</t>
  </si>
  <si>
    <t xml:space="preserve">TSR-202608-007</t>
  </si>
  <si>
    <t xml:space="preserve">Change request impact assessment</t>
  </si>
  <si>
    <t xml:space="preserve">TSR-202608-008</t>
  </si>
  <si>
    <t xml:space="preserve">Additional environment test coverage</t>
  </si>
  <si>
    <t xml:space="preserve">TSR-202608-009</t>
  </si>
  <si>
    <t xml:space="preserve">Performance test scope for peak load</t>
  </si>
  <si>
    <t xml:space="preserve">TSR-202608-010</t>
  </si>
  <si>
    <t xml:space="preserve">TSR-202608-011</t>
  </si>
</sst>
</file>

<file path=xl/styles.xml><?xml version="1.0" encoding="utf-8"?>
<styleSheet xmlns="http://schemas.openxmlformats.org/spreadsheetml/2006/main">
  <numFmts count="2">
    <numFmt numFmtId="164" formatCode="General"/>
    <numFmt numFmtId="165" formatCode="yyyy\-mm\-dd"/>
  </numFmts>
  <fonts count="14">
    <font>
      <sz val="11"/>
      <color theme="1"/>
      <name val="Calibri"/>
      <family val="2"/>
      <charset val="1"/>
    </font>
    <font>
      <sz val="10"/>
      <name val="Arial"/>
      <family val="0"/>
    </font>
    <font>
      <sz val="10"/>
      <name val="Arial"/>
      <family val="0"/>
    </font>
    <font>
      <sz val="10"/>
      <name val="Arial"/>
      <family val="0"/>
    </font>
    <font>
      <b val="true"/>
      <sz val="14"/>
      <color rgb="FF1B2A4A"/>
      <name val="Arial"/>
      <family val="0"/>
      <charset val="1"/>
    </font>
    <font>
      <b val="true"/>
      <sz val="11"/>
      <color rgb="FF1B2A4A"/>
      <name val="Arial"/>
      <family val="0"/>
      <charset val="1"/>
    </font>
    <font>
      <sz val="11"/>
      <name val="Arial"/>
      <family val="0"/>
      <charset val="1"/>
    </font>
    <font>
      <b val="true"/>
      <sz val="10"/>
      <color rgb="FF6B7280"/>
      <name val="Arial"/>
      <family val="0"/>
      <charset val="1"/>
    </font>
    <font>
      <sz val="11"/>
      <color rgb="FF0000FF"/>
      <name val="Arial"/>
      <family val="0"/>
      <charset val="1"/>
    </font>
    <font>
      <b val="true"/>
      <sz val="11"/>
      <color rgb="FFFFFFFF"/>
      <name val="Arial"/>
      <family val="0"/>
      <charset val="1"/>
    </font>
    <font>
      <sz val="9"/>
      <color rgb="FF6B7280"/>
      <name val="Arial"/>
      <family val="0"/>
      <charset val="1"/>
    </font>
    <font>
      <b val="true"/>
      <sz val="11"/>
      <name val="Arial"/>
      <family val="0"/>
      <charset val="1"/>
    </font>
    <font>
      <i val="true"/>
      <sz val="9"/>
      <color rgb="FF6B7280"/>
      <name val="Arial"/>
      <family val="0"/>
      <charset val="1"/>
    </font>
    <font>
      <b val="true"/>
      <sz val="10"/>
      <name val="Arial"/>
      <family val="0"/>
      <charset val="1"/>
    </font>
  </fonts>
  <fills count="5">
    <fill>
      <patternFill patternType="none"/>
    </fill>
    <fill>
      <patternFill patternType="gray125"/>
    </fill>
    <fill>
      <patternFill patternType="solid">
        <fgColor rgb="FFFFF6CC"/>
        <bgColor rgb="FFF2F5F9"/>
      </patternFill>
    </fill>
    <fill>
      <patternFill patternType="solid">
        <fgColor rgb="FFF2F5F9"/>
        <bgColor rgb="FFFFFFFF"/>
      </patternFill>
    </fill>
    <fill>
      <patternFill patternType="solid">
        <fgColor rgb="FF1B2A4A"/>
        <bgColor rgb="FF003366"/>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bgColor rgb="FFC6EFCE"/>
        </patternFill>
      </fill>
    </dxf>
    <dxf>
      <fill>
        <patternFill>
          <bgColor rgb="FFFFEB9C"/>
        </patternFill>
      </fill>
    </dxf>
    <dxf>
      <fill>
        <patternFill>
          <bgColor rgb="FFFFC7CE"/>
        </patternFill>
      </fill>
    </dxf>
    <dxf>
      <fill>
        <patternFill patternType="solid">
          <fgColor rgb="FF1B2A4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6CC"/>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CC"/>
      <rgbColor rgb="FFF2F5F9"/>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90"/>
  </cols>
  <sheetData>
    <row r="2" customFormat="false" ht="17.35" hidden="false" customHeight="false" outlineLevel="0" collapsed="false">
      <c r="B2" s="1" t="s">
        <v>0</v>
      </c>
      <c r="C2" s="1"/>
    </row>
    <row r="4" customFormat="false" ht="31.5" hidden="false" customHeight="true" outlineLevel="0" collapsed="false">
      <c r="B4" s="2" t="s">
        <v>1</v>
      </c>
      <c r="C4" s="3" t="s">
        <v>2</v>
      </c>
    </row>
    <row r="6" customFormat="false" ht="31.5" hidden="false" customHeight="true" outlineLevel="0" collapsed="false">
      <c r="B6" s="2" t="s">
        <v>3</v>
      </c>
      <c r="C6" s="3" t="s">
        <v>4</v>
      </c>
    </row>
    <row r="8" customFormat="false" ht="31.5" hidden="false" customHeight="true" outlineLevel="0" collapsed="false">
      <c r="B8" s="2" t="s">
        <v>5</v>
      </c>
      <c r="C8" s="3" t="s">
        <v>6</v>
      </c>
    </row>
    <row r="10" customFormat="false" ht="31.5" hidden="false" customHeight="true" outlineLevel="0" collapsed="false">
      <c r="B10" s="2" t="s">
        <v>7</v>
      </c>
      <c r="C10" s="3" t="s">
        <v>8</v>
      </c>
    </row>
    <row r="12" customFormat="false" ht="31.5" hidden="false" customHeight="true" outlineLevel="0" collapsed="false">
      <c r="B12" s="2" t="s">
        <v>9</v>
      </c>
      <c r="C12" s="3" t="s">
        <v>10</v>
      </c>
    </row>
    <row r="14" customFormat="false" ht="31.5" hidden="false" customHeight="true" outlineLevel="0" collapsed="false">
      <c r="B14" s="2" t="s">
        <v>11</v>
      </c>
      <c r="C14" s="3" t="s">
        <v>12</v>
      </c>
    </row>
    <row r="16" customFormat="false" ht="31.5" hidden="false" customHeight="true" outlineLevel="0" collapsed="false">
      <c r="B16" s="2" t="s">
        <v>13</v>
      </c>
      <c r="C16" s="3" t="s">
        <v>14</v>
      </c>
    </row>
    <row r="18" customFormat="false" ht="31.5" hidden="false" customHeight="true" outlineLevel="0" collapsed="false">
      <c r="B18" s="2" t="s">
        <v>15</v>
      </c>
      <c r="C18" s="3" t="s">
        <v>16</v>
      </c>
    </row>
    <row r="21" customFormat="false" ht="15" hidden="false" customHeight="false" outlineLevel="0" collapsed="false">
      <c r="B21" s="4" t="s">
        <v>17</v>
      </c>
    </row>
    <row r="22" customFormat="false" ht="15" hidden="false" customHeight="false" outlineLevel="0" collapsed="false">
      <c r="B22" s="5" t="s">
        <v>18</v>
      </c>
    </row>
    <row r="23" customFormat="false" ht="15" hidden="false" customHeight="false" outlineLevel="0" collapsed="false">
      <c r="B23" s="6" t="s">
        <v>19</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8"/>
    <col collapsed="false" customWidth="true" hidden="false" outlineLevel="0" max="5" min="4" style="0" width="12"/>
    <col collapsed="false" customWidth="true" hidden="false" outlineLevel="0" max="6" min="6" style="0" width="14"/>
    <col collapsed="false" customWidth="true" hidden="false" outlineLevel="0" max="7" min="7" style="0" width="16"/>
    <col collapsed="false" customWidth="true" hidden="false" outlineLevel="0" max="8" min="8" style="0" width="40"/>
  </cols>
  <sheetData>
    <row r="2" customFormat="false" ht="17.35" hidden="false" customHeight="false" outlineLevel="0" collapsed="false">
      <c r="B2" s="1" t="s">
        <v>20</v>
      </c>
      <c r="C2" s="1"/>
      <c r="D2" s="1"/>
      <c r="E2" s="1"/>
      <c r="F2" s="1"/>
      <c r="G2" s="1"/>
      <c r="H2" s="1"/>
    </row>
    <row r="4" customFormat="false" ht="15" hidden="false" customHeight="false" outlineLevel="0" collapsed="false">
      <c r="B4" s="4" t="s">
        <v>21</v>
      </c>
      <c r="C4" s="7" t="s">
        <v>22</v>
      </c>
      <c r="D4" s="7"/>
      <c r="E4" s="4" t="s">
        <v>23</v>
      </c>
      <c r="F4" s="8" t="s">
        <v>24</v>
      </c>
    </row>
    <row r="5" customFormat="false" ht="15" hidden="false" customHeight="false" outlineLevel="0" collapsed="false">
      <c r="B5" s="4" t="s">
        <v>25</v>
      </c>
      <c r="C5" s="7"/>
      <c r="D5" s="7"/>
      <c r="E5" s="4" t="s">
        <v>26</v>
      </c>
      <c r="F5" s="9" t="n">
        <v>46262</v>
      </c>
    </row>
    <row r="7" customFormat="false" ht="19.5" hidden="false" customHeight="true" outlineLevel="0" collapsed="false">
      <c r="B7" s="10" t="s">
        <v>27</v>
      </c>
      <c r="C7" s="10" t="s">
        <v>28</v>
      </c>
      <c r="D7" s="10" t="s">
        <v>29</v>
      </c>
      <c r="E7" s="10" t="s">
        <v>30</v>
      </c>
      <c r="F7" s="10" t="s">
        <v>31</v>
      </c>
      <c r="G7" s="10" t="s">
        <v>32</v>
      </c>
      <c r="H7" s="10" t="s">
        <v>33</v>
      </c>
      <c r="I7" s="10" t="s">
        <v>34</v>
      </c>
    </row>
    <row r="8" customFormat="false" ht="15" hidden="false" customHeight="false" outlineLevel="0" collapsed="false">
      <c r="B8" s="11" t="n">
        <v>1</v>
      </c>
      <c r="C8" s="12" t="s">
        <v>35</v>
      </c>
      <c r="D8" s="11" t="s">
        <v>36</v>
      </c>
      <c r="E8" s="13" t="s">
        <v>37</v>
      </c>
      <c r="F8" s="14" t="n">
        <v>5</v>
      </c>
      <c r="G8" s="14" t="n">
        <v>7.9</v>
      </c>
      <c r="H8" s="15" t="str">
        <f aca="false">IF(G8="","",IF(E8="Higher",IF(G8&gt;=F8,"Green",IF(G8&gt;=F8*0.9,"Amber","Red")),IF(G8&lt;=F8,"Green",IF(G8&lt;=F8*1.1,"Amber","Red"))))</f>
        <v>Red</v>
      </c>
      <c r="I8" s="16"/>
    </row>
    <row r="9" customFormat="false" ht="15" hidden="false" customHeight="false" outlineLevel="0" collapsed="false">
      <c r="B9" s="11" t="n">
        <v>2</v>
      </c>
      <c r="C9" s="12" t="s">
        <v>38</v>
      </c>
      <c r="D9" s="11" t="s">
        <v>36</v>
      </c>
      <c r="E9" s="13" t="s">
        <v>39</v>
      </c>
      <c r="F9" s="14" t="n">
        <v>70</v>
      </c>
      <c r="G9" s="14" t="n">
        <v>64.8</v>
      </c>
      <c r="H9" s="15" t="str">
        <f aca="false">IF(G9="","",IF(E9="Higher",IF(G9&gt;=F9,"Green",IF(G9&gt;=F9*0.9,"Amber","Red")),IF(G9&lt;=F9,"Green",IF(G9&lt;=F9*1.1,"Amber","Red"))))</f>
        <v>Amber</v>
      </c>
      <c r="I9" s="16"/>
    </row>
    <row r="10" customFormat="false" ht="15" hidden="false" customHeight="false" outlineLevel="0" collapsed="false">
      <c r="B10" s="11" t="n">
        <v>3</v>
      </c>
      <c r="C10" s="12" t="s">
        <v>40</v>
      </c>
      <c r="D10" s="11" t="s">
        <v>36</v>
      </c>
      <c r="E10" s="13" t="s">
        <v>39</v>
      </c>
      <c r="F10" s="14" t="n">
        <v>90</v>
      </c>
      <c r="G10" s="14" t="n">
        <v>83.4</v>
      </c>
      <c r="H10" s="15" t="str">
        <f aca="false">IF(G10="","",IF(E10="Higher",IF(G10&gt;=F10,"Green",IF(G10&gt;=F10*0.9,"Amber","Red")),IF(G10&lt;=F10,"Green",IF(G10&lt;=F10*1.1,"Amber","Red"))))</f>
        <v>Amber</v>
      </c>
      <c r="I10" s="16"/>
    </row>
    <row r="11" customFormat="false" ht="15" hidden="false" customHeight="false" outlineLevel="0" collapsed="false">
      <c r="B11" s="11" t="n">
        <v>4</v>
      </c>
      <c r="C11" s="12" t="s">
        <v>41</v>
      </c>
      <c r="D11" s="11" t="s">
        <v>36</v>
      </c>
      <c r="E11" s="13" t="s">
        <v>39</v>
      </c>
      <c r="F11" s="14" t="n">
        <v>95</v>
      </c>
      <c r="G11" s="14" t="n">
        <v>91.5</v>
      </c>
      <c r="H11" s="15" t="str">
        <f aca="false">IF(G11="","",IF(E11="Higher",IF(G11&gt;=F11,"Green",IF(G11&gt;=F11*0.9,"Amber","Red")),IF(G11&lt;=F11,"Green",IF(G11&lt;=F11*1.1,"Amber","Red"))))</f>
        <v>Amber</v>
      </c>
      <c r="I11" s="16"/>
    </row>
    <row r="12" customFormat="false" ht="15" hidden="false" customHeight="false" outlineLevel="0" collapsed="false">
      <c r="B12" s="11" t="n">
        <v>5</v>
      </c>
      <c r="C12" s="12" t="s">
        <v>42</v>
      </c>
      <c r="D12" s="11" t="s">
        <v>36</v>
      </c>
      <c r="E12" s="13" t="s">
        <v>39</v>
      </c>
      <c r="F12" s="14" t="n">
        <v>92</v>
      </c>
      <c r="G12" s="14" t="n">
        <v>83.1</v>
      </c>
      <c r="H12" s="15" t="str">
        <f aca="false">IF(G12="","",IF(E12="Higher",IF(G12&gt;=F12,"Green",IF(G12&gt;=F12*0.9,"Amber","Red")),IF(G12&lt;=F12,"Green",IF(G12&lt;=F12*1.1,"Amber","Red"))))</f>
        <v>Amber</v>
      </c>
      <c r="I12" s="16"/>
    </row>
    <row r="13" customFormat="false" ht="15" hidden="false" customHeight="false" outlineLevel="0" collapsed="false">
      <c r="B13" s="11" t="n">
        <v>6</v>
      </c>
      <c r="C13" s="12" t="s">
        <v>43</v>
      </c>
      <c r="D13" s="11" t="s">
        <v>44</v>
      </c>
      <c r="E13" s="13" t="s">
        <v>37</v>
      </c>
      <c r="F13" s="14" t="n">
        <v>8</v>
      </c>
      <c r="G13" s="14" t="n">
        <v>12</v>
      </c>
      <c r="H13" s="15" t="str">
        <f aca="false">IF(G13="","",IF(E13="Higher",IF(G13&gt;=F13,"Green",IF(G13&gt;=F13*0.9,"Amber","Red")),IF(G13&lt;=F13,"Green",IF(G13&lt;=F13*1.1,"Amber","Red"))))</f>
        <v>Red</v>
      </c>
      <c r="I13" s="16"/>
    </row>
    <row r="14" customFormat="false" ht="15" hidden="false" customHeight="false" outlineLevel="0" collapsed="false">
      <c r="B14" s="11" t="n">
        <v>7</v>
      </c>
      <c r="C14" s="12" t="s">
        <v>45</v>
      </c>
      <c r="D14" s="11" t="s">
        <v>46</v>
      </c>
      <c r="E14" s="13" t="s">
        <v>37</v>
      </c>
      <c r="F14" s="14" t="n">
        <v>3</v>
      </c>
      <c r="G14" s="14" t="n">
        <v>4.7</v>
      </c>
      <c r="H14" s="15" t="str">
        <f aca="false">IF(G14="","",IF(E14="Higher",IF(G14&gt;=F14,"Green",IF(G14&gt;=F14*0.9,"Amber","Red")),IF(G14&lt;=F14,"Green",IF(G14&lt;=F14*1.1,"Amber","Red"))))</f>
        <v>Red</v>
      </c>
      <c r="I14" s="16"/>
    </row>
    <row r="15" customFormat="false" ht="15" hidden="false" customHeight="false" outlineLevel="0" collapsed="false">
      <c r="B15" s="11" t="n">
        <v>8</v>
      </c>
      <c r="C15" s="12" t="s">
        <v>47</v>
      </c>
      <c r="D15" s="11" t="s">
        <v>48</v>
      </c>
      <c r="E15" s="13" t="s">
        <v>37</v>
      </c>
      <c r="F15" s="14" t="n">
        <v>0</v>
      </c>
      <c r="G15" s="14" t="n">
        <v>2</v>
      </c>
      <c r="H15" s="15" t="str">
        <f aca="false">IF(G15="","",IF(E15="Higher",IF(G15&gt;=F15,"Green",IF(G15&gt;=F15*0.9,"Amber","Red")),IF(G15&lt;=F15,"Green",IF(G15&lt;=F15*1.1,"Amber","Red"))))</f>
        <v>Red</v>
      </c>
      <c r="I15" s="16"/>
    </row>
  </sheetData>
  <mergeCells count="3">
    <mergeCell ref="B2:H2"/>
    <mergeCell ref="C4:D4"/>
    <mergeCell ref="C5:D5"/>
  </mergeCells>
  <conditionalFormatting sqref="H8:H15">
    <cfRule type="expression" priority="2" aboveAverage="0" equalAverage="0" bottom="0" percent="0" rank="0" text="" dxfId="0">
      <formula>H8="Green"</formula>
    </cfRule>
    <cfRule type="expression" priority="3" aboveAverage="0" equalAverage="0" bottom="0" percent="0" rank="0" text="" dxfId="1">
      <formula>H8="Amber"</formula>
    </cfRule>
    <cfRule type="expression" priority="4" aboveAverage="0" equalAverage="0" bottom="0" percent="0" rank="0" text="" dxfId="2">
      <formula>H8="Red"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2"/>
    <col collapsed="false" customWidth="true" hidden="false" outlineLevel="0" max="3" min="3" style="0" width="34"/>
    <col collapsed="false" customWidth="true" hidden="false" outlineLevel="0" max="6" min="4" style="0" width="14"/>
    <col collapsed="false" customWidth="true" hidden="false" outlineLevel="0" max="7" min="7" style="0" width="12"/>
    <col collapsed="false" customWidth="true" hidden="false" outlineLevel="0" max="8" min="8" style="0" width="16"/>
    <col collapsed="false" customWidth="true" hidden="false" outlineLevel="0" max="9" min="9" style="0" width="18"/>
    <col collapsed="false" customWidth="true" hidden="false" outlineLevel="0" max="10" min="10" style="0" width="10"/>
    <col collapsed="false" customWidth="true" hidden="false" outlineLevel="0" max="11" min="11" style="0" width="30"/>
  </cols>
  <sheetData>
    <row r="2" customFormat="false" ht="17.35" hidden="false" customHeight="false" outlineLevel="0" collapsed="false">
      <c r="B2" s="1" t="s">
        <v>49</v>
      </c>
      <c r="C2" s="1"/>
      <c r="D2" s="1"/>
      <c r="E2" s="1"/>
      <c r="F2" s="1"/>
      <c r="G2" s="1"/>
      <c r="H2" s="1"/>
      <c r="I2" s="1"/>
      <c r="J2" s="1"/>
      <c r="K2" s="1"/>
    </row>
    <row r="3" customFormat="false" ht="15" hidden="false" customHeight="false" outlineLevel="0" collapsed="false">
      <c r="B3" s="17" t="s">
        <v>50</v>
      </c>
      <c r="C3" s="17"/>
      <c r="D3" s="17"/>
      <c r="E3" s="17"/>
      <c r="F3" s="17"/>
      <c r="G3" s="17"/>
      <c r="H3" s="17"/>
      <c r="I3" s="17"/>
      <c r="J3" s="17"/>
      <c r="K3" s="17"/>
    </row>
    <row r="5" customFormat="false" ht="31.5" hidden="false" customHeight="true" outlineLevel="0" collapsed="false">
      <c r="B5" s="18" t="s">
        <v>27</v>
      </c>
      <c r="C5" s="18" t="s">
        <v>51</v>
      </c>
      <c r="D5" s="18" t="s">
        <v>52</v>
      </c>
      <c r="E5" s="18" t="s">
        <v>53</v>
      </c>
      <c r="F5" s="18" t="s">
        <v>54</v>
      </c>
      <c r="G5" s="18" t="s">
        <v>55</v>
      </c>
      <c r="H5" s="18" t="s">
        <v>56</v>
      </c>
      <c r="I5" s="18" t="s">
        <v>57</v>
      </c>
      <c r="J5" s="18" t="s">
        <v>58</v>
      </c>
      <c r="K5" s="18" t="s">
        <v>59</v>
      </c>
      <c r="L5" s="18" t="s">
        <v>34</v>
      </c>
    </row>
    <row r="6" customFormat="false" ht="15" hidden="false" customHeight="false" outlineLevel="0" collapsed="false">
      <c r="B6" s="11" t="n">
        <v>1</v>
      </c>
      <c r="C6" s="5" t="s">
        <v>60</v>
      </c>
      <c r="D6" s="5" t="s">
        <v>61</v>
      </c>
      <c r="E6" s="19" t="n">
        <v>46253</v>
      </c>
      <c r="F6" s="20" t="n">
        <f aca="false">IF(E6="","",E6+5)</f>
        <v>46258</v>
      </c>
      <c r="G6" s="19"/>
      <c r="H6" s="14" t="n">
        <v>7</v>
      </c>
      <c r="I6" s="21" t="str">
        <f aca="false">IF(E6="","",IF(G6="","Pending",IF(G6&lt;=F6,"SLA Met","SLA Overdue")))</f>
        <v>Pending</v>
      </c>
      <c r="J6" s="14" t="s">
        <v>62</v>
      </c>
      <c r="K6" s="11" t="str">
        <f aca="false">IF(I6="SLA Overdue","Yes","No")</f>
        <v>No</v>
      </c>
      <c r="L6" s="12"/>
    </row>
    <row r="7" customFormat="false" ht="15" hidden="false" customHeight="false" outlineLevel="0" collapsed="false">
      <c r="B7" s="11" t="n">
        <v>2</v>
      </c>
      <c r="C7" s="5" t="s">
        <v>63</v>
      </c>
      <c r="D7" s="5" t="s">
        <v>64</v>
      </c>
      <c r="E7" s="19" t="n">
        <v>46247</v>
      </c>
      <c r="F7" s="20" t="n">
        <f aca="false">IF(E7="","",E7+5)</f>
        <v>46252</v>
      </c>
      <c r="G7" s="19" t="n">
        <v>46249</v>
      </c>
      <c r="H7" s="14" t="n">
        <v>10</v>
      </c>
      <c r="I7" s="21" t="str">
        <f aca="false">IF(E7="","",IF(G7="","Pending",IF(G7&lt;=F7,"SLA Met","SLA Overdue")))</f>
        <v>SLA Met</v>
      </c>
      <c r="J7" s="14"/>
      <c r="K7" s="11" t="str">
        <f aca="false">IF(I7="SLA Overdue","Yes","No")</f>
        <v>No</v>
      </c>
      <c r="L7" s="12"/>
    </row>
    <row r="8" customFormat="false" ht="15" hidden="false" customHeight="false" outlineLevel="0" collapsed="false">
      <c r="B8" s="11" t="n">
        <v>3</v>
      </c>
      <c r="C8" s="5" t="s">
        <v>65</v>
      </c>
      <c r="D8" s="5" t="s">
        <v>64</v>
      </c>
      <c r="E8" s="19" t="n">
        <v>46257</v>
      </c>
      <c r="F8" s="20" t="n">
        <f aca="false">IF(E8="","",E8+5)</f>
        <v>46262</v>
      </c>
      <c r="G8" s="19" t="n">
        <v>46259</v>
      </c>
      <c r="H8" s="14" t="n">
        <v>12</v>
      </c>
      <c r="I8" s="21" t="str">
        <f aca="false">IF(E8="","",IF(G8="","Pending",IF(G8&lt;=F8,"SLA Met","SLA Overdue")))</f>
        <v>SLA Met</v>
      </c>
      <c r="J8" s="14"/>
      <c r="K8" s="11" t="str">
        <f aca="false">IF(I8="SLA Overdue","Yes","No")</f>
        <v>No</v>
      </c>
      <c r="L8" s="12"/>
    </row>
    <row r="9" customFormat="false" ht="15" hidden="false" customHeight="false" outlineLevel="0" collapsed="false">
      <c r="B9" s="11" t="n">
        <v>4</v>
      </c>
      <c r="C9" s="5" t="s">
        <v>66</v>
      </c>
      <c r="D9" s="5" t="s">
        <v>64</v>
      </c>
      <c r="E9" s="19" t="n">
        <v>46259</v>
      </c>
      <c r="F9" s="20" t="n">
        <f aca="false">IF(E9="","",E9+5)</f>
        <v>46264</v>
      </c>
      <c r="G9" s="19" t="n">
        <v>46269</v>
      </c>
      <c r="H9" s="14" t="n">
        <v>10</v>
      </c>
      <c r="I9" s="21" t="str">
        <f aca="false">IF(E9="","",IF(G9="","Pending",IF(G9&lt;=F9,"SLA Met","SLA Overdue")))</f>
        <v>SLA Overdue</v>
      </c>
      <c r="J9" s="14"/>
      <c r="K9" s="11" t="str">
        <f aca="false">IF(I9="SLA Overdue","Yes","No")</f>
        <v>Yes</v>
      </c>
      <c r="L9" s="12"/>
    </row>
    <row r="10" customFormat="false" ht="15" hidden="false" customHeight="false" outlineLevel="0" collapsed="false">
      <c r="B10" s="11" t="n">
        <v>5</v>
      </c>
      <c r="C10" s="5" t="s">
        <v>67</v>
      </c>
      <c r="D10" s="5" t="s">
        <v>61</v>
      </c>
      <c r="E10" s="19" t="n">
        <v>46260</v>
      </c>
      <c r="F10" s="20" t="n">
        <f aca="false">IF(E10="","",E10+5)</f>
        <v>46265</v>
      </c>
      <c r="G10" s="19"/>
      <c r="H10" s="14" t="n">
        <v>6</v>
      </c>
      <c r="I10" s="21" t="str">
        <f aca="false">IF(E10="","",IF(G10="","Pending",IF(G10&lt;=F10,"SLA Met","SLA Overdue")))</f>
        <v>Pending</v>
      </c>
      <c r="J10" s="14" t="s">
        <v>62</v>
      </c>
      <c r="K10" s="11" t="str">
        <f aca="false">IF(I10="SLA Overdue","Yes","No")</f>
        <v>No</v>
      </c>
      <c r="L10" s="12"/>
    </row>
    <row r="11" customFormat="false" ht="15" hidden="false" customHeight="false" outlineLevel="0" collapsed="false">
      <c r="B11" s="11" t="n">
        <v>6</v>
      </c>
      <c r="C11" s="5" t="s">
        <v>68</v>
      </c>
      <c r="D11" s="5" t="s">
        <v>64</v>
      </c>
      <c r="E11" s="19" t="n">
        <v>46237</v>
      </c>
      <c r="F11" s="20" t="n">
        <f aca="false">IF(E11="","",E11+5)</f>
        <v>46242</v>
      </c>
      <c r="G11" s="19" t="n">
        <v>46240</v>
      </c>
      <c r="H11" s="14" t="n">
        <v>7</v>
      </c>
      <c r="I11" s="21" t="str">
        <f aca="false">IF(E11="","",IF(G11="","Pending",IF(G11&lt;=F11,"SLA Met","SLA Overdue")))</f>
        <v>SLA Met</v>
      </c>
      <c r="J11" s="14"/>
      <c r="K11" s="11" t="str">
        <f aca="false">IF(I11="SLA Overdue","Yes","No")</f>
        <v>No</v>
      </c>
      <c r="L11" s="12"/>
    </row>
    <row r="12" customFormat="false" ht="15" hidden="false" customHeight="false" outlineLevel="0" collapsed="false">
      <c r="B12" s="11" t="n">
        <v>7</v>
      </c>
      <c r="C12" s="5" t="s">
        <v>69</v>
      </c>
      <c r="D12" s="5" t="s">
        <v>70</v>
      </c>
      <c r="E12" s="19" t="n">
        <v>46261</v>
      </c>
      <c r="F12" s="20" t="n">
        <f aca="false">IF(E12="","",E12+5)</f>
        <v>46266</v>
      </c>
      <c r="G12" s="19" t="n">
        <v>46265</v>
      </c>
      <c r="H12" s="14" t="n">
        <v>11</v>
      </c>
      <c r="I12" s="21" t="str">
        <f aca="false">IF(E12="","",IF(G12="","Pending",IF(G12&lt;=F12,"SLA Met","SLA Overdue")))</f>
        <v>SLA Met</v>
      </c>
      <c r="J12" s="14"/>
      <c r="K12" s="11" t="str">
        <f aca="false">IF(I12="SLA Overdue","Yes","No")</f>
        <v>No</v>
      </c>
      <c r="L12" s="12"/>
    </row>
    <row r="13" customFormat="false" ht="15" hidden="false" customHeight="false" outlineLevel="0" collapsed="false">
      <c r="B13" s="11" t="n">
        <v>8</v>
      </c>
      <c r="C13" s="5" t="s">
        <v>71</v>
      </c>
      <c r="D13" s="5" t="s">
        <v>72</v>
      </c>
      <c r="E13" s="19" t="n">
        <v>46261</v>
      </c>
      <c r="F13" s="20" t="n">
        <f aca="false">IF(E13="","",E13+5)</f>
        <v>46266</v>
      </c>
      <c r="G13" s="19" t="n">
        <v>46263</v>
      </c>
      <c r="H13" s="14" t="n">
        <v>3</v>
      </c>
      <c r="I13" s="21" t="str">
        <f aca="false">IF(E13="","",IF(G13="","Pending",IF(G13&lt;=F13,"SLA Met","SLA Overdue")))</f>
        <v>SLA Met</v>
      </c>
      <c r="J13" s="14"/>
      <c r="K13" s="11" t="str">
        <f aca="false">IF(I13="SLA Overdue","Yes","No")</f>
        <v>No</v>
      </c>
      <c r="L13" s="12"/>
    </row>
    <row r="14" customFormat="false" ht="15" hidden="false" customHeight="false" outlineLevel="0" collapsed="false">
      <c r="B14" s="11" t="n">
        <v>9</v>
      </c>
      <c r="C14" s="5" t="s">
        <v>73</v>
      </c>
      <c r="D14" s="5" t="s">
        <v>74</v>
      </c>
      <c r="E14" s="19" t="n">
        <v>46258</v>
      </c>
      <c r="F14" s="20" t="n">
        <f aca="false">IF(E14="","",E14+5)</f>
        <v>46263</v>
      </c>
      <c r="G14" s="19" t="n">
        <v>46261</v>
      </c>
      <c r="H14" s="14" t="n">
        <v>9</v>
      </c>
      <c r="I14" s="21" t="str">
        <f aca="false">IF(E14="","",IF(G14="","Pending",IF(G14&lt;=F14,"SLA Met","SLA Overdue")))</f>
        <v>SLA Met</v>
      </c>
      <c r="J14" s="14"/>
      <c r="K14" s="11" t="str">
        <f aca="false">IF(I14="SLA Overdue","Yes","No")</f>
        <v>No</v>
      </c>
      <c r="L14" s="12"/>
    </row>
    <row r="15" customFormat="false" ht="15" hidden="false" customHeight="false" outlineLevel="0" collapsed="false">
      <c r="B15" s="11" t="n">
        <v>10</v>
      </c>
      <c r="C15" s="5" t="s">
        <v>75</v>
      </c>
      <c r="D15" s="5" t="s">
        <v>61</v>
      </c>
      <c r="E15" s="19" t="n">
        <v>46259</v>
      </c>
      <c r="F15" s="20" t="n">
        <f aca="false">IF(E15="","",E15+5)</f>
        <v>46264</v>
      </c>
      <c r="G15" s="19" t="n">
        <v>46263</v>
      </c>
      <c r="H15" s="14" t="n">
        <v>10</v>
      </c>
      <c r="I15" s="21" t="str">
        <f aca="false">IF(E15="","",IF(G15="","Pending",IF(G15&lt;=F15,"SLA Met","SLA Overdue")))</f>
        <v>SLA Met</v>
      </c>
      <c r="J15" s="14"/>
      <c r="K15" s="11" t="str">
        <f aca="false">IF(I15="SLA Overdue","Yes","No")</f>
        <v>No</v>
      </c>
      <c r="L15" s="12"/>
    </row>
    <row r="16" customFormat="false" ht="15" hidden="false" customHeight="false" outlineLevel="0" collapsed="false">
      <c r="B16" s="11" t="n">
        <v>11</v>
      </c>
      <c r="C16" s="5" t="s">
        <v>76</v>
      </c>
      <c r="D16" s="5" t="s">
        <v>64</v>
      </c>
      <c r="E16" s="19" t="n">
        <v>46243</v>
      </c>
      <c r="F16" s="20" t="n">
        <f aca="false">IF(E16="","",E16+5)</f>
        <v>46248</v>
      </c>
      <c r="G16" s="19" t="n">
        <v>46245</v>
      </c>
      <c r="H16" s="14" t="n">
        <v>5</v>
      </c>
      <c r="I16" s="21" t="str">
        <f aca="false">IF(E16="","",IF(G16="","Pending",IF(G16&lt;=F16,"SLA Met","SLA Overdue")))</f>
        <v>SLA Met</v>
      </c>
      <c r="J16" s="14"/>
      <c r="K16" s="11" t="str">
        <f aca="false">IF(I16="SLA Overdue","Yes","No")</f>
        <v>No</v>
      </c>
      <c r="L16" s="12"/>
    </row>
  </sheetData>
  <autoFilter ref="B5:L16"/>
  <mergeCells count="2">
    <mergeCell ref="B2:K2"/>
    <mergeCell ref="B3:K3"/>
  </mergeCells>
  <conditionalFormatting sqref="I6:I16">
    <cfRule type="expression" priority="2" aboveAverage="0" equalAverage="0" bottom="0" percent="0" rank="0" text="" dxfId="0">
      <formula>I6="SLA Met"</formula>
    </cfRule>
    <cfRule type="expression" priority="3" aboveAverage="0" equalAverage="0" bottom="0" percent="0" rank="0" text="" dxfId="2">
      <formula>I6="SLA Overdue"</formula>
    </cfRule>
    <cfRule type="expression" priority="4" aboveAverage="0" equalAverage="0" bottom="0" percent="0" rank="0" text="" dxfId="1">
      <formula>I6="Pending"</formula>
    </cfRule>
  </conditionalFormatting>
  <dataValidations count="1">
    <dataValidation allowBlank="true" errorStyle="stop" operator="between" showDropDown="false" showErrorMessage="false" showInputMessage="false" sqref="J6:J16" type="list">
      <formula1>"Approved,Query Raised,Impacted,Impacting"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2026-09-19T20:48:48Z</dcterms:created>
  <dc:creator>openpyxl</dc:creator>
  <dc:description/>
  <dc:language>en-IN</dc:language>
  <cp:lastModifiedBy/>
  <dcterms:modified xsi:type="dcterms:W3CDTF">2026-09-19T20:48:48Z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