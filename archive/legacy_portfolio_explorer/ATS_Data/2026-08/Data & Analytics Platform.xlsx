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<sst xmlns="http://schemas.openxmlformats.org/spreadsheetml/2006/main" count="104" uniqueCount="82">
  <si>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</si>
  <si>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</si>
  <si>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</si>
  <si>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</si>
  <si>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</si>
  <si>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</si>
  <si>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</si>
  <si>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</si>
  <si>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</si>
  <si>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</si>
  <si>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</si>
  <si>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</si>
  <si>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</si>
  <si>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</si>
  <si>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</si>
  <si>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</si>
  <si>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</si>
  <si>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</si>
  <si>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</si>
  <si>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</si>
  <si>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</si>
  <si>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</si>
  <si>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Data &amp; Analytics Platform</t>
  </si>
  <si>
    <t xml:space="preserve">Reporting Month (YYYY-MM)</t>
  </si>
  <si>
    <t xml:space="preserve">2026-08</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</si>
  <si>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</si>
  <si>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</si>
  <si>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</si>
  <si>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</si>
  <si>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</si>
  <si>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</si>
  <si>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</si>
  <si>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</si>
  <si>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</si>
  <si>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</si>
  <si>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</si>
  <si>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</si>
  <si>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</si>
  <si>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</si>
  <si>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</si>
  <si>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</si>
  <si>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</si>
  <si>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</si>
  <si>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</si>
  <si>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</si>
  <si>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</si>
  <si>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</si>
  <si>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</si>
  <si>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</si>
  <si>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</si>
  <si>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</si>
  <si>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</si>
  <si>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</si>
  <si>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</si>
  <si>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</si>
  <si>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</si>
  <si>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</si>
  <si>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</si>
  <si>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</si>
  <si>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</si>
  <si>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TSR-202608-001</t>
  </si>
  <si>
    <t xml:space="preserve">Change request impact assessment</t>
  </si>
  <si>
    <t xml:space="preserve">TSR-202608-002</t>
  </si>
  <si>
    <t xml:space="preserve">Performance test scope for peak load</t>
  </si>
  <si>
    <t xml:space="preserve">TSR-202608-003</t>
  </si>
  <si>
    <t xml:space="preserve">TSR-202608-004</t>
  </si>
  <si>
    <t xml:space="preserve">Additional environment test coverage</t>
  </si>
  <si>
    <t xml:space="preserve">TSR-202608-005</t>
  </si>
  <si>
    <t xml:space="preserve">TSR-202608-006</t>
  </si>
  <si>
    <t xml:space="preserve">New scope testing for release increment</t>
  </si>
  <si>
    <t xml:space="preserve">TSR-202608-007</t>
  </si>
  <si>
    <t xml:space="preserve">TSR-202608-008</t>
  </si>
  <si>
    <t xml:space="preserve">TSR-202608-009</t>
  </si>
  <si>
    <t xml:space="preserve">TSR-202608-010</t>
  </si>
  <si>
    <t xml:space="preserve">TSR-202608-011</t>
  </si>
  <si>
    <t xml:space="preserve">Security test scope addition</t>
  </si>
  <si>
    <t xml:space="preserve">TSR-202608-012</t>
  </si>
  <si>
    <t xml:space="preserve">TSR-202608-013</t>
  </si>
  <si>
    <t xml:space="preserve">TSR-202608-014</t>
  </si>
  <si>
    <t xml:space="preserve">TSR-202608-015</t>
  </si>
  <si>
    <t xml:space="preserve">TSR-202608-016</t>
  </si>
  <si>
    <t xml:space="preserve">Resource ramp-up for regression cycle</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</si>
</sst>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46262</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7.4</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62.2</v>
      </c>
      <c r="H9" s="15" t="str">
        <f aca="false">IF(G9="","",IF(E9="Higher",IF(G9&gt;=F9,"Green",IF(G9&gt;=F9*0.9,"Amber","Red")),IF(G9&lt;=F9,"Green",IF(G9&lt;=F9*1.1,"Amber","Red"))))</f>
        <v>Red</v>
      </c>
      <c r="I9" s="16"/>
    </row>
    <row r="10" customFormat="false" ht="15" hidden="false" customHeight="false" outlineLevel="0" collapsed="false">
      <c r="B10" s="11" t="n">
        <v>3</v>
      </c>
      <c r="C10" s="12" t="s">
        <v>40</v>
      </c>
      <c r="D10" s="11" t="s">
        <v>36</v>
      </c>
      <c r="E10" s="13" t="s">
        <v>39</v>
      </c>
      <c r="F10" s="14" t="n">
        <v>90</v>
      </c>
      <c r="G10" s="14" t="n">
        <v>82.1</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87.5</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87.6</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10.5</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4.4</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2</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46245</v>
      </c>
      <c r="F6" s="20" t="n">
        <f aca="false">IF(E6="","",E6+5)</f>
        <v>46250</v>
      </c>
      <c r="G6" s="19" t="n">
        <v>46250</v>
      </c>
      <c r="H6" s="14" t="n">
        <v>1</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46244</v>
      </c>
      <c r="F7" s="20" t="n">
        <f aca="false">IF(E7="","",E7+5)</f>
        <v>46249</v>
      </c>
      <c r="G7" s="19" t="n">
        <v>46249</v>
      </c>
      <c r="H7" s="14" t="n">
        <v>11</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64</v>
      </c>
      <c r="D8" s="5" t="s">
        <v>63</v>
      </c>
      <c r="E8" s="19" t="n">
        <v>46250</v>
      </c>
      <c r="F8" s="20" t="n">
        <f aca="false">IF(E8="","",E8+5)</f>
        <v>46255</v>
      </c>
      <c r="G8" s="19" t="n">
        <v>46254</v>
      </c>
      <c r="H8" s="14" t="n">
        <v>8</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65</v>
      </c>
      <c r="D9" s="5" t="s">
        <v>66</v>
      </c>
      <c r="E9" s="19" t="n">
        <v>46246</v>
      </c>
      <c r="F9" s="20" t="n">
        <f aca="false">IF(E9="","",E9+5)</f>
        <v>46251</v>
      </c>
      <c r="G9" s="19" t="n">
        <v>46251</v>
      </c>
      <c r="H9" s="14" t="n">
        <v>8</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67</v>
      </c>
      <c r="D10" s="5" t="s">
        <v>63</v>
      </c>
      <c r="E10" s="19" t="n">
        <v>46245</v>
      </c>
      <c r="F10" s="20" t="n">
        <f aca="false">IF(E10="","",E10+5)</f>
        <v>46250</v>
      </c>
      <c r="G10" s="19" t="n">
        <v>46247</v>
      </c>
      <c r="H10" s="14" t="n">
        <v>7</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68</v>
      </c>
      <c r="D11" s="5" t="s">
        <v>69</v>
      </c>
      <c r="E11" s="19" t="n">
        <v>46242</v>
      </c>
      <c r="F11" s="20" t="n">
        <f aca="false">IF(E11="","",E11+5)</f>
        <v>46247</v>
      </c>
      <c r="G11" s="19" t="n">
        <v>46246</v>
      </c>
      <c r="H11" s="14" t="n">
        <v>6</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70</v>
      </c>
      <c r="D12" s="5" t="s">
        <v>66</v>
      </c>
      <c r="E12" s="19" t="n">
        <v>46258</v>
      </c>
      <c r="F12" s="20" t="n">
        <f aca="false">IF(E12="","",E12+5)</f>
        <v>46263</v>
      </c>
      <c r="G12" s="19" t="n">
        <v>46262</v>
      </c>
      <c r="H12" s="14" t="n">
        <v>11</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71</v>
      </c>
      <c r="D13" s="5" t="s">
        <v>66</v>
      </c>
      <c r="E13" s="19" t="n">
        <v>46260</v>
      </c>
      <c r="F13" s="20" t="n">
        <f aca="false">IF(E13="","",E13+5)</f>
        <v>46265</v>
      </c>
      <c r="G13" s="19" t="n">
        <v>46262</v>
      </c>
      <c r="H13" s="14" t="n">
        <v>1</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72</v>
      </c>
      <c r="D14" s="5" t="s">
        <v>61</v>
      </c>
      <c r="E14" s="19" t="n">
        <v>46239</v>
      </c>
      <c r="F14" s="20" t="n">
        <f aca="false">IF(E14="","",E14+5)</f>
        <v>46244</v>
      </c>
      <c r="G14" s="19" t="n">
        <v>46244</v>
      </c>
      <c r="H14" s="14" t="n">
        <v>2</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73</v>
      </c>
      <c r="D15" s="5" t="s">
        <v>63</v>
      </c>
      <c r="E15" s="19" t="n">
        <v>46262</v>
      </c>
      <c r="F15" s="20" t="n">
        <f aca="false">IF(E15="","",E15+5)</f>
        <v>46267</v>
      </c>
      <c r="G15" s="19" t="n">
        <v>46263</v>
      </c>
      <c r="H15" s="14" t="n">
        <v>8</v>
      </c>
      <c r="I15" s="21" t="str">
        <f aca="false">IF(E15="","",IF(G15="","Pending",IF(G15&lt;=F15,"SLA Met","SLA Overdue")))</f>
        <v>SLA Met</v>
      </c>
      <c r="J15" s="14"/>
      <c r="K15" s="11" t="str">
        <f aca="false">IF(I15="SLA Overdue","Yes","No")</f>
        <v>No</v>
      </c>
      <c r="L15" s="12"/>
    </row>
    <row r="16" customFormat="false" ht="15" hidden="false" customHeight="false" outlineLevel="0" collapsed="false">
      <c r="B16" s="11" t="n">
        <v>11</v>
      </c>
      <c r="C16" s="5" t="s">
        <v>74</v>
      </c>
      <c r="D16" s="5" t="s">
        <v>75</v>
      </c>
      <c r="E16" s="19" t="n">
        <v>46235</v>
      </c>
      <c r="F16" s="20" t="n">
        <f aca="false">IF(E16="","",E16+5)</f>
        <v>46240</v>
      </c>
      <c r="G16" s="19" t="n">
        <v>46239</v>
      </c>
      <c r="H16" s="14" t="n">
        <v>3</v>
      </c>
      <c r="I16" s="21" t="str">
        <f aca="false">IF(E16="","",IF(G16="","Pending",IF(G16&lt;=F16,"SLA Met","SLA Overdue")))</f>
        <v>SLA Met</v>
      </c>
      <c r="J16" s="14"/>
      <c r="K16" s="11" t="str">
        <f aca="false">IF(I16="SLA Overdue","Yes","No")</f>
        <v>No</v>
      </c>
      <c r="L16" s="12"/>
    </row>
    <row r="17" customFormat="false" ht="15" hidden="false" customHeight="false" outlineLevel="0" collapsed="false">
      <c r="B17" s="11" t="n">
        <v>12</v>
      </c>
      <c r="C17" s="5" t="s">
        <v>76</v>
      </c>
      <c r="D17" s="5" t="s">
        <v>61</v>
      </c>
      <c r="E17" s="19" t="n">
        <v>46237</v>
      </c>
      <c r="F17" s="20" t="n">
        <f aca="false">IF(E17="","",E17+5)</f>
        <v>46242</v>
      </c>
      <c r="G17" s="19" t="n">
        <v>46240</v>
      </c>
      <c r="H17" s="14" t="n">
        <v>10</v>
      </c>
      <c r="I17" s="21" t="str">
        <f aca="false">IF(E17="","",IF(G17="","Pending",IF(G17&lt;=F17,"SLA Met","SLA Overdue")))</f>
        <v>SLA Met</v>
      </c>
      <c r="J17" s="14"/>
      <c r="K17" s="11" t="str">
        <f aca="false">IF(I17="SLA Overdue","Yes","No")</f>
        <v>No</v>
      </c>
      <c r="L17" s="12"/>
    </row>
    <row r="18" customFormat="false" ht="15" hidden="false" customHeight="false" outlineLevel="0" collapsed="false">
      <c r="B18" s="11" t="n">
        <v>13</v>
      </c>
      <c r="C18" s="5" t="s">
        <v>77</v>
      </c>
      <c r="D18" s="5" t="s">
        <v>61</v>
      </c>
      <c r="E18" s="19" t="n">
        <v>46257</v>
      </c>
      <c r="F18" s="20" t="n">
        <f aca="false">IF(E18="","",E18+5)</f>
        <v>46262</v>
      </c>
      <c r="G18" s="19" t="n">
        <v>46258</v>
      </c>
      <c r="H18" s="14" t="n">
        <v>11</v>
      </c>
      <c r="I18" s="21" t="str">
        <f aca="false">IF(E18="","",IF(G18="","Pending",IF(G18&lt;=F18,"SLA Met","SLA Overdue")))</f>
        <v>SLA Met</v>
      </c>
      <c r="J18" s="14"/>
      <c r="K18" s="11" t="str">
        <f aca="false">IF(I18="SLA Overdue","Yes","No")</f>
        <v>No</v>
      </c>
      <c r="L18" s="12"/>
    </row>
    <row r="19" customFormat="false" ht="15" hidden="false" customHeight="false" outlineLevel="0" collapsed="false">
      <c r="B19" s="11" t="n">
        <v>14</v>
      </c>
      <c r="C19" s="5" t="s">
        <v>78</v>
      </c>
      <c r="D19" s="5" t="s">
        <v>75</v>
      </c>
      <c r="E19" s="19" t="n">
        <v>46262</v>
      </c>
      <c r="F19" s="20" t="n">
        <f aca="false">IF(E19="","",E19+5)</f>
        <v>46267</v>
      </c>
      <c r="G19" s="19" t="n">
        <v>46265</v>
      </c>
      <c r="H19" s="14" t="n">
        <v>12</v>
      </c>
      <c r="I19" s="21" t="str">
        <f aca="false">IF(E19="","",IF(G19="","Pending",IF(G19&lt;=F19,"SLA Met","SLA Overdue")))</f>
        <v>SLA Met</v>
      </c>
      <c r="J19" s="14"/>
      <c r="K19" s="11" t="str">
        <f aca="false">IF(I19="SLA Overdue","Yes","No")</f>
        <v>No</v>
      </c>
      <c r="L19" s="12"/>
    </row>
    <row r="20" customFormat="false" ht="15" hidden="false" customHeight="false" outlineLevel="0" collapsed="false">
      <c r="B20" s="11" t="n">
        <v>15</v>
      </c>
      <c r="C20" s="5" t="s">
        <v>79</v>
      </c>
      <c r="D20" s="5" t="s">
        <v>69</v>
      </c>
      <c r="E20" s="19" t="n">
        <v>46259</v>
      </c>
      <c r="F20" s="20" t="n">
        <f aca="false">IF(E20="","",E20+5)</f>
        <v>46264</v>
      </c>
      <c r="G20" s="19" t="n">
        <v>46264</v>
      </c>
      <c r="H20" s="14" t="n">
        <v>10</v>
      </c>
      <c r="I20" s="21" t="str">
        <f aca="false">IF(E20="","",IF(G20="","Pending",IF(G20&lt;=F20,"SLA Met","SLA Overdue")))</f>
        <v>SLA Met</v>
      </c>
      <c r="J20" s="14"/>
      <c r="K20" s="11" t="str">
        <f aca="false">IF(I20="SLA Overdue","Yes","No")</f>
        <v>No</v>
      </c>
      <c r="L20" s="12"/>
    </row>
    <row r="21" customFormat="false" ht="15" hidden="false" customHeight="false" outlineLevel="0" collapsed="false">
      <c r="B21" s="11" t="n">
        <v>16</v>
      </c>
      <c r="C21" s="5" t="s">
        <v>80</v>
      </c>
      <c r="D21" s="5" t="s">
        <v>81</v>
      </c>
      <c r="E21" s="19" t="n">
        <v>46237</v>
      </c>
      <c r="F21" s="20" t="n">
        <f aca="false">IF(E21="","",E21+5)</f>
        <v>46242</v>
      </c>
      <c r="G21" s="19" t="n">
        <v>46245</v>
      </c>
      <c r="H21" s="14" t="n">
        <v>12</v>
      </c>
      <c r="I21" s="21" t="str">
        <f aca="false">IF(E21="","",IF(G21="","Pending",IF(G21&lt;=F21,"SLA Met","SLA Overdue")))</f>
        <v>SLA Overdue</v>
      </c>
      <c r="J21" s="14"/>
      <c r="K21" s="11" t="str">
        <f aca="false">IF(I21="SLA Overdue","Yes","No")</f>
        <v>Yes</v>
      </c>
      <c r="L21" s="12"/>
    </row>
  </sheetData>
  <autoFilter ref="B5:L21"/>
  <mergeCells count="2">
    <mergeCell ref="B2:K2"/>
    <mergeCell ref="B3:K3"/>
  </mergeCells>
  <conditionalFormatting sqref="I6:I21">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1"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