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KPI_Summary" sheetId="2" state="visible" r:id="rId4"/>
    <sheet name="TSR" sheetId="3" state="visible" r:id="rId5"/>
  </sheets>
  <definedNames>
    <definedName function="false" hidden="true" localSheetId="2" name="_xlnm._FilterDatabase" vbProcedure="false">TSR!$B$5:$L$24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<sst xmlns="http://schemas.openxmlformats.org/spreadsheetml/2006/main" count="113" uniqueCount="87">
  <si>
    <t xml:space="preserve">ATS Portfolio Data Template — Instructions</t>
  </si>
  <si>
    <t xml:space="preserve">What is this file?</t>
  </si>
  <si>
    <t xml:space="preserve">One workbook = one Portfolio's data for one reporting month. Save one copy per portfolio per month.</t>
  </si>
  <si>
    <t xml:space="preserve">Sheet: KPI_Summary</t>
  </si>
  <si>
    <t xml:space="preserve">Fill in the yellow cells only (Portfolio Name, Month, Actuals for each of the 8 KPI metrics). RAG Status and variance are calculated automatically — do not overwrite those formulas.</t>
  </si>
  <si>
    <t xml:space="preserve">Sheet: TSR</t>
  </si>
  <si>
    <t xml:space="preserve">One row per Test Scope Request (TSR) received. Fill in the yellow columns only. SLA Due Date, Response Status and Breach Flag are calculated automatically from the dates you enter — do not type over those columns.</t>
  </si>
  <si>
    <t xml:space="preserve">SLA rule</t>
  </si>
  <si>
    <t xml:space="preserve">TSRs must receive a response within 5 calendar days of receipt. If Date Responded is blank, the TSR is treated as Pending. If it is filled in after the SLA Due Date, it is flagged SLA Overdue (a contractual breach).</t>
  </si>
  <si>
    <t xml:space="preserve">File naming</t>
  </si>
  <si>
    <t xml:space="preserve">Name the file exactly as the Portfolio Name, e.g. 'Self Assessment.xlsx'. Do not include the month in the filename — the month lives inside the workbook and the folder it's placed in.</t>
  </si>
  <si>
    <t xml:space="preserve">Folder structure the dashboard expects</t>
  </si>
  <si>
    <t xml:space="preserve">ATS_Data / &lt;YYYY-MM&gt; / &lt;Portfolio Name&gt;.xlsx  — e.g. ATS_Data/2026-09/Self Assessment.xlsx</t>
  </si>
  <si>
    <t xml:space="preserve">Yellow cells</t>
  </si>
  <si>
    <t xml:space="preserve">Please fill these in.</t>
  </si>
  <si>
    <t xml:space="preserve">White cells with blue text</t>
  </si>
  <si>
    <t xml:space="preserve">Automatically calculated. Leave untouched.</t>
  </si>
  <si>
    <t xml:space="preserve">Legend</t>
  </si>
  <si>
    <t xml:space="preserve">  Fill this in  </t>
  </si>
  <si>
    <t xml:space="preserve">  Auto-calculated — do not edit  </t>
  </si>
  <si>
    <t xml:space="preserve">ATS Portfolio — KPI Summary</t>
  </si>
  <si>
    <t xml:space="preserve">Portfolio Name</t>
  </si>
  <si>
    <t xml:space="preserve">Data &amp; Analytics Platform</t>
  </si>
  <si>
    <t xml:space="preserve">Reporting Month (YYYY-MM)</t>
  </si>
  <si>
    <t xml:space="preserve">2026-09</t>
  </si>
  <si>
    <t xml:space="preserve">Prepared By</t>
  </si>
  <si>
    <t xml:space="preserve">Date Prepared</t>
  </si>
  <si>
    <t xml:space="preserve">#</t>
  </si>
  <si>
    <t xml:space="preserve">Metric</t>
  </si>
  <si>
    <t xml:space="preserve">Unit</t>
  </si>
  <si>
    <t xml:space="preserve">Direction</t>
  </si>
  <si>
    <t xml:space="preserve">Target</t>
  </si>
  <si>
    <t xml:space="preserve">Actual</t>
  </si>
  <si>
    <t xml:space="preserve">RAG Status</t>
  </si>
  <si>
    <t xml:space="preserve">Comments</t>
  </si>
  <si>
    <t xml:space="preserve">Defect Leakage</t>
  </si>
  <si>
    <t xml:space="preserve">%</t>
  </si>
  <si>
    <t xml:space="preserve">Lower</t>
  </si>
  <si>
    <t xml:space="preserve">Level of Automated Testing</t>
  </si>
  <si>
    <t xml:space="preserve">Higher</t>
  </si>
  <si>
    <t xml:space="preserve">Customer Satisfaction</t>
  </si>
  <si>
    <t xml:space="preserve">Risk-Based Test Coverage</t>
  </si>
  <si>
    <t xml:space="preserve">Defect Detection Rate</t>
  </si>
  <si>
    <t xml:space="preserve">Test Execution Downtime</t>
  </si>
  <si>
    <t xml:space="preserve">hrs</t>
  </si>
  <si>
    <t xml:space="preserve">Defect Turnaround Time</t>
  </si>
  <si>
    <t xml:space="preserve">days</t>
  </si>
  <si>
    <t xml:space="preserve">Critical Test Milestone Delays</t>
  </si>
  <si>
    <t xml:space="preserve">count</t>
  </si>
  <si>
    <t xml:space="preserve">ATS Portfolio — TSR Log (Test Scope Requests)</t>
  </si>
  <si>
    <t xml:space="preserve">SLA = 5 calendar days from Date Received. Response Status, SLA Due Date and Breach Flag are calculated automatically.</t>
  </si>
  <si>
    <t xml:space="preserve">TSR ID</t>
  </si>
  <si>
    <t xml:space="preserve">Scope Description</t>
  </si>
  <si>
    <t xml:space="preserve">Date Received</t>
  </si>
  <si>
    <t xml:space="preserve">SLA Due Date</t>
  </si>
  <si>
    <t xml:space="preserve">Date Responded</t>
  </si>
  <si>
    <t xml:space="preserve">Resource Count</t>
  </si>
  <si>
    <t xml:space="preserve">Response Status</t>
  </si>
  <si>
    <t xml:space="preserve">Pending Sub-Status</t>
  </si>
  <si>
    <t xml:space="preserve">Breach (Fine Applicable)</t>
  </si>
  <si>
    <t xml:space="preserve">TSR-202609-001</t>
  </si>
  <si>
    <t xml:space="preserve">Change request impact assessment</t>
  </si>
  <si>
    <t xml:space="preserve">TSR-202609-002</t>
  </si>
  <si>
    <t xml:space="preserve">Security test scope addition</t>
  </si>
  <si>
    <t xml:space="preserve">TSR-202609-003</t>
  </si>
  <si>
    <t xml:space="preserve">TSR-202609-004</t>
  </si>
  <si>
    <t xml:space="preserve">Impacting</t>
  </si>
  <si>
    <t xml:space="preserve">TSR-202609-005</t>
  </si>
  <si>
    <t xml:space="preserve">Performance test scope for peak load</t>
  </si>
  <si>
    <t xml:space="preserve">TSR-202609-006</t>
  </si>
  <si>
    <t xml:space="preserve">TSR-202609-007</t>
  </si>
  <si>
    <t xml:space="preserve">TSR-202609-008</t>
  </si>
  <si>
    <t xml:space="preserve">Resource ramp-up for regression cycle</t>
  </si>
  <si>
    <t xml:space="preserve">TSR-202609-009</t>
  </si>
  <si>
    <t xml:space="preserve">New scope testing for release increment</t>
  </si>
  <si>
    <t xml:space="preserve">Approved</t>
  </si>
  <si>
    <t xml:space="preserve">TSR-202609-010</t>
  </si>
  <si>
    <t xml:space="preserve">TSR-202609-011</t>
  </si>
  <si>
    <t xml:space="preserve">TSR-202609-012</t>
  </si>
  <si>
    <t xml:space="preserve">TSR-202609-013</t>
  </si>
  <si>
    <t xml:space="preserve">TSR-202609-014</t>
  </si>
  <si>
    <t xml:space="preserve">Additional environment test coverage</t>
  </si>
  <si>
    <t xml:space="preserve">TSR-202609-015</t>
  </si>
  <si>
    <t xml:space="preserve">TSR-202609-016</t>
  </si>
  <si>
    <t xml:space="preserve">TSR-202609-017</t>
  </si>
  <si>
    <t xml:space="preserve">TSR-202609-018</t>
  </si>
  <si>
    <t xml:space="preserve">TSR-202609-019</t>
  </si>
</sst>
</file>

<file path=xl/styles.xml><?xml version="1.0" encoding="utf-8"?>
<styleSheet xmlns="http://schemas.openxmlformats.org/spreadsheetml/2006/main">
  <numFmts count="2">
    <numFmt numFmtId="164" formatCode="General"/>
    <numFmt numFmtId="165" formatCode="yyyy\-mm\-dd"/>
  </numFmts>
  <fonts count="14">
    <font>
      <sz val="11"/>
      <color theme="1"/>
      <name val="Calibri"/>
      <family val="2"/>
      <charset val="1"/>
    </font>
    <font>
      <sz val="10"/>
      <name val="Arial"/>
      <family val="0"/>
    </font>
    <font>
      <sz val="10"/>
      <name val="Arial"/>
      <family val="0"/>
    </font>
    <font>
      <sz val="10"/>
      <name val="Arial"/>
      <family val="0"/>
    </font>
    <font>
      <b val="true"/>
      <sz val="14"/>
      <color rgb="FF1B2A4A"/>
      <name val="Arial"/>
      <family val="0"/>
      <charset val="1"/>
    </font>
    <font>
      <b val="true"/>
      <sz val="11"/>
      <color rgb="FF1B2A4A"/>
      <name val="Arial"/>
      <family val="0"/>
      <charset val="1"/>
    </font>
    <font>
      <sz val="11"/>
      <name val="Arial"/>
      <family val="0"/>
      <charset val="1"/>
    </font>
    <font>
      <b val="true"/>
      <sz val="10"/>
      <color rgb="FF6B7280"/>
      <name val="Arial"/>
      <family val="0"/>
      <charset val="1"/>
    </font>
    <font>
      <sz val="11"/>
      <color rgb="FF0000FF"/>
      <name val="Arial"/>
      <family val="0"/>
      <charset val="1"/>
    </font>
    <font>
      <b val="true"/>
      <sz val="11"/>
      <color rgb="FFFFFFFF"/>
      <name val="Arial"/>
      <family val="0"/>
      <charset val="1"/>
    </font>
    <font>
      <sz val="9"/>
      <color rgb="FF6B7280"/>
      <name val="Arial"/>
      <family val="0"/>
      <charset val="1"/>
    </font>
    <font>
      <b val="true"/>
      <sz val="11"/>
      <name val="Arial"/>
      <family val="0"/>
      <charset val="1"/>
    </font>
    <font>
      <i val="true"/>
      <sz val="9"/>
      <color rgb="FF6B7280"/>
      <name val="Arial"/>
      <family val="0"/>
      <charset val="1"/>
    </font>
    <font>
      <b val="true"/>
      <sz val="10"/>
      <name val="Arial"/>
      <family val="0"/>
      <charset val="1"/>
    </font>
  </fonts>
  <fills count="5">
    <fill>
      <patternFill patternType="none"/>
    </fill>
    <fill>
      <patternFill patternType="gray125"/>
    </fill>
    <fill>
      <patternFill patternType="solid">
        <fgColor rgb="FFFFF6CC"/>
        <bgColor rgb="FFF2F5F9"/>
      </patternFill>
    </fill>
    <fill>
      <patternFill patternType="solid">
        <fgColor rgb="FFF2F5F9"/>
        <bgColor rgb="FFFFFFFF"/>
      </patternFill>
    </fill>
    <fill>
      <patternFill patternType="solid">
        <fgColor rgb="FF1B2A4A"/>
        <bgColor rgb="FF003366"/>
      </patternFill>
    </fill>
  </fills>
  <borders count="2">
    <border diagonalUp="false" diagonalDown="false">
      <left/>
      <right/>
      <top/>
      <bottom/>
      <diagonal/>
    </border>
    <border diagonalUp="false" diagonalDown="false">
      <left style="thin">
        <color rgb="FFD0D5DD"/>
      </left>
      <right style="thin">
        <color rgb="FFD0D5DD"/>
      </right>
      <top style="thin">
        <color rgb="FFD0D5DD"/>
      </top>
      <bottom style="thin">
        <color rgb="FFD0D5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5" fontId="8" fillId="2" borderId="0" xfId="0" applyFont="true" applyBorder="fals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4" fontId="8" fillId="2" borderId="1" xfId="0" applyFont="true" applyBorder="true" applyAlignment="true" applyProtection="false">
      <alignment horizontal="center" vertical="bottom" textRotation="0" wrapText="false" indent="0" shrinkToFit="false"/>
      <protection locked="true" hidden="false"/>
    </xf>
    <xf numFmtId="164" fontId="11"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5" fontId="8" fillId="2"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center" vertical="bottom" textRotation="0" wrapText="false" indent="0" shrinkToFit="false"/>
      <protection locked="true" hidden="false"/>
    </xf>
    <xf numFmtId="164" fontId="13"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bgColor rgb="FFC6EFCE"/>
        </patternFill>
      </fill>
    </dxf>
    <dxf>
      <fill>
        <patternFill>
          <bgColor rgb="FFFFEB9C"/>
        </patternFill>
      </fill>
    </dxf>
    <dxf>
      <fill>
        <patternFill>
          <bgColor rgb="FFFFC7CE"/>
        </patternFill>
      </fill>
    </dxf>
    <dxf>
      <fill>
        <patternFill patternType="solid">
          <fgColor rgb="FF1B2A4A"/>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FF6CC"/>
          <bgColor rgb="FF000000"/>
        </patternFill>
      </fill>
    </dxf>
    <dxf>
      <fill>
        <patternFill patternType="solid">
          <fgColor rgb="FF0000FF"/>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6CC"/>
      <rgbColor rgb="FFF2F5F9"/>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B7280"/>
      <rgbColor rgb="FF969696"/>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3" min="3" style="0" width="90"/>
  </cols>
  <sheetData>
    <row r="2" customFormat="false" ht="17.35" hidden="false" customHeight="false" outlineLevel="0" collapsed="false">
      <c r="B2" s="1" t="s">
        <v>0</v>
      </c>
      <c r="C2" s="1"/>
    </row>
    <row r="4" customFormat="false" ht="31.5" hidden="false" customHeight="true" outlineLevel="0" collapsed="false">
      <c r="B4" s="2" t="s">
        <v>1</v>
      </c>
      <c r="C4" s="3" t="s">
        <v>2</v>
      </c>
    </row>
    <row r="6" customFormat="false" ht="31.5" hidden="false" customHeight="true" outlineLevel="0" collapsed="false">
      <c r="B6" s="2" t="s">
        <v>3</v>
      </c>
      <c r="C6" s="3" t="s">
        <v>4</v>
      </c>
    </row>
    <row r="8" customFormat="false" ht="31.5" hidden="false" customHeight="true" outlineLevel="0" collapsed="false">
      <c r="B8" s="2" t="s">
        <v>5</v>
      </c>
      <c r="C8" s="3" t="s">
        <v>6</v>
      </c>
    </row>
    <row r="10" customFormat="false" ht="31.5" hidden="false" customHeight="true" outlineLevel="0" collapsed="false">
      <c r="B10" s="2" t="s">
        <v>7</v>
      </c>
      <c r="C10" s="3" t="s">
        <v>8</v>
      </c>
    </row>
    <row r="12" customFormat="false" ht="31.5" hidden="false" customHeight="true" outlineLevel="0" collapsed="false">
      <c r="B12" s="2" t="s">
        <v>9</v>
      </c>
      <c r="C12" s="3" t="s">
        <v>10</v>
      </c>
    </row>
    <row r="14" customFormat="false" ht="31.5" hidden="false" customHeight="true" outlineLevel="0" collapsed="false">
      <c r="B14" s="2" t="s">
        <v>11</v>
      </c>
      <c r="C14" s="3" t="s">
        <v>12</v>
      </c>
    </row>
    <row r="16" customFormat="false" ht="31.5" hidden="false" customHeight="true" outlineLevel="0" collapsed="false">
      <c r="B16" s="2" t="s">
        <v>13</v>
      </c>
      <c r="C16" s="3" t="s">
        <v>14</v>
      </c>
    </row>
    <row r="18" customFormat="false" ht="31.5" hidden="false" customHeight="true" outlineLevel="0" collapsed="false">
      <c r="B18" s="2" t="s">
        <v>15</v>
      </c>
      <c r="C18" s="3" t="s">
        <v>16</v>
      </c>
    </row>
    <row r="21" customFormat="false" ht="15" hidden="false" customHeight="false" outlineLevel="0" collapsed="false">
      <c r="B21" s="4" t="s">
        <v>17</v>
      </c>
    </row>
    <row r="22" customFormat="false" ht="15" hidden="false" customHeight="false" outlineLevel="0" collapsed="false">
      <c r="B22" s="5" t="s">
        <v>18</v>
      </c>
    </row>
    <row r="23" customFormat="false" ht="15" hidden="false" customHeight="false" outlineLevel="0" collapsed="false">
      <c r="B23" s="6" t="s">
        <v>19</v>
      </c>
    </row>
  </sheetData>
  <mergeCells count="1">
    <mergeCell ref="B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8"/>
    <col collapsed="false" customWidth="true" hidden="false" outlineLevel="0" max="5" min="4" style="0" width="12"/>
    <col collapsed="false" customWidth="true" hidden="false" outlineLevel="0" max="6" min="6" style="0" width="14"/>
    <col collapsed="false" customWidth="true" hidden="false" outlineLevel="0" max="7" min="7" style="0" width="16"/>
    <col collapsed="false" customWidth="true" hidden="false" outlineLevel="0" max="8" min="8" style="0" width="40"/>
  </cols>
  <sheetData>
    <row r="2" customFormat="false" ht="17.35" hidden="false" customHeight="false" outlineLevel="0" collapsed="false">
      <c r="B2" s="1" t="s">
        <v>20</v>
      </c>
      <c r="C2" s="1"/>
      <c r="D2" s="1"/>
      <c r="E2" s="1"/>
      <c r="F2" s="1"/>
      <c r="G2" s="1"/>
      <c r="H2" s="1"/>
    </row>
    <row r="4" customFormat="false" ht="15" hidden="false" customHeight="false" outlineLevel="0" collapsed="false">
      <c r="B4" s="4" t="s">
        <v>21</v>
      </c>
      <c r="C4" s="7" t="s">
        <v>22</v>
      </c>
      <c r="D4" s="7"/>
      <c r="E4" s="4" t="s">
        <v>23</v>
      </c>
      <c r="F4" s="8" t="s">
        <v>24</v>
      </c>
    </row>
    <row r="5" customFormat="false" ht="15" hidden="false" customHeight="false" outlineLevel="0" collapsed="false">
      <c r="B5" s="4" t="s">
        <v>25</v>
      </c>
      <c r="C5" s="7"/>
      <c r="D5" s="7"/>
      <c r="E5" s="4" t="s">
        <v>26</v>
      </c>
      <c r="F5" s="9" t="n">
        <v>46293</v>
      </c>
    </row>
    <row r="7" customFormat="false" ht="19.5" hidden="false" customHeight="true" outlineLevel="0" collapsed="false">
      <c r="B7" s="10" t="s">
        <v>27</v>
      </c>
      <c r="C7" s="10" t="s">
        <v>28</v>
      </c>
      <c r="D7" s="10" t="s">
        <v>29</v>
      </c>
      <c r="E7" s="10" t="s">
        <v>30</v>
      </c>
      <c r="F7" s="10" t="s">
        <v>31</v>
      </c>
      <c r="G7" s="10" t="s">
        <v>32</v>
      </c>
      <c r="H7" s="10" t="s">
        <v>33</v>
      </c>
      <c r="I7" s="10" t="s">
        <v>34</v>
      </c>
    </row>
    <row r="8" customFormat="false" ht="15" hidden="false" customHeight="false" outlineLevel="0" collapsed="false">
      <c r="B8" s="11" t="n">
        <v>1</v>
      </c>
      <c r="C8" s="12" t="s">
        <v>35</v>
      </c>
      <c r="D8" s="11" t="s">
        <v>36</v>
      </c>
      <c r="E8" s="13" t="s">
        <v>37</v>
      </c>
      <c r="F8" s="14" t="n">
        <v>5</v>
      </c>
      <c r="G8" s="14" t="n">
        <v>6.2</v>
      </c>
      <c r="H8" s="15" t="str">
        <f aca="false">IF(G8="","",IF(E8="Higher",IF(G8&gt;=F8,"Green",IF(G8&gt;=F8*0.9,"Amber","Red")),IF(G8&lt;=F8,"Green",IF(G8&lt;=F8*1.1,"Amber","Red"))))</f>
        <v>Red</v>
      </c>
      <c r="I8" s="16"/>
    </row>
    <row r="9" customFormat="false" ht="15" hidden="false" customHeight="false" outlineLevel="0" collapsed="false">
      <c r="B9" s="11" t="n">
        <v>2</v>
      </c>
      <c r="C9" s="12" t="s">
        <v>38</v>
      </c>
      <c r="D9" s="11" t="s">
        <v>36</v>
      </c>
      <c r="E9" s="13" t="s">
        <v>39</v>
      </c>
      <c r="F9" s="14" t="n">
        <v>70</v>
      </c>
      <c r="G9" s="14" t="n">
        <v>64</v>
      </c>
      <c r="H9" s="15" t="str">
        <f aca="false">IF(G9="","",IF(E9="Higher",IF(G9&gt;=F9,"Green",IF(G9&gt;=F9*0.9,"Amber","Red")),IF(G9&lt;=F9,"Green",IF(G9&lt;=F9*1.1,"Amber","Red"))))</f>
        <v>Amber</v>
      </c>
      <c r="I9" s="16"/>
    </row>
    <row r="10" customFormat="false" ht="15" hidden="false" customHeight="false" outlineLevel="0" collapsed="false">
      <c r="B10" s="11" t="n">
        <v>3</v>
      </c>
      <c r="C10" s="12" t="s">
        <v>40</v>
      </c>
      <c r="D10" s="11" t="s">
        <v>36</v>
      </c>
      <c r="E10" s="13" t="s">
        <v>39</v>
      </c>
      <c r="F10" s="14" t="n">
        <v>90</v>
      </c>
      <c r="G10" s="14" t="n">
        <v>83.9</v>
      </c>
      <c r="H10" s="15" t="str">
        <f aca="false">IF(G10="","",IF(E10="Higher",IF(G10&gt;=F10,"Green",IF(G10&gt;=F10*0.9,"Amber","Red")),IF(G10&lt;=F10,"Green",IF(G10&lt;=F10*1.1,"Amber","Red"))))</f>
        <v>Amber</v>
      </c>
      <c r="I10" s="16"/>
    </row>
    <row r="11" customFormat="false" ht="15" hidden="false" customHeight="false" outlineLevel="0" collapsed="false">
      <c r="B11" s="11" t="n">
        <v>4</v>
      </c>
      <c r="C11" s="12" t="s">
        <v>41</v>
      </c>
      <c r="D11" s="11" t="s">
        <v>36</v>
      </c>
      <c r="E11" s="13" t="s">
        <v>39</v>
      </c>
      <c r="F11" s="14" t="n">
        <v>95</v>
      </c>
      <c r="G11" s="14" t="n">
        <v>89.3</v>
      </c>
      <c r="H11" s="15" t="str">
        <f aca="false">IF(G11="","",IF(E11="Higher",IF(G11&gt;=F11,"Green",IF(G11&gt;=F11*0.9,"Amber","Red")),IF(G11&lt;=F11,"Green",IF(G11&lt;=F11*1.1,"Amber","Red"))))</f>
        <v>Amber</v>
      </c>
      <c r="I11" s="16"/>
    </row>
    <row r="12" customFormat="false" ht="15" hidden="false" customHeight="false" outlineLevel="0" collapsed="false">
      <c r="B12" s="11" t="n">
        <v>5</v>
      </c>
      <c r="C12" s="12" t="s">
        <v>42</v>
      </c>
      <c r="D12" s="11" t="s">
        <v>36</v>
      </c>
      <c r="E12" s="13" t="s">
        <v>39</v>
      </c>
      <c r="F12" s="14" t="n">
        <v>92</v>
      </c>
      <c r="G12" s="14" t="n">
        <v>89.4</v>
      </c>
      <c r="H12" s="15" t="str">
        <f aca="false">IF(G12="","",IF(E12="Higher",IF(G12&gt;=F12,"Green",IF(G12&gt;=F12*0.9,"Amber","Red")),IF(G12&lt;=F12,"Green",IF(G12&lt;=F12*1.1,"Amber","Red"))))</f>
        <v>Amber</v>
      </c>
      <c r="I12" s="16"/>
    </row>
    <row r="13" customFormat="false" ht="15" hidden="false" customHeight="false" outlineLevel="0" collapsed="false">
      <c r="B13" s="11" t="n">
        <v>6</v>
      </c>
      <c r="C13" s="12" t="s">
        <v>43</v>
      </c>
      <c r="D13" s="11" t="s">
        <v>44</v>
      </c>
      <c r="E13" s="13" t="s">
        <v>37</v>
      </c>
      <c r="F13" s="14" t="n">
        <v>8</v>
      </c>
      <c r="G13" s="14" t="n">
        <v>10.9</v>
      </c>
      <c r="H13" s="15" t="str">
        <f aca="false">IF(G13="","",IF(E13="Higher",IF(G13&gt;=F13,"Green",IF(G13&gt;=F13*0.9,"Amber","Red")),IF(G13&lt;=F13,"Green",IF(G13&lt;=F13*1.1,"Amber","Red"))))</f>
        <v>Red</v>
      </c>
      <c r="I13" s="16"/>
    </row>
    <row r="14" customFormat="false" ht="15" hidden="false" customHeight="false" outlineLevel="0" collapsed="false">
      <c r="B14" s="11" t="n">
        <v>7</v>
      </c>
      <c r="C14" s="12" t="s">
        <v>45</v>
      </c>
      <c r="D14" s="11" t="s">
        <v>46</v>
      </c>
      <c r="E14" s="13" t="s">
        <v>37</v>
      </c>
      <c r="F14" s="14" t="n">
        <v>3</v>
      </c>
      <c r="G14" s="14" t="n">
        <v>4.6</v>
      </c>
      <c r="H14" s="15" t="str">
        <f aca="false">IF(G14="","",IF(E14="Higher",IF(G14&gt;=F14,"Green",IF(G14&gt;=F14*0.9,"Amber","Red")),IF(G14&lt;=F14,"Green",IF(G14&lt;=F14*1.1,"Amber","Red"))))</f>
        <v>Red</v>
      </c>
      <c r="I14" s="16"/>
    </row>
    <row r="15" customFormat="false" ht="15" hidden="false" customHeight="false" outlineLevel="0" collapsed="false">
      <c r="B15" s="11" t="n">
        <v>8</v>
      </c>
      <c r="C15" s="12" t="s">
        <v>47</v>
      </c>
      <c r="D15" s="11" t="s">
        <v>48</v>
      </c>
      <c r="E15" s="13" t="s">
        <v>37</v>
      </c>
      <c r="F15" s="14" t="n">
        <v>0</v>
      </c>
      <c r="G15" s="14" t="n">
        <v>1</v>
      </c>
      <c r="H15" s="15" t="str">
        <f aca="false">IF(G15="","",IF(E15="Higher",IF(G15&gt;=F15,"Green",IF(G15&gt;=F15*0.9,"Amber","Red")),IF(G15&lt;=F15,"Green",IF(G15&lt;=F15*1.1,"Amber","Red"))))</f>
        <v>Red</v>
      </c>
      <c r="I15" s="16"/>
    </row>
  </sheetData>
  <mergeCells count="3">
    <mergeCell ref="B2:H2"/>
    <mergeCell ref="C4:D4"/>
    <mergeCell ref="C5:D5"/>
  </mergeCells>
  <conditionalFormatting sqref="H8:H15">
    <cfRule type="expression" priority="2" aboveAverage="0" equalAverage="0" bottom="0" percent="0" rank="0" text="" dxfId="0">
      <formula>H8="Green"</formula>
    </cfRule>
    <cfRule type="expression" priority="3" aboveAverage="0" equalAverage="0" bottom="0" percent="0" rank="0" text="" dxfId="1">
      <formula>H8="Amber"</formula>
    </cfRule>
    <cfRule type="expression" priority="4" aboveAverage="0" equalAverage="0" bottom="0" percent="0" rank="0" text="" dxfId="2">
      <formula>H8="Red"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12"/>
    <col collapsed="false" customWidth="true" hidden="false" outlineLevel="0" max="3" min="3" style="0" width="34"/>
    <col collapsed="false" customWidth="true" hidden="false" outlineLevel="0" max="6" min="4" style="0" width="14"/>
    <col collapsed="false" customWidth="true" hidden="false" outlineLevel="0" max="7" min="7" style="0" width="12"/>
    <col collapsed="false" customWidth="true" hidden="false" outlineLevel="0" max="8" min="8" style="0" width="16"/>
    <col collapsed="false" customWidth="true" hidden="false" outlineLevel="0" max="9" min="9" style="0" width="18"/>
    <col collapsed="false" customWidth="true" hidden="false" outlineLevel="0" max="10" min="10" style="0" width="10"/>
    <col collapsed="false" customWidth="true" hidden="false" outlineLevel="0" max="11" min="11" style="0" width="30"/>
  </cols>
  <sheetData>
    <row r="2" customFormat="false" ht="17.35" hidden="false" customHeight="false" outlineLevel="0" collapsed="false">
      <c r="B2" s="1" t="s">
        <v>49</v>
      </c>
      <c r="C2" s="1"/>
      <c r="D2" s="1"/>
      <c r="E2" s="1"/>
      <c r="F2" s="1"/>
      <c r="G2" s="1"/>
      <c r="H2" s="1"/>
      <c r="I2" s="1"/>
      <c r="J2" s="1"/>
      <c r="K2" s="1"/>
    </row>
    <row r="3" customFormat="false" ht="15" hidden="false" customHeight="false" outlineLevel="0" collapsed="false">
      <c r="B3" s="17" t="s">
        <v>50</v>
      </c>
      <c r="C3" s="17"/>
      <c r="D3" s="17"/>
      <c r="E3" s="17"/>
      <c r="F3" s="17"/>
      <c r="G3" s="17"/>
      <c r="H3" s="17"/>
      <c r="I3" s="17"/>
      <c r="J3" s="17"/>
      <c r="K3" s="17"/>
    </row>
    <row r="5" customFormat="false" ht="31.5" hidden="false" customHeight="true" outlineLevel="0" collapsed="false">
      <c r="B5" s="18" t="s">
        <v>27</v>
      </c>
      <c r="C5" s="18" t="s">
        <v>51</v>
      </c>
      <c r="D5" s="18" t="s">
        <v>52</v>
      </c>
      <c r="E5" s="18" t="s">
        <v>53</v>
      </c>
      <c r="F5" s="18" t="s">
        <v>54</v>
      </c>
      <c r="G5" s="18" t="s">
        <v>55</v>
      </c>
      <c r="H5" s="18" t="s">
        <v>56</v>
      </c>
      <c r="I5" s="18" t="s">
        <v>57</v>
      </c>
      <c r="J5" s="18" t="s">
        <v>58</v>
      </c>
      <c r="K5" s="18" t="s">
        <v>59</v>
      </c>
      <c r="L5" s="18" t="s">
        <v>34</v>
      </c>
    </row>
    <row r="6" customFormat="false" ht="15" hidden="false" customHeight="false" outlineLevel="0" collapsed="false">
      <c r="B6" s="11" t="n">
        <v>1</v>
      </c>
      <c r="C6" s="5" t="s">
        <v>60</v>
      </c>
      <c r="D6" s="5" t="s">
        <v>61</v>
      </c>
      <c r="E6" s="19" t="n">
        <v>46289</v>
      </c>
      <c r="F6" s="20" t="n">
        <f aca="false">IF(E6="","",E6+5)</f>
        <v>46294</v>
      </c>
      <c r="G6" s="19" t="n">
        <v>46294</v>
      </c>
      <c r="H6" s="14" t="n">
        <v>9</v>
      </c>
      <c r="I6" s="21" t="str">
        <f aca="false">IF(E6="","",IF(G6="","Pending",IF(G6&lt;=F6,"SLA Met","SLA Overdue")))</f>
        <v>SLA Met</v>
      </c>
      <c r="J6" s="14"/>
      <c r="K6" s="11" t="str">
        <f aca="false">IF(I6="SLA Overdue","Yes","No")</f>
        <v>No</v>
      </c>
      <c r="L6" s="12"/>
    </row>
    <row r="7" customFormat="false" ht="15" hidden="false" customHeight="false" outlineLevel="0" collapsed="false">
      <c r="B7" s="11" t="n">
        <v>2</v>
      </c>
      <c r="C7" s="5" t="s">
        <v>62</v>
      </c>
      <c r="D7" s="5" t="s">
        <v>63</v>
      </c>
      <c r="E7" s="19" t="n">
        <v>46292</v>
      </c>
      <c r="F7" s="20" t="n">
        <f aca="false">IF(E7="","",E7+5)</f>
        <v>46297</v>
      </c>
      <c r="G7" s="19" t="n">
        <v>46296</v>
      </c>
      <c r="H7" s="14" t="n">
        <v>10</v>
      </c>
      <c r="I7" s="21" t="str">
        <f aca="false">IF(E7="","",IF(G7="","Pending",IF(G7&lt;=F7,"SLA Met","SLA Overdue")))</f>
        <v>SLA Met</v>
      </c>
      <c r="J7" s="14"/>
      <c r="K7" s="11" t="str">
        <f aca="false">IF(I7="SLA Overdue","Yes","No")</f>
        <v>No</v>
      </c>
      <c r="L7" s="12"/>
    </row>
    <row r="8" customFormat="false" ht="15" hidden="false" customHeight="false" outlineLevel="0" collapsed="false">
      <c r="B8" s="11" t="n">
        <v>3</v>
      </c>
      <c r="C8" s="5" t="s">
        <v>64</v>
      </c>
      <c r="D8" s="5" t="s">
        <v>61</v>
      </c>
      <c r="E8" s="19" t="n">
        <v>46275</v>
      </c>
      <c r="F8" s="20" t="n">
        <f aca="false">IF(E8="","",E8+5)</f>
        <v>46280</v>
      </c>
      <c r="G8" s="19" t="n">
        <v>46276</v>
      </c>
      <c r="H8" s="14" t="n">
        <v>6</v>
      </c>
      <c r="I8" s="21" t="str">
        <f aca="false">IF(E8="","",IF(G8="","Pending",IF(G8&lt;=F8,"SLA Met","SLA Overdue")))</f>
        <v>SLA Met</v>
      </c>
      <c r="J8" s="14"/>
      <c r="K8" s="11" t="str">
        <f aca="false">IF(I8="SLA Overdue","Yes","No")</f>
        <v>No</v>
      </c>
      <c r="L8" s="12"/>
    </row>
    <row r="9" customFormat="false" ht="15" hidden="false" customHeight="false" outlineLevel="0" collapsed="false">
      <c r="B9" s="11" t="n">
        <v>4</v>
      </c>
      <c r="C9" s="5" t="s">
        <v>65</v>
      </c>
      <c r="D9" s="5" t="s">
        <v>61</v>
      </c>
      <c r="E9" s="19" t="n">
        <v>46287</v>
      </c>
      <c r="F9" s="20" t="n">
        <f aca="false">IF(E9="","",E9+5)</f>
        <v>46292</v>
      </c>
      <c r="G9" s="19"/>
      <c r="H9" s="14" t="n">
        <v>12</v>
      </c>
      <c r="I9" s="21" t="str">
        <f aca="false">IF(E9="","",IF(G9="","Pending",IF(G9&lt;=F9,"SLA Met","SLA Overdue")))</f>
        <v>Pending</v>
      </c>
      <c r="J9" s="14" t="s">
        <v>66</v>
      </c>
      <c r="K9" s="11" t="str">
        <f aca="false">IF(I9="SLA Overdue","Yes","No")</f>
        <v>No</v>
      </c>
      <c r="L9" s="12"/>
    </row>
    <row r="10" customFormat="false" ht="15" hidden="false" customHeight="false" outlineLevel="0" collapsed="false">
      <c r="B10" s="11" t="n">
        <v>5</v>
      </c>
      <c r="C10" s="5" t="s">
        <v>67</v>
      </c>
      <c r="D10" s="5" t="s">
        <v>68</v>
      </c>
      <c r="E10" s="19" t="n">
        <v>46293</v>
      </c>
      <c r="F10" s="20" t="n">
        <f aca="false">IF(E10="","",E10+5)</f>
        <v>46298</v>
      </c>
      <c r="G10" s="19" t="n">
        <v>46294</v>
      </c>
      <c r="H10" s="14" t="n">
        <v>8</v>
      </c>
      <c r="I10" s="21" t="str">
        <f aca="false">IF(E10="","",IF(G10="","Pending",IF(G10&lt;=F10,"SLA Met","SLA Overdue")))</f>
        <v>SLA Met</v>
      </c>
      <c r="J10" s="14"/>
      <c r="K10" s="11" t="str">
        <f aca="false">IF(I10="SLA Overdue","Yes","No")</f>
        <v>No</v>
      </c>
      <c r="L10" s="12"/>
    </row>
    <row r="11" customFormat="false" ht="15" hidden="false" customHeight="false" outlineLevel="0" collapsed="false">
      <c r="B11" s="11" t="n">
        <v>6</v>
      </c>
      <c r="C11" s="5" t="s">
        <v>69</v>
      </c>
      <c r="D11" s="5" t="s">
        <v>68</v>
      </c>
      <c r="E11" s="19" t="n">
        <v>46274</v>
      </c>
      <c r="F11" s="20" t="n">
        <f aca="false">IF(E11="","",E11+5)</f>
        <v>46279</v>
      </c>
      <c r="G11" s="19" t="n">
        <v>46279</v>
      </c>
      <c r="H11" s="14" t="n">
        <v>4</v>
      </c>
      <c r="I11" s="21" t="str">
        <f aca="false">IF(E11="","",IF(G11="","Pending",IF(G11&lt;=F11,"SLA Met","SLA Overdue")))</f>
        <v>SLA Met</v>
      </c>
      <c r="J11" s="14"/>
      <c r="K11" s="11" t="str">
        <f aca="false">IF(I11="SLA Overdue","Yes","No")</f>
        <v>No</v>
      </c>
      <c r="L11" s="12"/>
    </row>
    <row r="12" customFormat="false" ht="15" hidden="false" customHeight="false" outlineLevel="0" collapsed="false">
      <c r="B12" s="11" t="n">
        <v>7</v>
      </c>
      <c r="C12" s="5" t="s">
        <v>70</v>
      </c>
      <c r="D12" s="5" t="s">
        <v>68</v>
      </c>
      <c r="E12" s="19" t="n">
        <v>46289</v>
      </c>
      <c r="F12" s="20" t="n">
        <f aca="false">IF(E12="","",E12+5)</f>
        <v>46294</v>
      </c>
      <c r="G12" s="19"/>
      <c r="H12" s="14" t="n">
        <v>11</v>
      </c>
      <c r="I12" s="21" t="str">
        <f aca="false">IF(E12="","",IF(G12="","Pending",IF(G12&lt;=F12,"SLA Met","SLA Overdue")))</f>
        <v>Pending</v>
      </c>
      <c r="J12" s="14" t="s">
        <v>66</v>
      </c>
      <c r="K12" s="11" t="str">
        <f aca="false">IF(I12="SLA Overdue","Yes","No")</f>
        <v>No</v>
      </c>
      <c r="L12" s="12"/>
    </row>
    <row r="13" customFormat="false" ht="15" hidden="false" customHeight="false" outlineLevel="0" collapsed="false">
      <c r="B13" s="11" t="n">
        <v>8</v>
      </c>
      <c r="C13" s="5" t="s">
        <v>71</v>
      </c>
      <c r="D13" s="5" t="s">
        <v>72</v>
      </c>
      <c r="E13" s="19" t="n">
        <v>46289</v>
      </c>
      <c r="F13" s="20" t="n">
        <f aca="false">IF(E13="","",E13+5)</f>
        <v>46294</v>
      </c>
      <c r="G13" s="19" t="n">
        <v>46293</v>
      </c>
      <c r="H13" s="14" t="n">
        <v>11</v>
      </c>
      <c r="I13" s="21" t="str">
        <f aca="false">IF(E13="","",IF(G13="","Pending",IF(G13&lt;=F13,"SLA Met","SLA Overdue")))</f>
        <v>SLA Met</v>
      </c>
      <c r="J13" s="14"/>
      <c r="K13" s="11" t="str">
        <f aca="false">IF(I13="SLA Overdue","Yes","No")</f>
        <v>No</v>
      </c>
      <c r="L13" s="12"/>
    </row>
    <row r="14" customFormat="false" ht="15" hidden="false" customHeight="false" outlineLevel="0" collapsed="false">
      <c r="B14" s="11" t="n">
        <v>9</v>
      </c>
      <c r="C14" s="5" t="s">
        <v>73</v>
      </c>
      <c r="D14" s="5" t="s">
        <v>74</v>
      </c>
      <c r="E14" s="19" t="n">
        <v>46273</v>
      </c>
      <c r="F14" s="20" t="n">
        <f aca="false">IF(E14="","",E14+5)</f>
        <v>46278</v>
      </c>
      <c r="G14" s="19"/>
      <c r="H14" s="14" t="n">
        <v>4</v>
      </c>
      <c r="I14" s="21" t="str">
        <f aca="false">IF(E14="","",IF(G14="","Pending",IF(G14&lt;=F14,"SLA Met","SLA Overdue")))</f>
        <v>Pending</v>
      </c>
      <c r="J14" s="14" t="s">
        <v>75</v>
      </c>
      <c r="K14" s="11" t="str">
        <f aca="false">IF(I14="SLA Overdue","Yes","No")</f>
        <v>No</v>
      </c>
      <c r="L14" s="12"/>
    </row>
    <row r="15" customFormat="false" ht="15" hidden="false" customHeight="false" outlineLevel="0" collapsed="false">
      <c r="B15" s="11" t="n">
        <v>10</v>
      </c>
      <c r="C15" s="5" t="s">
        <v>76</v>
      </c>
      <c r="D15" s="5" t="s">
        <v>72</v>
      </c>
      <c r="E15" s="19" t="n">
        <v>46266</v>
      </c>
      <c r="F15" s="20" t="n">
        <f aca="false">IF(E15="","",E15+5)</f>
        <v>46271</v>
      </c>
      <c r="G15" s="19" t="n">
        <v>46270</v>
      </c>
      <c r="H15" s="14" t="n">
        <v>7</v>
      </c>
      <c r="I15" s="21" t="str">
        <f aca="false">IF(E15="","",IF(G15="","Pending",IF(G15&lt;=F15,"SLA Met","SLA Overdue")))</f>
        <v>SLA Met</v>
      </c>
      <c r="J15" s="14"/>
      <c r="K15" s="11" t="str">
        <f aca="false">IF(I15="SLA Overdue","Yes","No")</f>
        <v>No</v>
      </c>
      <c r="L15" s="12"/>
    </row>
    <row r="16" customFormat="false" ht="15" hidden="false" customHeight="false" outlineLevel="0" collapsed="false">
      <c r="B16" s="11" t="n">
        <v>11</v>
      </c>
      <c r="C16" s="5" t="s">
        <v>77</v>
      </c>
      <c r="D16" s="5" t="s">
        <v>68</v>
      </c>
      <c r="E16" s="19" t="n">
        <v>46288</v>
      </c>
      <c r="F16" s="20" t="n">
        <f aca="false">IF(E16="","",E16+5)</f>
        <v>46293</v>
      </c>
      <c r="G16" s="19" t="n">
        <v>46298</v>
      </c>
      <c r="H16" s="14" t="n">
        <v>8</v>
      </c>
      <c r="I16" s="21" t="str">
        <f aca="false">IF(E16="","",IF(G16="","Pending",IF(G16&lt;=F16,"SLA Met","SLA Overdue")))</f>
        <v>SLA Overdue</v>
      </c>
      <c r="J16" s="14"/>
      <c r="K16" s="11" t="str">
        <f aca="false">IF(I16="SLA Overdue","Yes","No")</f>
        <v>Yes</v>
      </c>
      <c r="L16" s="12"/>
    </row>
    <row r="17" customFormat="false" ht="15" hidden="false" customHeight="false" outlineLevel="0" collapsed="false">
      <c r="B17" s="11" t="n">
        <v>12</v>
      </c>
      <c r="C17" s="5" t="s">
        <v>78</v>
      </c>
      <c r="D17" s="5" t="s">
        <v>63</v>
      </c>
      <c r="E17" s="19" t="n">
        <v>46293</v>
      </c>
      <c r="F17" s="20" t="n">
        <f aca="false">IF(E17="","",E17+5)</f>
        <v>46298</v>
      </c>
      <c r="G17" s="19" t="n">
        <v>46294</v>
      </c>
      <c r="H17" s="14" t="n">
        <v>3</v>
      </c>
      <c r="I17" s="21" t="str">
        <f aca="false">IF(E17="","",IF(G17="","Pending",IF(G17&lt;=F17,"SLA Met","SLA Overdue")))</f>
        <v>SLA Met</v>
      </c>
      <c r="J17" s="14"/>
      <c r="K17" s="11" t="str">
        <f aca="false">IF(I17="SLA Overdue","Yes","No")</f>
        <v>No</v>
      </c>
      <c r="L17" s="12"/>
    </row>
    <row r="18" customFormat="false" ht="15" hidden="false" customHeight="false" outlineLevel="0" collapsed="false">
      <c r="B18" s="11" t="n">
        <v>13</v>
      </c>
      <c r="C18" s="5" t="s">
        <v>79</v>
      </c>
      <c r="D18" s="5" t="s">
        <v>63</v>
      </c>
      <c r="E18" s="19" t="n">
        <v>46282</v>
      </c>
      <c r="F18" s="20" t="n">
        <f aca="false">IF(E18="","",E18+5)</f>
        <v>46287</v>
      </c>
      <c r="G18" s="19" t="n">
        <v>46290</v>
      </c>
      <c r="H18" s="14" t="n">
        <v>8</v>
      </c>
      <c r="I18" s="21" t="str">
        <f aca="false">IF(E18="","",IF(G18="","Pending",IF(G18&lt;=F18,"SLA Met","SLA Overdue")))</f>
        <v>SLA Overdue</v>
      </c>
      <c r="J18" s="14"/>
      <c r="K18" s="11" t="str">
        <f aca="false">IF(I18="SLA Overdue","Yes","No")</f>
        <v>Yes</v>
      </c>
      <c r="L18" s="12"/>
    </row>
    <row r="19" customFormat="false" ht="15" hidden="false" customHeight="false" outlineLevel="0" collapsed="false">
      <c r="B19" s="11" t="n">
        <v>14</v>
      </c>
      <c r="C19" s="5" t="s">
        <v>80</v>
      </c>
      <c r="D19" s="5" t="s">
        <v>81</v>
      </c>
      <c r="E19" s="19" t="n">
        <v>46282</v>
      </c>
      <c r="F19" s="20" t="n">
        <f aca="false">IF(E19="","",E19+5)</f>
        <v>46287</v>
      </c>
      <c r="G19" s="19" t="n">
        <v>46284</v>
      </c>
      <c r="H19" s="14" t="n">
        <v>9</v>
      </c>
      <c r="I19" s="21" t="str">
        <f aca="false">IF(E19="","",IF(G19="","Pending",IF(G19&lt;=F19,"SLA Met","SLA Overdue")))</f>
        <v>SLA Met</v>
      </c>
      <c r="J19" s="14"/>
      <c r="K19" s="11" t="str">
        <f aca="false">IF(I19="SLA Overdue","Yes","No")</f>
        <v>No</v>
      </c>
      <c r="L19" s="12"/>
    </row>
    <row r="20" customFormat="false" ht="15" hidden="false" customHeight="false" outlineLevel="0" collapsed="false">
      <c r="B20" s="11" t="n">
        <v>15</v>
      </c>
      <c r="C20" s="5" t="s">
        <v>82</v>
      </c>
      <c r="D20" s="5" t="s">
        <v>68</v>
      </c>
      <c r="E20" s="19" t="n">
        <v>46276</v>
      </c>
      <c r="F20" s="20" t="n">
        <f aca="false">IF(E20="","",E20+5)</f>
        <v>46281</v>
      </c>
      <c r="G20" s="19" t="n">
        <v>46279</v>
      </c>
      <c r="H20" s="14" t="n">
        <v>8</v>
      </c>
      <c r="I20" s="21" t="str">
        <f aca="false">IF(E20="","",IF(G20="","Pending",IF(G20&lt;=F20,"SLA Met","SLA Overdue")))</f>
        <v>SLA Met</v>
      </c>
      <c r="J20" s="14"/>
      <c r="K20" s="11" t="str">
        <f aca="false">IF(I20="SLA Overdue","Yes","No")</f>
        <v>No</v>
      </c>
      <c r="L20" s="12"/>
    </row>
    <row r="21" customFormat="false" ht="15" hidden="false" customHeight="false" outlineLevel="0" collapsed="false">
      <c r="B21" s="11" t="n">
        <v>16</v>
      </c>
      <c r="C21" s="5" t="s">
        <v>83</v>
      </c>
      <c r="D21" s="5" t="s">
        <v>68</v>
      </c>
      <c r="E21" s="19" t="n">
        <v>46272</v>
      </c>
      <c r="F21" s="20" t="n">
        <f aca="false">IF(E21="","",E21+5)</f>
        <v>46277</v>
      </c>
      <c r="G21" s="19" t="n">
        <v>46275</v>
      </c>
      <c r="H21" s="14" t="n">
        <v>5</v>
      </c>
      <c r="I21" s="21" t="str">
        <f aca="false">IF(E21="","",IF(G21="","Pending",IF(G21&lt;=F21,"SLA Met","SLA Overdue")))</f>
        <v>SLA Met</v>
      </c>
      <c r="J21" s="14"/>
      <c r="K21" s="11" t="str">
        <f aca="false">IF(I21="SLA Overdue","Yes","No")</f>
        <v>No</v>
      </c>
      <c r="L21" s="12"/>
    </row>
    <row r="22" customFormat="false" ht="15" hidden="false" customHeight="false" outlineLevel="0" collapsed="false">
      <c r="B22" s="11" t="n">
        <v>17</v>
      </c>
      <c r="C22" s="5" t="s">
        <v>84</v>
      </c>
      <c r="D22" s="5" t="s">
        <v>61</v>
      </c>
      <c r="E22" s="19" t="n">
        <v>46273</v>
      </c>
      <c r="F22" s="20" t="n">
        <f aca="false">IF(E22="","",E22+5)</f>
        <v>46278</v>
      </c>
      <c r="G22" s="19" t="n">
        <v>46276</v>
      </c>
      <c r="H22" s="14" t="n">
        <v>12</v>
      </c>
      <c r="I22" s="21" t="str">
        <f aca="false">IF(E22="","",IF(G22="","Pending",IF(G22&lt;=F22,"SLA Met","SLA Overdue")))</f>
        <v>SLA Met</v>
      </c>
      <c r="J22" s="14"/>
      <c r="K22" s="11" t="str">
        <f aca="false">IF(I22="SLA Overdue","Yes","No")</f>
        <v>No</v>
      </c>
      <c r="L22" s="12"/>
    </row>
    <row r="23" customFormat="false" ht="15" hidden="false" customHeight="false" outlineLevel="0" collapsed="false">
      <c r="B23" s="11" t="n">
        <v>18</v>
      </c>
      <c r="C23" s="5" t="s">
        <v>85</v>
      </c>
      <c r="D23" s="5" t="s">
        <v>61</v>
      </c>
      <c r="E23" s="19" t="n">
        <v>46272</v>
      </c>
      <c r="F23" s="20" t="n">
        <f aca="false">IF(E23="","",E23+5)</f>
        <v>46277</v>
      </c>
      <c r="G23" s="19" t="n">
        <v>46276</v>
      </c>
      <c r="H23" s="14" t="n">
        <v>8</v>
      </c>
      <c r="I23" s="21" t="str">
        <f aca="false">IF(E23="","",IF(G23="","Pending",IF(G23&lt;=F23,"SLA Met","SLA Overdue")))</f>
        <v>SLA Met</v>
      </c>
      <c r="J23" s="14"/>
      <c r="K23" s="11" t="str">
        <f aca="false">IF(I23="SLA Overdue","Yes","No")</f>
        <v>No</v>
      </c>
      <c r="L23" s="12"/>
    </row>
    <row r="24" customFormat="false" ht="15" hidden="false" customHeight="false" outlineLevel="0" collapsed="false">
      <c r="B24" s="11" t="n">
        <v>19</v>
      </c>
      <c r="C24" s="5" t="s">
        <v>86</v>
      </c>
      <c r="D24" s="5" t="s">
        <v>61</v>
      </c>
      <c r="E24" s="19" t="n">
        <v>46277</v>
      </c>
      <c r="F24" s="20" t="n">
        <f aca="false">IF(E24="","",E24+5)</f>
        <v>46282</v>
      </c>
      <c r="G24" s="19" t="n">
        <v>46280</v>
      </c>
      <c r="H24" s="14" t="n">
        <v>2</v>
      </c>
      <c r="I24" s="21" t="str">
        <f aca="false">IF(E24="","",IF(G24="","Pending",IF(G24&lt;=F24,"SLA Met","SLA Overdue")))</f>
        <v>SLA Met</v>
      </c>
      <c r="J24" s="14"/>
      <c r="K24" s="11" t="str">
        <f aca="false">IF(I24="SLA Overdue","Yes","No")</f>
        <v>No</v>
      </c>
      <c r="L24" s="12"/>
    </row>
  </sheetData>
  <autoFilter ref="B5:L24"/>
  <mergeCells count="2">
    <mergeCell ref="B2:K2"/>
    <mergeCell ref="B3:K3"/>
  </mergeCells>
  <conditionalFormatting sqref="I6:I24">
    <cfRule type="expression" priority="2" aboveAverage="0" equalAverage="0" bottom="0" percent="0" rank="0" text="" dxfId="0">
      <formula>I6="SLA Met"</formula>
    </cfRule>
    <cfRule type="expression" priority="3" aboveAverage="0" equalAverage="0" bottom="0" percent="0" rank="0" text="" dxfId="2">
      <formula>I6="SLA Overdue"</formula>
    </cfRule>
    <cfRule type="expression" priority="4" aboveAverage="0" equalAverage="0" bottom="0" percent="0" rank="0" text="" dxfId="1">
      <formula>I6="Pending"</formula>
    </cfRule>
  </conditionalFormatting>
  <dataValidations count="1">
    <dataValidation allowBlank="true" errorStyle="stop" operator="between" showDropDown="false" showErrorMessage="false" showInputMessage="false" sqref="J6:J24" type="list">
      <formula1>"Approved,Query Raised,Impacted,Impacting"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LibreOffice/26.2.3.2$MacOSX_AARCH64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2026-09-19T20:48:48Z</dcterms:created>
  <dc:creator>openpyxl</dc:creator>
  <dc:description/>
  <dc:language>en-IN</dc:language>
  <cp:lastModifiedBy/>
  <dcterms:modified xsi:type="dcterms:W3CDTF">2026-09-19T20:48:48Z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