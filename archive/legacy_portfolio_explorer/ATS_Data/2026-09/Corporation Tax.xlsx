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<sst xmlns="http://schemas.openxmlformats.org/spreadsheetml/2006/main" count="97" uniqueCount="78">
  <si>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</si>
  <si>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</si>
  <si>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</si>
  <si>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</si>
  <si>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</si>
  <si>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</si>
  <si>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</si>
  <si>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</si>
  <si>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</si>
  <si>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</si>
  <si>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</si>
  <si>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</si>
  <si>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</si>
  <si>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</si>
  <si>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</si>
  <si>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</si>
  <si>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</si>
  <si>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</si>
  <si>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</si>
  <si>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</si>
  <si>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</si>
  <si>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</si>
  <si>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Corporation Tax</t>
  </si>
  <si>
    <t xml:space="preserve">Reporting Month (YYYY-MM)</t>
  </si>
  <si>
    <t xml:space="preserve">2026-09</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</si>
  <si>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</si>
  <si>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</si>
  <si>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</si>
  <si>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</si>
  <si>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</si>
  <si>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</si>
  <si>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</si>
  <si>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</si>
  <si>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</si>
  <si>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</si>
  <si>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</si>
  <si>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</si>
  <si>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</si>
  <si>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</si>
  <si>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</si>
  <si>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</si>
  <si>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</si>
  <si>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</si>
  <si>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</si>
  <si>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</si>
  <si>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</si>
  <si>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</si>
  <si>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</si>
  <si>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</si>
  <si>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</si>
  <si>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</si>
  <si>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</si>
  <si>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</si>
  <si>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</si>
  <si>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</si>
  <si>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</si>
  <si>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</si>
  <si>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</si>
  <si>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</si>
  <si>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</si>
  <si>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TSR-202609-001</t>
  </si>
  <si>
    <t xml:space="preserve">Change request impact assessment</t>
  </si>
  <si>
    <t xml:space="preserve">TSR-202609-002</t>
  </si>
  <si>
    <t xml:space="preserve">TSR-202609-003</t>
  </si>
  <si>
    <t xml:space="preserve">Impacting</t>
  </si>
  <si>
    <t xml:space="preserve">TSR-202609-004</t>
  </si>
  <si>
    <t xml:space="preserve">Performance test scope for peak load</t>
  </si>
  <si>
    <t xml:space="preserve">TSR-202609-005</t>
  </si>
  <si>
    <t xml:space="preserve">TSR-202609-006</t>
  </si>
  <si>
    <t xml:space="preserve">Security test scope addition</t>
  </si>
  <si>
    <t xml:space="preserve">TSR-202609-007</t>
  </si>
  <si>
    <t xml:space="preserve">Resource ramp-up for regression cycle</t>
  </si>
  <si>
    <t xml:space="preserve">TSR-202609-008</t>
  </si>
  <si>
    <t xml:space="preserve">Approved</t>
  </si>
  <si>
    <t xml:space="preserve">TSR-202609-009</t>
  </si>
  <si>
    <t xml:space="preserve">New scope testing for release increment</t>
  </si>
  <si>
    <t xml:space="preserve">TSR-202609-010</t>
  </si>
  <si>
    <t xml:space="preserve">TSR-202609-011</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</si>
</sst>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46293</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4</v>
      </c>
      <c r="H8" s="15" t="str">
        <f aca="false">IF(G8="","",IF(E8="Higher",IF(G8&gt;=F8,"Green",IF(G8&gt;=F8*0.9,"Amber","Red")),IF(G8&lt;=F8,"Green",IF(G8&lt;=F8*1.1,"Amber","Red"))))</f>
        <v>Green</v>
      </c>
      <c r="I8" s="16"/>
    </row>
    <row r="9" customFormat="false" ht="15" hidden="false" customHeight="false" outlineLevel="0" collapsed="false">
      <c r="B9" s="11" t="n">
        <v>2</v>
      </c>
      <c r="C9" s="12" t="s">
        <v>38</v>
      </c>
      <c r="D9" s="11" t="s">
        <v>36</v>
      </c>
      <c r="E9" s="13" t="s">
        <v>39</v>
      </c>
      <c r="F9" s="14" t="n">
        <v>70</v>
      </c>
      <c r="G9" s="14" t="n">
        <v>67</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83.7</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90.6</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88.8</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12</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4.7</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1</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46281</v>
      </c>
      <c r="F6" s="20" t="n">
        <f aca="false">IF(E6="","",E6+5)</f>
        <v>46286</v>
      </c>
      <c r="G6" s="19" t="n">
        <v>46284</v>
      </c>
      <c r="H6" s="14" t="n">
        <v>10</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61</v>
      </c>
      <c r="E7" s="19" t="n">
        <v>46267</v>
      </c>
      <c r="F7" s="20" t="n">
        <f aca="false">IF(E7="","",E7+5)</f>
        <v>46272</v>
      </c>
      <c r="G7" s="19" t="n">
        <v>46268</v>
      </c>
      <c r="H7" s="14" t="n">
        <v>8</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63</v>
      </c>
      <c r="D8" s="5" t="s">
        <v>61</v>
      </c>
      <c r="E8" s="19" t="n">
        <v>46280</v>
      </c>
      <c r="F8" s="20" t="n">
        <f aca="false">IF(E8="","",E8+5)</f>
        <v>46285</v>
      </c>
      <c r="G8" s="19"/>
      <c r="H8" s="14" t="n">
        <v>2</v>
      </c>
      <c r="I8" s="21" t="str">
        <f aca="false">IF(E8="","",IF(G8="","Pending",IF(G8&lt;=F8,"SLA Met","SLA Overdue")))</f>
        <v>Pending</v>
      </c>
      <c r="J8" s="14" t="s">
        <v>64</v>
      </c>
      <c r="K8" s="11" t="str">
        <f aca="false">IF(I8="SLA Overdue","Yes","No")</f>
        <v>No</v>
      </c>
      <c r="L8" s="12"/>
    </row>
    <row r="9" customFormat="false" ht="15" hidden="false" customHeight="false" outlineLevel="0" collapsed="false">
      <c r="B9" s="11" t="n">
        <v>4</v>
      </c>
      <c r="C9" s="5" t="s">
        <v>65</v>
      </c>
      <c r="D9" s="5" t="s">
        <v>66</v>
      </c>
      <c r="E9" s="19" t="n">
        <v>46286</v>
      </c>
      <c r="F9" s="20" t="n">
        <f aca="false">IF(E9="","",E9+5)</f>
        <v>46291</v>
      </c>
      <c r="G9" s="19" t="n">
        <v>46287</v>
      </c>
      <c r="H9" s="14" t="n">
        <v>10</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67</v>
      </c>
      <c r="D10" s="5" t="s">
        <v>66</v>
      </c>
      <c r="E10" s="19" t="n">
        <v>46282</v>
      </c>
      <c r="F10" s="20" t="n">
        <f aca="false">IF(E10="","",E10+5)</f>
        <v>46287</v>
      </c>
      <c r="G10" s="19" t="n">
        <v>46287</v>
      </c>
      <c r="H10" s="14" t="n">
        <v>12</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68</v>
      </c>
      <c r="D11" s="5" t="s">
        <v>69</v>
      </c>
      <c r="E11" s="19" t="n">
        <v>46267</v>
      </c>
      <c r="F11" s="20" t="n">
        <f aca="false">IF(E11="","",E11+5)</f>
        <v>46272</v>
      </c>
      <c r="G11" s="19" t="n">
        <v>46272</v>
      </c>
      <c r="H11" s="14" t="n">
        <v>4</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70</v>
      </c>
      <c r="D12" s="5" t="s">
        <v>71</v>
      </c>
      <c r="E12" s="19" t="n">
        <v>46276</v>
      </c>
      <c r="F12" s="20" t="n">
        <f aca="false">IF(E12="","",E12+5)</f>
        <v>46281</v>
      </c>
      <c r="G12" s="19" t="n">
        <v>46281</v>
      </c>
      <c r="H12" s="14" t="n">
        <v>1</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72</v>
      </c>
      <c r="D13" s="5" t="s">
        <v>61</v>
      </c>
      <c r="E13" s="19" t="n">
        <v>46280</v>
      </c>
      <c r="F13" s="20" t="n">
        <f aca="false">IF(E13="","",E13+5)</f>
        <v>46285</v>
      </c>
      <c r="G13" s="19"/>
      <c r="H13" s="14" t="n">
        <v>12</v>
      </c>
      <c r="I13" s="21" t="str">
        <f aca="false">IF(E13="","",IF(G13="","Pending",IF(G13&lt;=F13,"SLA Met","SLA Overdue")))</f>
        <v>Pending</v>
      </c>
      <c r="J13" s="14" t="s">
        <v>73</v>
      </c>
      <c r="K13" s="11" t="str">
        <f aca="false">IF(I13="SLA Overdue","Yes","No")</f>
        <v>No</v>
      </c>
      <c r="L13" s="12"/>
    </row>
    <row r="14" customFormat="false" ht="15" hidden="false" customHeight="false" outlineLevel="0" collapsed="false">
      <c r="B14" s="11" t="n">
        <v>9</v>
      </c>
      <c r="C14" s="5" t="s">
        <v>74</v>
      </c>
      <c r="D14" s="5" t="s">
        <v>75</v>
      </c>
      <c r="E14" s="19" t="n">
        <v>46268</v>
      </c>
      <c r="F14" s="20" t="n">
        <f aca="false">IF(E14="","",E14+5)</f>
        <v>46273</v>
      </c>
      <c r="G14" s="19" t="n">
        <v>46270</v>
      </c>
      <c r="H14" s="14" t="n">
        <v>4</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76</v>
      </c>
      <c r="D15" s="5" t="s">
        <v>66</v>
      </c>
      <c r="E15" s="19" t="n">
        <v>46288</v>
      </c>
      <c r="F15" s="20" t="n">
        <f aca="false">IF(E15="","",E15+5)</f>
        <v>46293</v>
      </c>
      <c r="G15" s="19" t="n">
        <v>46292</v>
      </c>
      <c r="H15" s="14" t="n">
        <v>9</v>
      </c>
      <c r="I15" s="21" t="str">
        <f aca="false">IF(E15="","",IF(G15="","Pending",IF(G15&lt;=F15,"SLA Met","SLA Overdue")))</f>
        <v>SLA Met</v>
      </c>
      <c r="J15" s="14"/>
      <c r="K15" s="11" t="str">
        <f aca="false">IF(I15="SLA Overdue","Yes","No")</f>
        <v>No</v>
      </c>
      <c r="L15" s="12"/>
    </row>
    <row r="16" customFormat="false" ht="15" hidden="false" customHeight="false" outlineLevel="0" collapsed="false">
      <c r="B16" s="11" t="n">
        <v>11</v>
      </c>
      <c r="C16" s="5" t="s">
        <v>77</v>
      </c>
      <c r="D16" s="5" t="s">
        <v>61</v>
      </c>
      <c r="E16" s="19" t="n">
        <v>46285</v>
      </c>
      <c r="F16" s="20" t="n">
        <f aca="false">IF(E16="","",E16+5)</f>
        <v>46290</v>
      </c>
      <c r="G16" s="19"/>
      <c r="H16" s="14" t="n">
        <v>7</v>
      </c>
      <c r="I16" s="21" t="str">
        <f aca="false">IF(E16="","",IF(G16="","Pending",IF(G16&lt;=F16,"SLA Met","SLA Overdue")))</f>
        <v>Pending</v>
      </c>
      <c r="J16" s="14" t="s">
        <v>64</v>
      </c>
      <c r="K16" s="11" t="str">
        <f aca="false">IF(I16="SLA Overdue","Yes","No")</f>
        <v>No</v>
      </c>
      <c r="L16" s="12"/>
    </row>
  </sheetData>
  <autoFilter ref="B5:L16"/>
  <mergeCells count="2">
    <mergeCell ref="B2:K2"/>
    <mergeCell ref="B3:K3"/>
  </mergeCells>
  <conditionalFormatting sqref="I6:I16">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16"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