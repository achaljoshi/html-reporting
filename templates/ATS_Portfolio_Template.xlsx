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<sst xmlns="http://schemas.openxmlformats.org/spreadsheetml/2006/main" count="72" uniqueCount="60">
  <si>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</si>
  <si>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</si>
  <si>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</si>
  <si>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</si>
  <si>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</si>
  <si>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</si>
  <si>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</si>
  <si>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</si>
  <si>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</si>
  <si>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</si>
  <si>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</si>
  <si>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</si>
  <si>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</si>
  <si>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</si>
  <si>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</si>
  <si>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</si>
  <si>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</si>
  <si>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</si>
  <si>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</si>
  <si>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</si>
  <si>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</si>
  <si>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</si>
  <si>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&lt;Portfolio Name&gt;</t>
  </si>
  <si>
    <t xml:space="preserve">Reporting Month (YYYY-MM)</t>
  </si>
  <si>
    <t xml:space="preserve">&lt;YYYY-MM&gt;</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</si>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</sst>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2" borderId="1" xfId="0" applyFont="true" applyBorder="true" applyAlignment="true" applyProtection="true">
      <alignment horizontal="general" vertical="bottom" textRotation="0" wrapText="false" indent="0" shrinkToFit="false"/>
      <protection locked="true" hidden="false"/>
    </xf>
    <xf numFmtId="164" fontId="8" fillId="3" borderId="1" xfId="0" applyFont="true" applyBorder="true" applyAlignment="true" applyProtection="true">
      <alignment horizontal="general" vertical="bottom" textRotation="0" wrapText="false" indent="0" shrinkToFit="false"/>
      <protection locked="true" hidden="false"/>
    </xf>
    <xf numFmtId="164" fontId="8" fillId="2" borderId="0" xfId="0" applyFont="true" applyBorder="tru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5" fontId="8" fillId="2" borderId="0" xfId="0" applyFont="true" applyBorder="false" applyAlignment="true" applyProtection="true">
      <alignment horizontal="general" vertical="bottom" textRotation="0" wrapText="false" indent="0" shrinkToFit="false"/>
      <protection locked="true" hidden="false"/>
    </xf>
    <xf numFmtId="164" fontId="9" fillId="4" borderId="1" xfId="0" applyFont="true" applyBorder="true" applyAlignment="true" applyProtection="true">
      <alignment horizontal="center" vertical="center"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center" vertical="bottom" textRotation="0" wrapText="false" indent="0" shrinkToFit="false"/>
      <protection locked="true" hidden="false"/>
    </xf>
    <xf numFmtId="164" fontId="8" fillId="2" borderId="1" xfId="0" applyFont="true" applyBorder="true" applyAlignment="true" applyProtection="true">
      <alignment horizontal="center" vertical="bottom" textRotation="0" wrapText="false" indent="0" shrinkToFit="false"/>
      <protection locked="true" hidden="false"/>
    </xf>
    <xf numFmtId="164" fontId="11" fillId="0" borderId="1" xfId="0" applyFont="true" applyBorder="true" applyAlignment="true" applyProtection="true">
      <alignment horizontal="center"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true" hidden="false"/>
    </xf>
    <xf numFmtId="164" fontId="12" fillId="0" borderId="0" xfId="0" applyFont="true" applyBorder="true" applyAlignment="true" applyProtection="true">
      <alignment horizontal="general" vertical="bottom" textRotation="0" wrapText="false" indent="0" shrinkToFit="false"/>
      <protection locked="true" hidden="false"/>
    </xf>
    <xf numFmtId="164" fontId="9" fillId="4" borderId="1" xfId="0" applyFont="true" applyBorder="true" applyAlignment="true" applyProtection="true">
      <alignment horizontal="center" vertical="center" textRotation="0" wrapText="true" indent="0" shrinkToFit="false"/>
      <protection locked="true" hidden="false"/>
    </xf>
    <xf numFmtId="165" fontId="8" fillId="2" borderId="1" xfId="0" applyFont="true" applyBorder="true" applyAlignment="true" applyProtection="true">
      <alignment horizontal="general" vertical="bottom" textRotation="0" wrapText="false" indent="0" shrinkToFit="false"/>
      <protection locked="true" hidden="false"/>
    </xf>
    <xf numFmtId="165" fontId="0" fillId="0" borderId="1" xfId="0" applyFont="false" applyBorder="true" applyAlignment="true" applyProtection="true">
      <alignment horizontal="center" vertical="bottom" textRotation="0" wrapText="false" indent="0" shrinkToFit="false"/>
      <protection locked="true" hidden="false"/>
    </xf>
    <xf numFmtId="164" fontId="13" fillId="0" borderId="1" xfId="0"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40"/>
    <col collapsed="false" customWidth="true" hidden="false" outlineLevel="0" max="3" min="3" style="1" width="90"/>
  </cols>
  <sheetData>
    <row r="2" customFormat="false" ht="17.35" hidden="false" customHeight="false" outlineLevel="0" collapsed="false">
      <c r="B2" s="2" t="s">
        <v>0</v>
      </c>
      <c r="C2" s="2"/>
    </row>
    <row r="4" customFormat="false" ht="31.5" hidden="false" customHeight="true" outlineLevel="0" collapsed="false">
      <c r="B4" s="3" t="s">
        <v>1</v>
      </c>
      <c r="C4" s="4" t="s">
        <v>2</v>
      </c>
    </row>
    <row r="6" customFormat="false" ht="31.5" hidden="false" customHeight="true" outlineLevel="0" collapsed="false">
      <c r="B6" s="3" t="s">
        <v>3</v>
      </c>
      <c r="C6" s="4" t="s">
        <v>4</v>
      </c>
    </row>
    <row r="8" customFormat="false" ht="31.5" hidden="false" customHeight="true" outlineLevel="0" collapsed="false">
      <c r="B8" s="3" t="s">
        <v>5</v>
      </c>
      <c r="C8" s="4" t="s">
        <v>6</v>
      </c>
    </row>
    <row r="10" customFormat="false" ht="31.5" hidden="false" customHeight="true" outlineLevel="0" collapsed="false">
      <c r="B10" s="3" t="s">
        <v>7</v>
      </c>
      <c r="C10" s="4" t="s">
        <v>8</v>
      </c>
    </row>
    <row r="12" customFormat="false" ht="31.5" hidden="false" customHeight="true" outlineLevel="0" collapsed="false">
      <c r="B12" s="3" t="s">
        <v>9</v>
      </c>
      <c r="C12" s="4" t="s">
        <v>10</v>
      </c>
    </row>
    <row r="14" customFormat="false" ht="31.5" hidden="false" customHeight="true" outlineLevel="0" collapsed="false">
      <c r="B14" s="3" t="s">
        <v>11</v>
      </c>
      <c r="C14" s="4" t="s">
        <v>12</v>
      </c>
    </row>
    <row r="16" customFormat="false" ht="31.5" hidden="false" customHeight="true" outlineLevel="0" collapsed="false">
      <c r="B16" s="3" t="s">
        <v>13</v>
      </c>
      <c r="C16" s="4" t="s">
        <v>14</v>
      </c>
    </row>
    <row r="18" customFormat="false" ht="31.5" hidden="false" customHeight="true" outlineLevel="0" collapsed="false">
      <c r="B18" s="3" t="s">
        <v>15</v>
      </c>
      <c r="C18" s="4" t="s">
        <v>16</v>
      </c>
    </row>
    <row r="21" customFormat="false" ht="15" hidden="false" customHeight="false" outlineLevel="0" collapsed="false">
      <c r="B21" s="5" t="s">
        <v>17</v>
      </c>
    </row>
    <row r="22" customFormat="false" ht="15" hidden="false" customHeight="false" outlineLevel="0" collapsed="false">
      <c r="B22" s="6" t="s">
        <v>18</v>
      </c>
    </row>
    <row r="23" customFormat="false" ht="15" hidden="false" customHeight="false" outlineLevel="0" collapsed="false">
      <c r="B23" s="7"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3" min="3" style="1" width="8"/>
    <col collapsed="false" customWidth="true" hidden="false" outlineLevel="0" max="5" min="4" style="1" width="12"/>
    <col collapsed="false" customWidth="true" hidden="false" outlineLevel="0" max="6" min="6" style="1" width="14"/>
    <col collapsed="false" customWidth="true" hidden="false" outlineLevel="0" max="7" min="7" style="1" width="16"/>
    <col collapsed="false" customWidth="true" hidden="false" outlineLevel="0" max="8" min="8" style="1" width="40"/>
  </cols>
  <sheetData>
    <row r="2" customFormat="false" ht="17.35" hidden="false" customHeight="false" outlineLevel="0" collapsed="false">
      <c r="B2" s="2" t="s">
        <v>20</v>
      </c>
      <c r="C2" s="2"/>
      <c r="D2" s="2"/>
      <c r="E2" s="2"/>
      <c r="F2" s="2"/>
      <c r="G2" s="2"/>
      <c r="H2" s="2"/>
    </row>
    <row r="4" customFormat="false" ht="15" hidden="false" customHeight="false" outlineLevel="0" collapsed="false">
      <c r="B4" s="5" t="s">
        <v>21</v>
      </c>
      <c r="C4" s="8" t="s">
        <v>22</v>
      </c>
      <c r="D4" s="8"/>
      <c r="E4" s="5" t="s">
        <v>23</v>
      </c>
      <c r="F4" s="9" t="s">
        <v>24</v>
      </c>
    </row>
    <row r="5" customFormat="false" ht="15" hidden="false" customHeight="false" outlineLevel="0" collapsed="false">
      <c r="B5" s="5" t="s">
        <v>25</v>
      </c>
      <c r="C5" s="8"/>
      <c r="D5" s="8"/>
      <c r="E5" s="5" t="s">
        <v>26</v>
      </c>
      <c r="F5" s="10"/>
    </row>
    <row r="7" customFormat="false" ht="19.5" hidden="false" customHeight="true" outlineLevel="0" collapsed="false">
      <c r="B7" s="11" t="s">
        <v>27</v>
      </c>
      <c r="C7" s="11" t="s">
        <v>28</v>
      </c>
      <c r="D7" s="11" t="s">
        <v>29</v>
      </c>
      <c r="E7" s="11" t="s">
        <v>30</v>
      </c>
      <c r="F7" s="11" t="s">
        <v>31</v>
      </c>
      <c r="G7" s="11" t="s">
        <v>32</v>
      </c>
      <c r="H7" s="11" t="s">
        <v>33</v>
      </c>
      <c r="I7" s="11" t="s">
        <v>34</v>
      </c>
    </row>
    <row r="8" customFormat="false" ht="15" hidden="false" customHeight="false" outlineLevel="0" collapsed="false">
      <c r="B8" s="12" t="n">
        <v>1</v>
      </c>
      <c r="C8" s="13" t="s">
        <v>35</v>
      </c>
      <c r="D8" s="12" t="s">
        <v>36</v>
      </c>
      <c r="E8" s="14" t="s">
        <v>37</v>
      </c>
      <c r="F8" s="15" t="n">
        <v>5</v>
      </c>
      <c r="G8" s="15"/>
      <c r="H8" s="16" t="str">
        <f aca="false">IF(G8="","",IF(E8="Higher",IF(G8&gt;=F8,"Green",IF(G8&gt;=F8*0.9,"Amber","Red")),IF(G8&lt;=F8,"Green",IF(G8&lt;=F8*1.1,"Amber","Red"))))</f>
        <v/>
      </c>
      <c r="I8" s="17"/>
    </row>
    <row r="9" customFormat="false" ht="15" hidden="false" customHeight="false" outlineLevel="0" collapsed="false">
      <c r="B9" s="12" t="n">
        <v>2</v>
      </c>
      <c r="C9" s="13" t="s">
        <v>38</v>
      </c>
      <c r="D9" s="12" t="s">
        <v>36</v>
      </c>
      <c r="E9" s="14" t="s">
        <v>39</v>
      </c>
      <c r="F9" s="15" t="n">
        <v>70</v>
      </c>
      <c r="G9" s="15"/>
      <c r="H9" s="16" t="str">
        <f aca="false">IF(G9="","",IF(E9="Higher",IF(G9&gt;=F9,"Green",IF(G9&gt;=F9*0.9,"Amber","Red")),IF(G9&lt;=F9,"Green",IF(G9&lt;=F9*1.1,"Amber","Red"))))</f>
        <v/>
      </c>
      <c r="I9" s="17"/>
    </row>
    <row r="10" customFormat="false" ht="15" hidden="false" customHeight="false" outlineLevel="0" collapsed="false">
      <c r="B10" s="12" t="n">
        <v>3</v>
      </c>
      <c r="C10" s="13" t="s">
        <v>40</v>
      </c>
      <c r="D10" s="12" t="s">
        <v>36</v>
      </c>
      <c r="E10" s="14" t="s">
        <v>39</v>
      </c>
      <c r="F10" s="15" t="n">
        <v>90</v>
      </c>
      <c r="G10" s="15"/>
      <c r="H10" s="16" t="str">
        <f aca="false">IF(G10="","",IF(E10="Higher",IF(G10&gt;=F10,"Green",IF(G10&gt;=F10*0.9,"Amber","Red")),IF(G10&lt;=F10,"Green",IF(G10&lt;=F10*1.1,"Amber","Red"))))</f>
        <v/>
      </c>
      <c r="I10" s="17"/>
    </row>
    <row r="11" customFormat="false" ht="15" hidden="false" customHeight="false" outlineLevel="0" collapsed="false">
      <c r="B11" s="12" t="n">
        <v>4</v>
      </c>
      <c r="C11" s="13" t="s">
        <v>41</v>
      </c>
      <c r="D11" s="12" t="s">
        <v>36</v>
      </c>
      <c r="E11" s="14" t="s">
        <v>39</v>
      </c>
      <c r="F11" s="15" t="n">
        <v>95</v>
      </c>
      <c r="G11" s="15"/>
      <c r="H11" s="16" t="str">
        <f aca="false">IF(G11="","",IF(E11="Higher",IF(G11&gt;=F11,"Green",IF(G11&gt;=F11*0.9,"Amber","Red")),IF(G11&lt;=F11,"Green",IF(G11&lt;=F11*1.1,"Amber","Red"))))</f>
        <v/>
      </c>
      <c r="I11" s="17"/>
    </row>
    <row r="12" customFormat="false" ht="15" hidden="false" customHeight="false" outlineLevel="0" collapsed="false">
      <c r="B12" s="12" t="n">
        <v>5</v>
      </c>
      <c r="C12" s="13" t="s">
        <v>42</v>
      </c>
      <c r="D12" s="12" t="s">
        <v>36</v>
      </c>
      <c r="E12" s="14" t="s">
        <v>39</v>
      </c>
      <c r="F12" s="15" t="n">
        <v>92</v>
      </c>
      <c r="G12" s="15"/>
      <c r="H12" s="16" t="str">
        <f aca="false">IF(G12="","",IF(E12="Higher",IF(G12&gt;=F12,"Green",IF(G12&gt;=F12*0.9,"Amber","Red")),IF(G12&lt;=F12,"Green",IF(G12&lt;=F12*1.1,"Amber","Red"))))</f>
        <v/>
      </c>
      <c r="I12" s="17"/>
    </row>
    <row r="13" customFormat="false" ht="15" hidden="false" customHeight="false" outlineLevel="0" collapsed="false">
      <c r="B13" s="12" t="n">
        <v>6</v>
      </c>
      <c r="C13" s="13" t="s">
        <v>43</v>
      </c>
      <c r="D13" s="12" t="s">
        <v>44</v>
      </c>
      <c r="E13" s="14" t="s">
        <v>37</v>
      </c>
      <c r="F13" s="15" t="n">
        <v>8</v>
      </c>
      <c r="G13" s="15"/>
      <c r="H13" s="16" t="str">
        <f aca="false">IF(G13="","",IF(E13="Higher",IF(G13&gt;=F13,"Green",IF(G13&gt;=F13*0.9,"Amber","Red")),IF(G13&lt;=F13,"Green",IF(G13&lt;=F13*1.1,"Amber","Red"))))</f>
        <v/>
      </c>
      <c r="I13" s="17"/>
    </row>
    <row r="14" customFormat="false" ht="15" hidden="false" customHeight="false" outlineLevel="0" collapsed="false">
      <c r="B14" s="12" t="n">
        <v>7</v>
      </c>
      <c r="C14" s="13" t="s">
        <v>45</v>
      </c>
      <c r="D14" s="12" t="s">
        <v>46</v>
      </c>
      <c r="E14" s="14" t="s">
        <v>37</v>
      </c>
      <c r="F14" s="15" t="n">
        <v>3</v>
      </c>
      <c r="G14" s="15"/>
      <c r="H14" s="16" t="str">
        <f aca="false">IF(G14="","",IF(E14="Higher",IF(G14&gt;=F14,"Green",IF(G14&gt;=F14*0.9,"Amber","Red")),IF(G14&lt;=F14,"Green",IF(G14&lt;=F14*1.1,"Amber","Red"))))</f>
        <v/>
      </c>
      <c r="I14" s="17"/>
    </row>
    <row r="15" customFormat="false" ht="15" hidden="false" customHeight="false" outlineLevel="0" collapsed="false">
      <c r="B15" s="12" t="n">
        <v>8</v>
      </c>
      <c r="C15" s="13" t="s">
        <v>47</v>
      </c>
      <c r="D15" s="12" t="s">
        <v>48</v>
      </c>
      <c r="E15" s="14" t="s">
        <v>37</v>
      </c>
      <c r="F15" s="15" t="n">
        <v>0</v>
      </c>
      <c r="G15" s="15"/>
      <c r="H15" s="16" t="str">
        <f aca="false">IF(G15="","",IF(E15="Higher",IF(G15&gt;=F15,"Green",IF(G15&gt;=F15*0.9,"Amber","Red")),IF(G15&lt;=F15,"Green",IF(G15&lt;=F15*1.1,"Amber","Red"))))</f>
        <v/>
      </c>
      <c r="I15" s="17"/>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12"/>
    <col collapsed="false" customWidth="true" hidden="false" outlineLevel="0" max="3" min="3" style="1" width="34"/>
    <col collapsed="false" customWidth="true" hidden="false" outlineLevel="0" max="6" min="4" style="1" width="14"/>
    <col collapsed="false" customWidth="true" hidden="false" outlineLevel="0" max="7" min="7" style="1" width="12"/>
    <col collapsed="false" customWidth="true" hidden="false" outlineLevel="0" max="8" min="8" style="1" width="16"/>
    <col collapsed="false" customWidth="true" hidden="false" outlineLevel="0" max="9" min="9" style="1" width="18"/>
    <col collapsed="false" customWidth="true" hidden="false" outlineLevel="0" max="10" min="10" style="1" width="10"/>
    <col collapsed="false" customWidth="true" hidden="false" outlineLevel="0" max="11" min="11" style="1" width="30"/>
  </cols>
  <sheetData>
    <row r="2" customFormat="false" ht="17.35" hidden="false" customHeight="false" outlineLevel="0" collapsed="false">
      <c r="B2" s="2" t="s">
        <v>49</v>
      </c>
      <c r="C2" s="2"/>
      <c r="D2" s="2"/>
      <c r="E2" s="2"/>
      <c r="F2" s="2"/>
      <c r="G2" s="2"/>
      <c r="H2" s="2"/>
      <c r="I2" s="2"/>
      <c r="J2" s="2"/>
      <c r="K2" s="2"/>
    </row>
    <row r="3" customFormat="false" ht="15" hidden="false" customHeight="false" outlineLevel="0" collapsed="false">
      <c r="B3" s="18" t="s">
        <v>50</v>
      </c>
      <c r="C3" s="18"/>
      <c r="D3" s="18"/>
      <c r="E3" s="18"/>
      <c r="F3" s="18"/>
      <c r="G3" s="18"/>
      <c r="H3" s="18"/>
      <c r="I3" s="18"/>
      <c r="J3" s="18"/>
      <c r="K3" s="18"/>
    </row>
    <row r="5" customFormat="false" ht="31.5" hidden="false" customHeight="true" outlineLevel="0" collapsed="false">
      <c r="B5" s="19" t="s">
        <v>27</v>
      </c>
      <c r="C5" s="19" t="s">
        <v>51</v>
      </c>
      <c r="D5" s="19" t="s">
        <v>52</v>
      </c>
      <c r="E5" s="19" t="s">
        <v>53</v>
      </c>
      <c r="F5" s="19" t="s">
        <v>54</v>
      </c>
      <c r="G5" s="19" t="s">
        <v>55</v>
      </c>
      <c r="H5" s="19" t="s">
        <v>56</v>
      </c>
      <c r="I5" s="19" t="s">
        <v>57</v>
      </c>
      <c r="J5" s="19" t="s">
        <v>58</v>
      </c>
      <c r="K5" s="19" t="s">
        <v>59</v>
      </c>
      <c r="L5" s="19" t="s">
        <v>34</v>
      </c>
    </row>
    <row r="6" customFormat="false" ht="15" hidden="false" customHeight="false" outlineLevel="0" collapsed="false">
      <c r="B6" s="12" t="n">
        <v>1</v>
      </c>
      <c r="C6" s="6"/>
      <c r="D6" s="6"/>
      <c r="E6" s="20"/>
      <c r="F6" s="21" t="str">
        <f aca="false">IF(E6="","",E6+5)</f>
        <v/>
      </c>
      <c r="G6" s="20"/>
      <c r="H6" s="15"/>
      <c r="I6" s="22" t="str">
        <f aca="false">IF(E6="","",IF(G6="","Pending",IF(G6&lt;=F6,"SLA Met","SLA Overdue")))</f>
        <v/>
      </c>
      <c r="J6" s="15"/>
      <c r="K6" s="12" t="str">
        <f aca="false">IF(I6="SLA Overdue","Yes","No")</f>
        <v>No</v>
      </c>
      <c r="L6" s="13"/>
    </row>
    <row r="7" customFormat="false" ht="15" hidden="false" customHeight="false" outlineLevel="0" collapsed="false">
      <c r="B7" s="12" t="n">
        <v>2</v>
      </c>
      <c r="C7" s="6"/>
      <c r="D7" s="6"/>
      <c r="E7" s="20"/>
      <c r="F7" s="21" t="str">
        <f aca="false">IF(E7="","",E7+5)</f>
        <v/>
      </c>
      <c r="G7" s="20"/>
      <c r="H7" s="15"/>
      <c r="I7" s="22" t="str">
        <f aca="false">IF(E7="","",IF(G7="","Pending",IF(G7&lt;=F7,"SLA Met","SLA Overdue")))</f>
        <v/>
      </c>
      <c r="J7" s="15"/>
      <c r="K7" s="12" t="str">
        <f aca="false">IF(I7="SLA Overdue","Yes","No")</f>
        <v>No</v>
      </c>
      <c r="L7" s="13"/>
    </row>
    <row r="8" customFormat="false" ht="15" hidden="false" customHeight="false" outlineLevel="0" collapsed="false">
      <c r="B8" s="12" t="n">
        <v>3</v>
      </c>
      <c r="C8" s="6"/>
      <c r="D8" s="6"/>
      <c r="E8" s="20"/>
      <c r="F8" s="21" t="str">
        <f aca="false">IF(E8="","",E8+5)</f>
        <v/>
      </c>
      <c r="G8" s="20"/>
      <c r="H8" s="15"/>
      <c r="I8" s="22" t="str">
        <f aca="false">IF(E8="","",IF(G8="","Pending",IF(G8&lt;=F8,"SLA Met","SLA Overdue")))</f>
        <v/>
      </c>
      <c r="J8" s="15"/>
      <c r="K8" s="12" t="str">
        <f aca="false">IF(I8="SLA Overdue","Yes","No")</f>
        <v>No</v>
      </c>
      <c r="L8" s="13"/>
    </row>
    <row r="9" customFormat="false" ht="15" hidden="false" customHeight="false" outlineLevel="0" collapsed="false">
      <c r="B9" s="12" t="n">
        <v>4</v>
      </c>
      <c r="C9" s="6"/>
      <c r="D9" s="6"/>
      <c r="E9" s="20"/>
      <c r="F9" s="21" t="str">
        <f aca="false">IF(E9="","",E9+5)</f>
        <v/>
      </c>
      <c r="G9" s="20"/>
      <c r="H9" s="15"/>
      <c r="I9" s="22" t="str">
        <f aca="false">IF(E9="","",IF(G9="","Pending",IF(G9&lt;=F9,"SLA Met","SLA Overdue")))</f>
        <v/>
      </c>
      <c r="J9" s="15"/>
      <c r="K9" s="12" t="str">
        <f aca="false">IF(I9="SLA Overdue","Yes","No")</f>
        <v>No</v>
      </c>
      <c r="L9" s="13"/>
    </row>
    <row r="10" customFormat="false" ht="15" hidden="false" customHeight="false" outlineLevel="0" collapsed="false">
      <c r="B10" s="12" t="n">
        <v>5</v>
      </c>
      <c r="C10" s="6"/>
      <c r="D10" s="6"/>
      <c r="E10" s="20"/>
      <c r="F10" s="21" t="str">
        <f aca="false">IF(E10="","",E10+5)</f>
        <v/>
      </c>
      <c r="G10" s="20"/>
      <c r="H10" s="15"/>
      <c r="I10" s="22" t="str">
        <f aca="false">IF(E10="","",IF(G10="","Pending",IF(G10&lt;=F10,"SLA Met","SLA Overdue")))</f>
        <v/>
      </c>
      <c r="J10" s="15"/>
      <c r="K10" s="12" t="str">
        <f aca="false">IF(I10="SLA Overdue","Yes","No")</f>
        <v>No</v>
      </c>
      <c r="L10" s="13"/>
    </row>
    <row r="11" customFormat="false" ht="15" hidden="false" customHeight="false" outlineLevel="0" collapsed="false">
      <c r="B11" s="12" t="n">
        <v>6</v>
      </c>
      <c r="C11" s="6"/>
      <c r="D11" s="6"/>
      <c r="E11" s="20"/>
      <c r="F11" s="21" t="str">
        <f aca="false">IF(E11="","",E11+5)</f>
        <v/>
      </c>
      <c r="G11" s="20"/>
      <c r="H11" s="15"/>
      <c r="I11" s="22" t="str">
        <f aca="false">IF(E11="","",IF(G11="","Pending",IF(G11&lt;=F11,"SLA Met","SLA Overdue")))</f>
        <v/>
      </c>
      <c r="J11" s="15"/>
      <c r="K11" s="12" t="str">
        <f aca="false">IF(I11="SLA Overdue","Yes","No")</f>
        <v>No</v>
      </c>
      <c r="L11" s="13"/>
    </row>
    <row r="12" customFormat="false" ht="15" hidden="false" customHeight="false" outlineLevel="0" collapsed="false">
      <c r="B12" s="12" t="n">
        <v>7</v>
      </c>
      <c r="C12" s="6"/>
      <c r="D12" s="6"/>
      <c r="E12" s="20"/>
      <c r="F12" s="21" t="str">
        <f aca="false">IF(E12="","",E12+5)</f>
        <v/>
      </c>
      <c r="G12" s="20"/>
      <c r="H12" s="15"/>
      <c r="I12" s="22" t="str">
        <f aca="false">IF(E12="","",IF(G12="","Pending",IF(G12&lt;=F12,"SLA Met","SLA Overdue")))</f>
        <v/>
      </c>
      <c r="J12" s="15"/>
      <c r="K12" s="12" t="str">
        <f aca="false">IF(I12="SLA Overdue","Yes","No")</f>
        <v>No</v>
      </c>
      <c r="L12" s="13"/>
    </row>
    <row r="13" customFormat="false" ht="15" hidden="false" customHeight="false" outlineLevel="0" collapsed="false">
      <c r="B13" s="12" t="n">
        <v>8</v>
      </c>
      <c r="C13" s="6"/>
      <c r="D13" s="6"/>
      <c r="E13" s="20"/>
      <c r="F13" s="21" t="str">
        <f aca="false">IF(E13="","",E13+5)</f>
        <v/>
      </c>
      <c r="G13" s="20"/>
      <c r="H13" s="15"/>
      <c r="I13" s="22" t="str">
        <f aca="false">IF(E13="","",IF(G13="","Pending",IF(G13&lt;=F13,"SLA Met","SLA Overdue")))</f>
        <v/>
      </c>
      <c r="J13" s="15"/>
      <c r="K13" s="12" t="str">
        <f aca="false">IF(I13="SLA Overdue","Yes","No")</f>
        <v>No</v>
      </c>
      <c r="L13" s="13"/>
    </row>
    <row r="14" customFormat="false" ht="15" hidden="false" customHeight="false" outlineLevel="0" collapsed="false">
      <c r="B14" s="12" t="n">
        <v>9</v>
      </c>
      <c r="C14" s="6"/>
      <c r="D14" s="6"/>
      <c r="E14" s="20"/>
      <c r="F14" s="21" t="str">
        <f aca="false">IF(E14="","",E14+5)</f>
        <v/>
      </c>
      <c r="G14" s="20"/>
      <c r="H14" s="15"/>
      <c r="I14" s="22" t="str">
        <f aca="false">IF(E14="","",IF(G14="","Pending",IF(G14&lt;=F14,"SLA Met","SLA Overdue")))</f>
        <v/>
      </c>
      <c r="J14" s="15"/>
      <c r="K14" s="12" t="str">
        <f aca="false">IF(I14="SLA Overdue","Yes","No")</f>
        <v>No</v>
      </c>
      <c r="L14" s="13"/>
    </row>
    <row r="15" customFormat="false" ht="15" hidden="false" customHeight="false" outlineLevel="0" collapsed="false">
      <c r="B15" s="12" t="n">
        <v>10</v>
      </c>
      <c r="C15" s="6"/>
      <c r="D15" s="6"/>
      <c r="E15" s="20"/>
      <c r="F15" s="21" t="str">
        <f aca="false">IF(E15="","",E15+5)</f>
        <v/>
      </c>
      <c r="G15" s="20"/>
      <c r="H15" s="15"/>
      <c r="I15" s="22" t="str">
        <f aca="false">IF(E15="","",IF(G15="","Pending",IF(G15&lt;=F15,"SLA Met","SLA Overdue")))</f>
        <v/>
      </c>
      <c r="J15" s="15"/>
      <c r="K15" s="12" t="str">
        <f aca="false">IF(I15="SLA Overdue","Yes","No")</f>
        <v>No</v>
      </c>
      <c r="L15" s="13"/>
    </row>
    <row r="16" customFormat="false" ht="15" hidden="false" customHeight="false" outlineLevel="0" collapsed="false">
      <c r="B16" s="12" t="n">
        <v>11</v>
      </c>
      <c r="C16" s="6"/>
      <c r="D16" s="6"/>
      <c r="E16" s="20"/>
      <c r="F16" s="21" t="str">
        <f aca="false">IF(E16="","",E16+5)</f>
        <v/>
      </c>
      <c r="G16" s="20"/>
      <c r="H16" s="15"/>
      <c r="I16" s="22" t="str">
        <f aca="false">IF(E16="","",IF(G16="","Pending",IF(G16&lt;=F16,"SLA Met","SLA Overdue")))</f>
        <v/>
      </c>
      <c r="J16" s="15"/>
      <c r="K16" s="12" t="str">
        <f aca="false">IF(I16="SLA Overdue","Yes","No")</f>
        <v>No</v>
      </c>
      <c r="L16" s="13"/>
    </row>
    <row r="17" customFormat="false" ht="15" hidden="false" customHeight="false" outlineLevel="0" collapsed="false">
      <c r="B17" s="12" t="n">
        <v>12</v>
      </c>
      <c r="C17" s="6"/>
      <c r="D17" s="6"/>
      <c r="E17" s="20"/>
      <c r="F17" s="21" t="str">
        <f aca="false">IF(E17="","",E17+5)</f>
        <v/>
      </c>
      <c r="G17" s="20"/>
      <c r="H17" s="15"/>
      <c r="I17" s="22" t="str">
        <f aca="false">IF(E17="","",IF(G17="","Pending",IF(G17&lt;=F17,"SLA Met","SLA Overdue")))</f>
        <v/>
      </c>
      <c r="J17" s="15"/>
      <c r="K17" s="12" t="str">
        <f aca="false">IF(I17="SLA Overdue","Yes","No")</f>
        <v>No</v>
      </c>
      <c r="L17" s="13"/>
    </row>
    <row r="18" customFormat="false" ht="15" hidden="false" customHeight="false" outlineLevel="0" collapsed="false">
      <c r="B18" s="12" t="n">
        <v>13</v>
      </c>
      <c r="C18" s="6"/>
      <c r="D18" s="6"/>
      <c r="E18" s="20"/>
      <c r="F18" s="21" t="str">
        <f aca="false">IF(E18="","",E18+5)</f>
        <v/>
      </c>
      <c r="G18" s="20"/>
      <c r="H18" s="15"/>
      <c r="I18" s="22" t="str">
        <f aca="false">IF(E18="","",IF(G18="","Pending",IF(G18&lt;=F18,"SLA Met","SLA Overdue")))</f>
        <v/>
      </c>
      <c r="J18" s="15"/>
      <c r="K18" s="12" t="str">
        <f aca="false">IF(I18="SLA Overdue","Yes","No")</f>
        <v>No</v>
      </c>
      <c r="L18" s="13"/>
    </row>
    <row r="19" customFormat="false" ht="15" hidden="false" customHeight="false" outlineLevel="0" collapsed="false">
      <c r="B19" s="12" t="n">
        <v>14</v>
      </c>
      <c r="C19" s="6"/>
      <c r="D19" s="6"/>
      <c r="E19" s="20"/>
      <c r="F19" s="21" t="str">
        <f aca="false">IF(E19="","",E19+5)</f>
        <v/>
      </c>
      <c r="G19" s="20"/>
      <c r="H19" s="15"/>
      <c r="I19" s="22" t="str">
        <f aca="false">IF(E19="","",IF(G19="","Pending",IF(G19&lt;=F19,"SLA Met","SLA Overdue")))</f>
        <v/>
      </c>
      <c r="J19" s="15"/>
      <c r="K19" s="12" t="str">
        <f aca="false">IF(I19="SLA Overdue","Yes","No")</f>
        <v>No</v>
      </c>
      <c r="L19" s="13"/>
    </row>
    <row r="20" customFormat="false" ht="15" hidden="false" customHeight="false" outlineLevel="0" collapsed="false">
      <c r="B20" s="12" t="n">
        <v>15</v>
      </c>
      <c r="C20" s="6"/>
      <c r="D20" s="6"/>
      <c r="E20" s="20"/>
      <c r="F20" s="21" t="str">
        <f aca="false">IF(E20="","",E20+5)</f>
        <v/>
      </c>
      <c r="G20" s="20"/>
      <c r="H20" s="15"/>
      <c r="I20" s="22" t="str">
        <f aca="false">IF(E20="","",IF(G20="","Pending",IF(G20&lt;=F20,"SLA Met","SLA Overdue")))</f>
        <v/>
      </c>
      <c r="J20" s="15"/>
      <c r="K20" s="12" t="str">
        <f aca="false">IF(I20="SLA Overdue","Yes","No")</f>
        <v>No</v>
      </c>
      <c r="L20" s="13"/>
    </row>
  </sheetData>
  <autoFilter ref="B5:L20"/>
  <mergeCells count="2">
    <mergeCell ref="B2:K2"/>
    <mergeCell ref="B3:K3"/>
  </mergeCells>
  <conditionalFormatting sqref="I6:I20">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20"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