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<sst xmlns="http://schemas.openxmlformats.org/spreadsheetml/2006/main" count="109" uniqueCount="85">
  <si>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</si>
  <si>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</si>
  <si>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</si>
  <si>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</si>
  <si>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</si>
  <si>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</si>
  <si>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</si>
  <si>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</si>
  <si>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</si>
  <si>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</si>
  <si>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</si>
  <si>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</si>
  <si>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</si>
  <si>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</si>
  <si>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</si>
  <si>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</si>
  <si>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</si>
  <si>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</si>
  <si>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</si>
  <si>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</si>
  <si>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</si>
  <si>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</si>
  <si>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Corporation Tax</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</si>
  <si>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</si>
  <si>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</si>
  <si>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</si>
  <si>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</si>
  <si>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</si>
  <si>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</si>
  <si>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</si>
  <si>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</si>
  <si>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</si>
  <si>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</si>
  <si>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</si>
  <si>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</si>
  <si>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</si>
  <si>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</si>
  <si>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</si>
  <si>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</si>
  <si>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</si>
  <si>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</si>
  <si>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</si>
  <si>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</si>
  <si>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</si>
  <si>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</si>
  <si>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</si>
  <si>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</si>
  <si>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</si>
  <si>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</si>
  <si>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</si>
  <si>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</si>
  <si>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</si>
  <si>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</si>
  <si>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</si>
  <si>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</si>
  <si>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</si>
  <si>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</si>
  <si>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</si>
  <si>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</si>
  <si>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</si>
  <si>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</si>
  <si>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Resource ramp-up for regression cycle</t>
  </si>
  <si>
    <t xml:space="preserve">TSR-202608-002</t>
  </si>
  <si>
    <t xml:space="preserve">Performance test scope for peak load</t>
  </si>
  <si>
    <t xml:space="preserve">TSR-202608-003</t>
  </si>
  <si>
    <t xml:space="preserve">Change request impact assessment</t>
  </si>
  <si>
    <t xml:space="preserve">TSR-202608-004</t>
  </si>
  <si>
    <t xml:space="preserve">TSR-202608-005</t>
  </si>
  <si>
    <t xml:space="preserve">TSR-202608-006</t>
  </si>
  <si>
    <t xml:space="preserve">Security test scope addition</t>
  </si>
  <si>
    <t xml:space="preserve">TSR-202608-007</t>
  </si>
  <si>
    <t xml:space="preserve">Additional environment test coverage</t>
  </si>
  <si>
    <t xml:space="preserve">Impacting</t>
  </si>
  <si>
    <t xml:space="preserve">TSR-202608-008</t>
  </si>
  <si>
    <t xml:space="preserve">TSR-202608-009</t>
  </si>
  <si>
    <t xml:space="preserve">TSR-202608-010</t>
  </si>
  <si>
    <t xml:space="preserve">TSR-202608-011</t>
  </si>
  <si>
    <t xml:space="preserve">TSR-202608-012</t>
  </si>
  <si>
    <t xml:space="preserve">TSR-202608-013</t>
  </si>
  <si>
    <t xml:space="preserve">TSR-202608-014</t>
  </si>
  <si>
    <t xml:space="preserve">TSR-202608-015</t>
  </si>
  <si>
    <t xml:space="preserve">New scope testing for release increment</t>
  </si>
  <si>
    <t xml:space="preserve">TSR-202608-016</t>
  </si>
  <si>
    <t xml:space="preserve">TSR-202608-017</t>
  </si>
  <si>
    <t xml:space="preserve">TSR-202608-018</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</si>
</sst>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5.2</v>
      </c>
      <c r="H8" s="15" t="str">
        <f aca="false">IF(G8="","",IF(E8="Higher",IF(G8&gt;=F8,"Green",IF(G8&gt;=F8*0.9,"Amber","Red")),IF(G8&lt;=F8,"Green",IF(G8&lt;=F8*1.1,"Amber","Red"))))</f>
        <v>Amber</v>
      </c>
      <c r="I8" s="16"/>
    </row>
    <row r="9" customFormat="false" ht="15" hidden="false" customHeight="false" outlineLevel="0" collapsed="false">
      <c r="B9" s="11" t="n">
        <v>2</v>
      </c>
      <c r="C9" s="12" t="s">
        <v>38</v>
      </c>
      <c r="D9" s="11" t="s">
        <v>36</v>
      </c>
      <c r="E9" s="13" t="s">
        <v>39</v>
      </c>
      <c r="F9" s="14" t="n">
        <v>70</v>
      </c>
      <c r="G9" s="14" t="n">
        <v>65.2</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81.9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88.8</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11.6</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4.5</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46238</v>
      </c>
      <c r="F6" s="20" t="n">
        <f aca="false">IF(E6="","",E6+5)</f>
        <v>46243</v>
      </c>
      <c r="G6" s="19" t="n">
        <v>46243</v>
      </c>
      <c r="H6" s="14" t="n">
        <v>5</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46236</v>
      </c>
      <c r="F7" s="20" t="n">
        <f aca="false">IF(E7="","",E7+5)</f>
        <v>46241</v>
      </c>
      <c r="G7" s="19" t="n">
        <v>46237</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46256</v>
      </c>
      <c r="F8" s="20" t="n">
        <f aca="false">IF(E8="","",E8+5)</f>
        <v>46261</v>
      </c>
      <c r="G8" s="19" t="n">
        <v>46258</v>
      </c>
      <c r="H8" s="14" t="n">
        <v>7</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63</v>
      </c>
      <c r="E9" s="19" t="n">
        <v>46237</v>
      </c>
      <c r="F9" s="20" t="n">
        <f aca="false">IF(E9="","",E9+5)</f>
        <v>46242</v>
      </c>
      <c r="G9" s="19" t="n">
        <v>46240</v>
      </c>
      <c r="H9" s="14" t="n">
        <v>6</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63</v>
      </c>
      <c r="E10" s="19" t="n">
        <v>46256</v>
      </c>
      <c r="F10" s="20" t="n">
        <f aca="false">IF(E10="","",E10+5)</f>
        <v>46261</v>
      </c>
      <c r="G10" s="19" t="n">
        <v>46259</v>
      </c>
      <c r="H10" s="14" t="n">
        <v>5</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46256</v>
      </c>
      <c r="F11" s="20" t="n">
        <f aca="false">IF(E11="","",E11+5)</f>
        <v>46261</v>
      </c>
      <c r="G11" s="19" t="n">
        <v>46260</v>
      </c>
      <c r="H11" s="14" t="n">
        <v>5</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71</v>
      </c>
      <c r="E12" s="19" t="n">
        <v>46252</v>
      </c>
      <c r="F12" s="20" t="n">
        <f aca="false">IF(E12="","",E12+5)</f>
        <v>46257</v>
      </c>
      <c r="G12" s="19"/>
      <c r="H12" s="14" t="n">
        <v>11</v>
      </c>
      <c r="I12" s="21" t="str">
        <f aca="false">IF(E12="","",IF(G12="","Pending",IF(G12&lt;=F12,"SLA Met","SLA Overdue")))</f>
        <v>Pending</v>
      </c>
      <c r="J12" s="14" t="s">
        <v>72</v>
      </c>
      <c r="K12" s="11" t="str">
        <f aca="false">IF(I12="SLA Overdue","Yes","No")</f>
        <v>No</v>
      </c>
      <c r="L12" s="12"/>
    </row>
    <row r="13" customFormat="false" ht="15" hidden="false" customHeight="false" outlineLevel="0" collapsed="false">
      <c r="B13" s="11" t="n">
        <v>8</v>
      </c>
      <c r="C13" s="5" t="s">
        <v>73</v>
      </c>
      <c r="D13" s="5" t="s">
        <v>63</v>
      </c>
      <c r="E13" s="19" t="n">
        <v>46258</v>
      </c>
      <c r="F13" s="20" t="n">
        <f aca="false">IF(E13="","",E13+5)</f>
        <v>46263</v>
      </c>
      <c r="G13" s="19" t="n">
        <v>46263</v>
      </c>
      <c r="H13" s="14" t="n">
        <v>5</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65</v>
      </c>
      <c r="E14" s="19" t="n">
        <v>46247</v>
      </c>
      <c r="F14" s="20" t="n">
        <f aca="false">IF(E14="","",E14+5)</f>
        <v>46252</v>
      </c>
      <c r="G14" s="19" t="n">
        <v>46248</v>
      </c>
      <c r="H14" s="14" t="n">
        <v>5</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63</v>
      </c>
      <c r="E15" s="19" t="n">
        <v>46241</v>
      </c>
      <c r="F15" s="20" t="n">
        <f aca="false">IF(E15="","",E15+5)</f>
        <v>46246</v>
      </c>
      <c r="G15" s="19" t="n">
        <v>46246</v>
      </c>
      <c r="H15" s="14" t="n">
        <v>11</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69</v>
      </c>
      <c r="E16" s="19" t="n">
        <v>46245</v>
      </c>
      <c r="F16" s="20" t="n">
        <f aca="false">IF(E16="","",E16+5)</f>
        <v>46250</v>
      </c>
      <c r="G16" s="19" t="n">
        <v>46249</v>
      </c>
      <c r="H16" s="14" t="n">
        <v>4</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77</v>
      </c>
      <c r="D17" s="5" t="s">
        <v>69</v>
      </c>
      <c r="E17" s="19" t="n">
        <v>46251</v>
      </c>
      <c r="F17" s="20" t="n">
        <f aca="false">IF(E17="","",E17+5)</f>
        <v>46256</v>
      </c>
      <c r="G17" s="19" t="n">
        <v>46253</v>
      </c>
      <c r="H17" s="14" t="n">
        <v>2</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78</v>
      </c>
      <c r="D18" s="5" t="s">
        <v>65</v>
      </c>
      <c r="E18" s="19" t="n">
        <v>46244</v>
      </c>
      <c r="F18" s="20" t="n">
        <f aca="false">IF(E18="","",E18+5)</f>
        <v>46249</v>
      </c>
      <c r="G18" s="19" t="n">
        <v>46249</v>
      </c>
      <c r="H18" s="14" t="n">
        <v>2</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79</v>
      </c>
      <c r="D19" s="5" t="s">
        <v>69</v>
      </c>
      <c r="E19" s="19" t="n">
        <v>46261</v>
      </c>
      <c r="F19" s="20" t="n">
        <f aca="false">IF(E19="","",E19+5)</f>
        <v>46266</v>
      </c>
      <c r="G19" s="19" t="n">
        <v>46263</v>
      </c>
      <c r="H19" s="14" t="n">
        <v>5</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80</v>
      </c>
      <c r="D20" s="5" t="s">
        <v>81</v>
      </c>
      <c r="E20" s="19" t="n">
        <v>46242</v>
      </c>
      <c r="F20" s="20" t="n">
        <f aca="false">IF(E20="","",E20+5)</f>
        <v>46247</v>
      </c>
      <c r="G20" s="19" t="n">
        <v>46244</v>
      </c>
      <c r="H20" s="14" t="n">
        <v>1</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82</v>
      </c>
      <c r="D21" s="5" t="s">
        <v>81</v>
      </c>
      <c r="E21" s="19" t="n">
        <v>46242</v>
      </c>
      <c r="F21" s="20" t="n">
        <f aca="false">IF(E21="","",E21+5)</f>
        <v>46247</v>
      </c>
      <c r="G21" s="19" t="n">
        <v>46247</v>
      </c>
      <c r="H21" s="14" t="n">
        <v>8</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83</v>
      </c>
      <c r="D22" s="5" t="s">
        <v>61</v>
      </c>
      <c r="E22" s="19" t="n">
        <v>46248</v>
      </c>
      <c r="F22" s="20" t="n">
        <f aca="false">IF(E22="","",E22+5)</f>
        <v>46253</v>
      </c>
      <c r="G22" s="19" t="n">
        <v>46253</v>
      </c>
      <c r="H22" s="14" t="n">
        <v>12</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84</v>
      </c>
      <c r="D23" s="5" t="s">
        <v>61</v>
      </c>
      <c r="E23" s="19" t="n">
        <v>46257</v>
      </c>
      <c r="F23" s="20" t="n">
        <f aca="false">IF(E23="","",E23+5)</f>
        <v>46262</v>
      </c>
      <c r="G23" s="19" t="n">
        <v>46261</v>
      </c>
      <c r="H23" s="14" t="n">
        <v>3</v>
      </c>
      <c r="I23" s="21" t="str">
        <f aca="false">IF(E23="","",IF(G23="","Pending",IF(G23&lt;=F23,"SLA Met","SLA Overdue")))</f>
        <v>SLA Met</v>
      </c>
      <c r="J23" s="14"/>
      <c r="K23" s="11" t="str">
        <f aca="false">IF(I23="SLA Overdue","Yes","No")</f>
        <v>No</v>
      </c>
      <c r="L23" s="12"/>
    </row>
  </sheetData>
  <autoFilter ref="B5:L23"/>
  <mergeCells count="2">
    <mergeCell ref="B2:K2"/>
    <mergeCell ref="B3:K3"/>
  </mergeCells>
  <conditionalFormatting sqref="I6:I23">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3"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