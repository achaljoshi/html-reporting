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<sst xmlns="http://schemas.openxmlformats.org/spreadsheetml/2006/main" count="94" uniqueCount="77">
  <si>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</si>
  <si>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</si>
  <si>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</si>
  <si>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</si>
  <si>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</si>
  <si>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</si>
  <si>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</si>
  <si>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</si>
  <si>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</si>
  <si>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</si>
  <si>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</si>
  <si>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</si>
  <si>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</si>
  <si>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</si>
  <si>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</si>
  <si>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</si>
  <si>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</si>
  <si>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</si>
  <si>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</si>
  <si>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</si>
  <si>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</si>
  <si>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</si>
  <si>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Self Assessment</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</si>
  <si>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</si>
  <si>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</si>
  <si>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</si>
  <si>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</si>
  <si>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</si>
  <si>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</si>
  <si>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</si>
  <si>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</si>
  <si>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</si>
  <si>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</si>
  <si>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</si>
  <si>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</si>
  <si>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</si>
  <si>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</si>
  <si>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</si>
  <si>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</si>
  <si>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</si>
  <si>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</si>
  <si>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</si>
  <si>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</si>
  <si>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</si>
  <si>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</si>
  <si>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</si>
  <si>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</si>
  <si>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</si>
  <si>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</si>
  <si>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</si>
  <si>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</si>
  <si>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</si>
  <si>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</si>
  <si>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</si>
  <si>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</si>
  <si>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</si>
  <si>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</si>
  <si>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</si>
  <si>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</si>
  <si>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</si>
  <si>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</si>
  <si>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Performance test scope for peak load</t>
  </si>
  <si>
    <t xml:space="preserve">TSR-202609-002</t>
  </si>
  <si>
    <t xml:space="preserve">Change request impact assessment</t>
  </si>
  <si>
    <t xml:space="preserve">TSR-202609-003</t>
  </si>
  <si>
    <t xml:space="preserve">TSR-202609-004</t>
  </si>
  <si>
    <t xml:space="preserve">Resource ramp-up for regression cycle</t>
  </si>
  <si>
    <t xml:space="preserve">TSR-202609-005</t>
  </si>
  <si>
    <t xml:space="preserve">TSR-202609-006</t>
  </si>
  <si>
    <t xml:space="preserve">Security test scope addition</t>
  </si>
  <si>
    <t xml:space="preserve">TSR-202609-007</t>
  </si>
  <si>
    <t xml:space="preserve">Additional environment test coverage</t>
  </si>
  <si>
    <t xml:space="preserve">TSR-202609-008</t>
  </si>
  <si>
    <t xml:space="preserve">New scope testing for release increment</t>
  </si>
  <si>
    <t xml:space="preserve">TSR-202609-009</t>
  </si>
  <si>
    <t xml:space="preserve">TSR-202609-010</t>
  </si>
  <si>
    <t xml:space="preserve">TSR-202609-011</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</si>
</sst>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4.6</v>
      </c>
      <c r="H8" s="15" t="str">
        <f aca="false">IF(G8="","",IF(E8="Higher",IF(G8&gt;=F8,"Green",IF(G8&gt;=F8*0.9,"Amber","Red")),IF(G8&lt;=F8,"Green",IF(G8&lt;=F8*1.1,"Amber","Red"))))</f>
        <v>Green</v>
      </c>
      <c r="I8" s="16"/>
    </row>
    <row r="9" customFormat="false" ht="15" hidden="false" customHeight="false" outlineLevel="0" collapsed="false">
      <c r="B9" s="11" t="n">
        <v>2</v>
      </c>
      <c r="C9" s="12" t="s">
        <v>38</v>
      </c>
      <c r="D9" s="11" t="s">
        <v>36</v>
      </c>
      <c r="E9" s="13" t="s">
        <v>39</v>
      </c>
      <c r="F9" s="14" t="n">
        <v>70</v>
      </c>
      <c r="G9" s="14" t="n">
        <v>67.9</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87.4</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87.8</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11.3</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4.9</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46273</v>
      </c>
      <c r="F6" s="20" t="n">
        <f aca="false">IF(E6="","",E6+5)</f>
        <v>46278</v>
      </c>
      <c r="G6" s="19" t="n">
        <v>46276</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46288</v>
      </c>
      <c r="F7" s="20" t="n">
        <f aca="false">IF(E7="","",E7+5)</f>
        <v>46293</v>
      </c>
      <c r="G7" s="19" t="n">
        <v>46292</v>
      </c>
      <c r="H7" s="14" t="n">
        <v>1</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61</v>
      </c>
      <c r="E8" s="19" t="n">
        <v>46284</v>
      </c>
      <c r="F8" s="20" t="n">
        <f aca="false">IF(E8="","",E8+5)</f>
        <v>46289</v>
      </c>
      <c r="G8" s="19" t="n">
        <v>46285</v>
      </c>
      <c r="H8" s="14" t="n">
        <v>12</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46281</v>
      </c>
      <c r="F9" s="20" t="n">
        <f aca="false">IF(E9="","",E9+5)</f>
        <v>46286</v>
      </c>
      <c r="G9" s="19" t="n">
        <v>46284</v>
      </c>
      <c r="H9" s="14" t="n">
        <v>10</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61</v>
      </c>
      <c r="E10" s="19" t="n">
        <v>46291</v>
      </c>
      <c r="F10" s="20" t="n">
        <f aca="false">IF(E10="","",E10+5)</f>
        <v>46296</v>
      </c>
      <c r="G10" s="19" t="n">
        <v>46293</v>
      </c>
      <c r="H10" s="14" t="n">
        <v>5</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46287</v>
      </c>
      <c r="F11" s="20" t="n">
        <f aca="false">IF(E11="","",E11+5)</f>
        <v>46292</v>
      </c>
      <c r="G11" s="19" t="n">
        <v>46289</v>
      </c>
      <c r="H11" s="14" t="n">
        <v>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71</v>
      </c>
      <c r="E12" s="19" t="n">
        <v>46286</v>
      </c>
      <c r="F12" s="20" t="n">
        <f aca="false">IF(E12="","",E12+5)</f>
        <v>46291</v>
      </c>
      <c r="G12" s="19" t="n">
        <v>46289</v>
      </c>
      <c r="H12" s="14" t="n">
        <v>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73</v>
      </c>
      <c r="E13" s="19" t="n">
        <v>46284</v>
      </c>
      <c r="F13" s="20" t="n">
        <f aca="false">IF(E13="","",E13+5)</f>
        <v>46289</v>
      </c>
      <c r="G13" s="19" t="n">
        <v>46286</v>
      </c>
      <c r="H13" s="14" t="n">
        <v>5</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66</v>
      </c>
      <c r="E14" s="19" t="n">
        <v>46276</v>
      </c>
      <c r="F14" s="20" t="n">
        <f aca="false">IF(E14="","",E14+5)</f>
        <v>46281</v>
      </c>
      <c r="G14" s="19" t="n">
        <v>46278</v>
      </c>
      <c r="H14" s="14" t="n">
        <v>3</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61</v>
      </c>
      <c r="E15" s="19" t="n">
        <v>46291</v>
      </c>
      <c r="F15" s="20" t="n">
        <f aca="false">IF(E15="","",E15+5)</f>
        <v>46296</v>
      </c>
      <c r="G15" s="19" t="n">
        <v>46294</v>
      </c>
      <c r="H15" s="14" t="n">
        <v>9</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71</v>
      </c>
      <c r="E16" s="19" t="n">
        <v>46274</v>
      </c>
      <c r="F16" s="20" t="n">
        <f aca="false">IF(E16="","",E16+5)</f>
        <v>46279</v>
      </c>
      <c r="G16" s="19" t="n">
        <v>46277</v>
      </c>
      <c r="H16" s="14" t="n">
        <v>5</v>
      </c>
      <c r="I16" s="21" t="str">
        <f aca="false">IF(E16="","",IF(G16="","Pending",IF(G16&lt;=F16,"SLA Met","SLA Overdue")))</f>
        <v>SLA Met</v>
      </c>
      <c r="J16" s="14"/>
      <c r="K16" s="11" t="str">
        <f aca="false">IF(I16="SLA Overdue","Yes","No")</f>
        <v>No</v>
      </c>
      <c r="L16" s="12"/>
    </row>
  </sheetData>
  <autoFilter ref="B5:L16"/>
  <mergeCells count="2">
    <mergeCell ref="B2:K2"/>
    <mergeCell ref="B3:K3"/>
  </mergeCells>
  <conditionalFormatting sqref="I6:I16">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6"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