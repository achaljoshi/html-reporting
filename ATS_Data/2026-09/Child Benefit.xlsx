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<sst xmlns="http://schemas.openxmlformats.org/spreadsheetml/2006/main" count="116" uniqueCount="88">
  <si>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</si>
  <si>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</si>
  <si>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</si>
  <si>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</si>
  <si>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</si>
  <si>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</si>
  <si>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</si>
  <si>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</si>
  <si>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</si>
  <si>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</si>
  <si>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</si>
  <si>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</si>
  <si>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</si>
  <si>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</si>
  <si>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</si>
  <si>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</si>
  <si>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</si>
  <si>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</si>
  <si>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</si>
  <si>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</si>
  <si>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</si>
  <si>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</si>
  <si>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Child Benefit</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</si>
  <si>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</si>
  <si>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</si>
  <si>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</si>
  <si>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</si>
  <si>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</si>
  <si>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</si>
  <si>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</si>
  <si>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</si>
  <si>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</si>
  <si>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</si>
  <si>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</si>
  <si>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</si>
  <si>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</si>
  <si>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</si>
  <si>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</si>
  <si>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</si>
  <si>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</si>
  <si>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</si>
  <si>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</si>
  <si>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</si>
  <si>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</si>
  <si>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</si>
  <si>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</si>
  <si>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</si>
  <si>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</si>
  <si>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</si>
  <si>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</si>
  <si>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</si>
  <si>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</si>
  <si>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</si>
  <si>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</si>
  <si>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</si>
  <si>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</si>
  <si>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</si>
  <si>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</si>
  <si>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</si>
  <si>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</si>
  <si>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</si>
  <si>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Security test scope addition</t>
  </si>
  <si>
    <t xml:space="preserve">TSR-202609-002</t>
  </si>
  <si>
    <t xml:space="preserve">New scope testing for release increment</t>
  </si>
  <si>
    <t xml:space="preserve">TSR-202609-003</t>
  </si>
  <si>
    <t xml:space="preserve">Resource ramp-up for regression cycle</t>
  </si>
  <si>
    <t xml:space="preserve">TSR-202609-004</t>
  </si>
  <si>
    <t xml:space="preserve">TSR-202609-005</t>
  </si>
  <si>
    <t xml:space="preserve">Performance test scope for peak load</t>
  </si>
  <si>
    <t xml:space="preserve">TSR-202609-006</t>
  </si>
  <si>
    <t xml:space="preserve">TSR-202609-007</t>
  </si>
  <si>
    <t xml:space="preserve">TSR-202609-008</t>
  </si>
  <si>
    <t xml:space="preserve">Change request impact assessment</t>
  </si>
  <si>
    <t xml:space="preserve">TSR-202609-009</t>
  </si>
  <si>
    <t xml:space="preserve">TSR-202609-010</t>
  </si>
  <si>
    <t xml:space="preserve">Query Raised</t>
  </si>
  <si>
    <t xml:space="preserve">TSR-202609-011</t>
  </si>
  <si>
    <t xml:space="preserve">Additional environment test coverage</t>
  </si>
  <si>
    <t xml:space="preserve">TSR-202609-012</t>
  </si>
  <si>
    <t xml:space="preserve">Impacting</t>
  </si>
  <si>
    <t xml:space="preserve">TSR-202609-013</t>
  </si>
  <si>
    <t xml:space="preserve">TSR-202609-014</t>
  </si>
  <si>
    <t xml:space="preserve">TSR-202609-015</t>
  </si>
  <si>
    <t xml:space="preserve">TSR-202609-016</t>
  </si>
  <si>
    <t xml:space="preserve">TSR-202609-017</t>
  </si>
  <si>
    <t xml:space="preserve">TSR-202609-018</t>
  </si>
  <si>
    <t xml:space="preserve">TSR-202609-019</t>
  </si>
  <si>
    <t xml:space="preserve">TSR-202609-020</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</si>
</sst>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7.1</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64.9</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87.9</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89.5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87.9</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11.1</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4.6</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46269</v>
      </c>
      <c r="F6" s="20" t="n">
        <f aca="false">IF(E6="","",E6+5)</f>
        <v>46274</v>
      </c>
      <c r="G6" s="19" t="n">
        <v>46273</v>
      </c>
      <c r="H6" s="14" t="n">
        <v>1</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46275</v>
      </c>
      <c r="F7" s="20" t="n">
        <f aca="false">IF(E7="","",E7+5)</f>
        <v>46280</v>
      </c>
      <c r="G7" s="19" t="n">
        <v>46278</v>
      </c>
      <c r="H7" s="14" t="n">
        <v>10</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65</v>
      </c>
      <c r="E8" s="19" t="n">
        <v>46282</v>
      </c>
      <c r="F8" s="20" t="n">
        <f aca="false">IF(E8="","",E8+5)</f>
        <v>46287</v>
      </c>
      <c r="G8" s="19" t="n">
        <v>46291</v>
      </c>
      <c r="H8" s="14" t="n">
        <v>2</v>
      </c>
      <c r="I8" s="21" t="str">
        <f aca="false">IF(E8="","",IF(G8="","Pending",IF(G8&lt;=F8,"SLA Met","SLA Overdue")))</f>
        <v>SLA Overdue</v>
      </c>
      <c r="J8" s="14"/>
      <c r="K8" s="11" t="str">
        <f aca="false">IF(I8="SLA Overdue","Yes","No")</f>
        <v>Yes</v>
      </c>
      <c r="L8" s="12"/>
    </row>
    <row r="9" customFormat="false" ht="15" hidden="false" customHeight="false" outlineLevel="0" collapsed="false">
      <c r="B9" s="11" t="n">
        <v>4</v>
      </c>
      <c r="C9" s="5" t="s">
        <v>66</v>
      </c>
      <c r="D9" s="5" t="s">
        <v>63</v>
      </c>
      <c r="E9" s="19" t="n">
        <v>46277</v>
      </c>
      <c r="F9" s="20" t="n">
        <f aca="false">IF(E9="","",E9+5)</f>
        <v>46282</v>
      </c>
      <c r="G9" s="19" t="n">
        <v>46280</v>
      </c>
      <c r="H9" s="14" t="n">
        <v>5</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68</v>
      </c>
      <c r="E10" s="19" t="n">
        <v>46284</v>
      </c>
      <c r="F10" s="20" t="n">
        <f aca="false">IF(E10="","",E10+5)</f>
        <v>46289</v>
      </c>
      <c r="G10" s="19" t="n">
        <v>46293</v>
      </c>
      <c r="H10" s="14" t="n">
        <v>10</v>
      </c>
      <c r="I10" s="21" t="str">
        <f aca="false">IF(E10="","",IF(G10="","Pending",IF(G10&lt;=F10,"SLA Met","SLA Overdue")))</f>
        <v>SLA Overdue</v>
      </c>
      <c r="J10" s="14"/>
      <c r="K10" s="11" t="str">
        <f aca="false">IF(I10="SLA Overdue","Yes","No")</f>
        <v>Yes</v>
      </c>
      <c r="L10" s="12"/>
    </row>
    <row r="11" customFormat="false" ht="15" hidden="false" customHeight="false" outlineLevel="0" collapsed="false">
      <c r="B11" s="11" t="n">
        <v>6</v>
      </c>
      <c r="C11" s="5" t="s">
        <v>69</v>
      </c>
      <c r="D11" s="5" t="s">
        <v>63</v>
      </c>
      <c r="E11" s="19" t="n">
        <v>46285</v>
      </c>
      <c r="F11" s="20" t="n">
        <f aca="false">IF(E11="","",E11+5)</f>
        <v>46290</v>
      </c>
      <c r="G11" s="19" t="n">
        <v>46290</v>
      </c>
      <c r="H11" s="14" t="n">
        <v>10</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63</v>
      </c>
      <c r="E12" s="19" t="n">
        <v>46287</v>
      </c>
      <c r="F12" s="20" t="n">
        <f aca="false">IF(E12="","",E12+5)</f>
        <v>46292</v>
      </c>
      <c r="G12" s="19" t="n">
        <v>46290</v>
      </c>
      <c r="H12" s="14" t="n">
        <v>3</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72</v>
      </c>
      <c r="E13" s="19" t="n">
        <v>46274</v>
      </c>
      <c r="F13" s="20" t="n">
        <f aca="false">IF(E13="","",E13+5)</f>
        <v>46279</v>
      </c>
      <c r="G13" s="19" t="n">
        <v>46277</v>
      </c>
      <c r="H13" s="14" t="n">
        <v>6</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73</v>
      </c>
      <c r="D14" s="5" t="s">
        <v>68</v>
      </c>
      <c r="E14" s="19" t="n">
        <v>46266</v>
      </c>
      <c r="F14" s="20" t="n">
        <f aca="false">IF(E14="","",E14+5)</f>
        <v>46271</v>
      </c>
      <c r="G14" s="19" t="n">
        <v>46273</v>
      </c>
      <c r="H14" s="14" t="n">
        <v>11</v>
      </c>
      <c r="I14" s="21" t="str">
        <f aca="false">IF(E14="","",IF(G14="","Pending",IF(G14&lt;=F14,"SLA Met","SLA Overdue")))</f>
        <v>SLA Overdue</v>
      </c>
      <c r="J14" s="14"/>
      <c r="K14" s="11" t="str">
        <f aca="false">IF(I14="SLA Overdue","Yes","No")</f>
        <v>Yes</v>
      </c>
      <c r="L14" s="12"/>
    </row>
    <row r="15" customFormat="false" ht="15" hidden="false" customHeight="false" outlineLevel="0" collapsed="false">
      <c r="B15" s="11" t="n">
        <v>10</v>
      </c>
      <c r="C15" s="5" t="s">
        <v>74</v>
      </c>
      <c r="D15" s="5" t="s">
        <v>63</v>
      </c>
      <c r="E15" s="19" t="n">
        <v>46278</v>
      </c>
      <c r="F15" s="20" t="n">
        <f aca="false">IF(E15="","",E15+5)</f>
        <v>46283</v>
      </c>
      <c r="G15" s="19"/>
      <c r="H15" s="14" t="n">
        <v>2</v>
      </c>
      <c r="I15" s="21" t="str">
        <f aca="false">IF(E15="","",IF(G15="","Pending",IF(G15&lt;=F15,"SLA Met","SLA Overdue")))</f>
        <v>Pending</v>
      </c>
      <c r="J15" s="14" t="s">
        <v>75</v>
      </c>
      <c r="K15" s="11" t="str">
        <f aca="false">IF(I15="SLA Overdue","Yes","No")</f>
        <v>No</v>
      </c>
      <c r="L15" s="12"/>
    </row>
    <row r="16" customFormat="false" ht="15" hidden="false" customHeight="false" outlineLevel="0" collapsed="false">
      <c r="B16" s="11" t="n">
        <v>11</v>
      </c>
      <c r="C16" s="5" t="s">
        <v>76</v>
      </c>
      <c r="D16" s="5" t="s">
        <v>77</v>
      </c>
      <c r="E16" s="19" t="n">
        <v>46289</v>
      </c>
      <c r="F16" s="20" t="n">
        <f aca="false">IF(E16="","",E16+5)</f>
        <v>46294</v>
      </c>
      <c r="G16" s="19" t="n">
        <v>46293</v>
      </c>
      <c r="H16" s="14" t="n">
        <v>8</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78</v>
      </c>
      <c r="D17" s="5" t="s">
        <v>72</v>
      </c>
      <c r="E17" s="19" t="n">
        <v>46276</v>
      </c>
      <c r="F17" s="20" t="n">
        <f aca="false">IF(E17="","",E17+5)</f>
        <v>46281</v>
      </c>
      <c r="G17" s="19"/>
      <c r="H17" s="14" t="n">
        <v>10</v>
      </c>
      <c r="I17" s="21" t="str">
        <f aca="false">IF(E17="","",IF(G17="","Pending",IF(G17&lt;=F17,"SLA Met","SLA Overdue")))</f>
        <v>Pending</v>
      </c>
      <c r="J17" s="14" t="s">
        <v>79</v>
      </c>
      <c r="K17" s="11" t="str">
        <f aca="false">IF(I17="SLA Overdue","Yes","No")</f>
        <v>No</v>
      </c>
      <c r="L17" s="12"/>
    </row>
    <row r="18" customFormat="false" ht="15" hidden="false" customHeight="false" outlineLevel="0" collapsed="false">
      <c r="B18" s="11" t="n">
        <v>13</v>
      </c>
      <c r="C18" s="5" t="s">
        <v>80</v>
      </c>
      <c r="D18" s="5" t="s">
        <v>65</v>
      </c>
      <c r="E18" s="19" t="n">
        <v>46285</v>
      </c>
      <c r="F18" s="20" t="n">
        <f aca="false">IF(E18="","",E18+5)</f>
        <v>46290</v>
      </c>
      <c r="G18" s="19"/>
      <c r="H18" s="14" t="n">
        <v>10</v>
      </c>
      <c r="I18" s="21" t="str">
        <f aca="false">IF(E18="","",IF(G18="","Pending",IF(G18&lt;=F18,"SLA Met","SLA Overdue")))</f>
        <v>Pending</v>
      </c>
      <c r="J18" s="14" t="s">
        <v>79</v>
      </c>
      <c r="K18" s="11" t="str">
        <f aca="false">IF(I18="SLA Overdue","Yes","No")</f>
        <v>No</v>
      </c>
      <c r="L18" s="12"/>
    </row>
    <row r="19" customFormat="false" ht="15" hidden="false" customHeight="false" outlineLevel="0" collapsed="false">
      <c r="B19" s="11" t="n">
        <v>14</v>
      </c>
      <c r="C19" s="5" t="s">
        <v>81</v>
      </c>
      <c r="D19" s="5" t="s">
        <v>77</v>
      </c>
      <c r="E19" s="19" t="n">
        <v>46267</v>
      </c>
      <c r="F19" s="20" t="n">
        <f aca="false">IF(E19="","",E19+5)</f>
        <v>46272</v>
      </c>
      <c r="G19" s="19" t="n">
        <v>46270</v>
      </c>
      <c r="H19" s="14" t="n">
        <v>11</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82</v>
      </c>
      <c r="D20" s="5" t="s">
        <v>77</v>
      </c>
      <c r="E20" s="19" t="n">
        <v>46279</v>
      </c>
      <c r="F20" s="20" t="n">
        <f aca="false">IF(E20="","",E20+5)</f>
        <v>46284</v>
      </c>
      <c r="G20" s="19" t="n">
        <v>46283</v>
      </c>
      <c r="H20" s="14" t="n">
        <v>5</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83</v>
      </c>
      <c r="D21" s="5" t="s">
        <v>72</v>
      </c>
      <c r="E21" s="19" t="n">
        <v>46272</v>
      </c>
      <c r="F21" s="20" t="n">
        <f aca="false">IF(E21="","",E21+5)</f>
        <v>46277</v>
      </c>
      <c r="G21" s="19" t="n">
        <v>46273</v>
      </c>
      <c r="H21" s="14" t="n">
        <v>7</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84</v>
      </c>
      <c r="D22" s="5" t="s">
        <v>77</v>
      </c>
      <c r="E22" s="19" t="n">
        <v>46269</v>
      </c>
      <c r="F22" s="20" t="n">
        <f aca="false">IF(E22="","",E22+5)</f>
        <v>46274</v>
      </c>
      <c r="G22" s="19" t="n">
        <v>46274</v>
      </c>
      <c r="H22" s="14" t="n">
        <v>9</v>
      </c>
      <c r="I22" s="21" t="str">
        <f aca="false">IF(E22="","",IF(G22="","Pending",IF(G22&lt;=F22,"SLA Met","SLA Overdue")))</f>
        <v>SLA Met</v>
      </c>
      <c r="J22" s="14"/>
      <c r="K22" s="11" t="str">
        <f aca="false">IF(I22="SLA Overdue","Yes","No")</f>
        <v>No</v>
      </c>
      <c r="L22" s="12"/>
    </row>
    <row r="23" customFormat="false" ht="15" hidden="false" customHeight="false" outlineLevel="0" collapsed="false">
      <c r="B23" s="11" t="n">
        <v>18</v>
      </c>
      <c r="C23" s="5" t="s">
        <v>85</v>
      </c>
      <c r="D23" s="5" t="s">
        <v>77</v>
      </c>
      <c r="E23" s="19" t="n">
        <v>46287</v>
      </c>
      <c r="F23" s="20" t="n">
        <f aca="false">IF(E23="","",E23+5)</f>
        <v>46292</v>
      </c>
      <c r="G23" s="19" t="n">
        <v>46289</v>
      </c>
      <c r="H23" s="14" t="n">
        <v>10</v>
      </c>
      <c r="I23" s="21" t="str">
        <f aca="false">IF(E23="","",IF(G23="","Pending",IF(G23&lt;=F23,"SLA Met","SLA Overdue")))</f>
        <v>SLA Met</v>
      </c>
      <c r="J23" s="14"/>
      <c r="K23" s="11" t="str">
        <f aca="false">IF(I23="SLA Overdue","Yes","No")</f>
        <v>No</v>
      </c>
      <c r="L23" s="12"/>
    </row>
    <row r="24" customFormat="false" ht="15" hidden="false" customHeight="false" outlineLevel="0" collapsed="false">
      <c r="B24" s="11" t="n">
        <v>19</v>
      </c>
      <c r="C24" s="5" t="s">
        <v>86</v>
      </c>
      <c r="D24" s="5" t="s">
        <v>65</v>
      </c>
      <c r="E24" s="19" t="n">
        <v>46267</v>
      </c>
      <c r="F24" s="20" t="n">
        <f aca="false">IF(E24="","",E24+5)</f>
        <v>46272</v>
      </c>
      <c r="G24" s="19"/>
      <c r="H24" s="14" t="n">
        <v>3</v>
      </c>
      <c r="I24" s="21" t="str">
        <f aca="false">IF(E24="","",IF(G24="","Pending",IF(G24&lt;=F24,"SLA Met","SLA Overdue")))</f>
        <v>Pending</v>
      </c>
      <c r="J24" s="14" t="s">
        <v>79</v>
      </c>
      <c r="K24" s="11" t="str">
        <f aca="false">IF(I24="SLA Overdue","Yes","No")</f>
        <v>No</v>
      </c>
      <c r="L24" s="12"/>
    </row>
    <row r="25" customFormat="false" ht="15" hidden="false" customHeight="false" outlineLevel="0" collapsed="false">
      <c r="B25" s="11" t="n">
        <v>20</v>
      </c>
      <c r="C25" s="5" t="s">
        <v>87</v>
      </c>
      <c r="D25" s="5" t="s">
        <v>63</v>
      </c>
      <c r="E25" s="19" t="n">
        <v>46290</v>
      </c>
      <c r="F25" s="20" t="n">
        <f aca="false">IF(E25="","",E25+5)</f>
        <v>46295</v>
      </c>
      <c r="G25" s="19" t="n">
        <v>46298</v>
      </c>
      <c r="H25" s="14" t="n">
        <v>1</v>
      </c>
      <c r="I25" s="21" t="str">
        <f aca="false">IF(E25="","",IF(G25="","Pending",IF(G25&lt;=F25,"SLA Met","SLA Overdue")))</f>
        <v>SLA Overdue</v>
      </c>
      <c r="J25" s="14"/>
      <c r="K25" s="11" t="str">
        <f aca="false">IF(I25="SLA Overdue","Yes","No")</f>
        <v>Yes</v>
      </c>
      <c r="L25" s="12"/>
    </row>
  </sheetData>
  <autoFilter ref="B5:L25"/>
  <mergeCells count="2">
    <mergeCell ref="B2:K2"/>
    <mergeCell ref="B3:K3"/>
  </mergeCells>
  <conditionalFormatting sqref="I6:I25">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5"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