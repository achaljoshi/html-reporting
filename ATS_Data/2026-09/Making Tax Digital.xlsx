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<sst xmlns="http://schemas.openxmlformats.org/spreadsheetml/2006/main" count="102" uniqueCount="81">
  <si>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</si>
  <si>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</si>
  <si>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</si>
  <si>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</si>
  <si>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</si>
  <si>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</si>
  <si>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</si>
  <si>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</si>
  <si>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</si>
  <si>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</si>
  <si>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</si>
  <si>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</si>
  <si>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</si>
  <si>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</si>
  <si>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</si>
  <si>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</si>
  <si>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</si>
  <si>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</si>
  <si>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</si>
  <si>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</si>
  <si>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</si>
  <si>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</si>
  <si>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Making Tax Digital</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</si>
  <si>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</si>
  <si>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</si>
  <si>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</si>
  <si>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</si>
  <si>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</si>
  <si>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</si>
  <si>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</si>
  <si>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</si>
  <si>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</si>
  <si>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</si>
  <si>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</si>
  <si>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</si>
  <si>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</si>
  <si>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</si>
  <si>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</si>
  <si>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</si>
  <si>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</si>
  <si>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</si>
  <si>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</si>
  <si>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</si>
  <si>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</si>
  <si>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</si>
  <si>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</si>
  <si>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</si>
  <si>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</si>
  <si>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</si>
  <si>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</si>
  <si>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</si>
  <si>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</si>
  <si>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</si>
  <si>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</si>
  <si>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</si>
  <si>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</si>
  <si>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</si>
  <si>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</si>
  <si>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</si>
  <si>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</si>
  <si>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</si>
  <si>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Performance test scope for peak load</t>
  </si>
  <si>
    <t xml:space="preserve">TSR-202609-002</t>
  </si>
  <si>
    <t xml:space="preserve">Resource ramp-up for regression cycle</t>
  </si>
  <si>
    <t xml:space="preserve">TSR-202609-003</t>
  </si>
  <si>
    <t xml:space="preserve">TSR-202609-004</t>
  </si>
  <si>
    <t xml:space="preserve">Additional environment test coverage</t>
  </si>
  <si>
    <t xml:space="preserve">TSR-202609-005</t>
  </si>
  <si>
    <t xml:space="preserve">TSR-202609-006</t>
  </si>
  <si>
    <t xml:space="preserve">TSR-202609-007</t>
  </si>
  <si>
    <t xml:space="preserve">TSR-202609-008</t>
  </si>
  <si>
    <t xml:space="preserve">Change request impact assessment</t>
  </si>
  <si>
    <t xml:space="preserve">TSR-202609-009</t>
  </si>
  <si>
    <t xml:space="preserve">TSR-202609-010</t>
  </si>
  <si>
    <t xml:space="preserve">TSR-202609-011</t>
  </si>
  <si>
    <t xml:space="preserve">TSR-202609-012</t>
  </si>
  <si>
    <t xml:space="preserve">TSR-202609-013</t>
  </si>
  <si>
    <t xml:space="preserve">Security test scope addition</t>
  </si>
  <si>
    <t xml:space="preserve">TSR-202609-014</t>
  </si>
  <si>
    <t xml:space="preserve">New scope testing for release increment</t>
  </si>
  <si>
    <t xml:space="preserve">TSR-202609-015</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</si>
</sst>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4.1</v>
      </c>
      <c r="H8" s="15" t="str">
        <f aca="false">IF(G8="","",IF(E8="Higher",IF(G8&gt;=F8,"Green",IF(G8&gt;=F8*0.9,"Amber","Red")),IF(G8&lt;=F8,"Green",IF(G8&lt;=F8*1.1,"Amber","Red"))))</f>
        <v>Green</v>
      </c>
      <c r="I8" s="16"/>
    </row>
    <row r="9" customFormat="false" ht="15" hidden="false" customHeight="false" outlineLevel="0" collapsed="false">
      <c r="B9" s="11" t="n">
        <v>2</v>
      </c>
      <c r="C9" s="12" t="s">
        <v>38</v>
      </c>
      <c r="D9" s="11" t="s">
        <v>36</v>
      </c>
      <c r="E9" s="13" t="s">
        <v>39</v>
      </c>
      <c r="F9" s="14" t="n">
        <v>70</v>
      </c>
      <c r="G9" s="14" t="n">
        <v>66.3</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82.9</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90.9</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90.7</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11</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5.2</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46287</v>
      </c>
      <c r="F6" s="20" t="n">
        <f aca="false">IF(E6="","",E6+5)</f>
        <v>46292</v>
      </c>
      <c r="G6" s="19" t="n">
        <v>46291</v>
      </c>
      <c r="H6" s="14" t="n">
        <v>5</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46290</v>
      </c>
      <c r="F7" s="20" t="n">
        <f aca="false">IF(E7="","",E7+5)</f>
        <v>46295</v>
      </c>
      <c r="G7" s="19" t="n">
        <v>46294</v>
      </c>
      <c r="H7" s="14" t="n">
        <v>9</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63</v>
      </c>
      <c r="E8" s="19" t="n">
        <v>46273</v>
      </c>
      <c r="F8" s="20" t="n">
        <f aca="false">IF(E8="","",E8+5)</f>
        <v>46278</v>
      </c>
      <c r="G8" s="19" t="n">
        <v>46277</v>
      </c>
      <c r="H8" s="14" t="n">
        <v>6</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66</v>
      </c>
      <c r="E9" s="19" t="n">
        <v>46287</v>
      </c>
      <c r="F9" s="20" t="n">
        <f aca="false">IF(E9="","",E9+5)</f>
        <v>46292</v>
      </c>
      <c r="G9" s="19" t="n">
        <v>46291</v>
      </c>
      <c r="H9" s="14" t="n">
        <v>5</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66</v>
      </c>
      <c r="E10" s="19" t="n">
        <v>46290</v>
      </c>
      <c r="F10" s="20" t="n">
        <f aca="false">IF(E10="","",E10+5)</f>
        <v>46295</v>
      </c>
      <c r="G10" s="19" t="n">
        <v>46295</v>
      </c>
      <c r="H10" s="14" t="n">
        <v>3</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63</v>
      </c>
      <c r="E11" s="19" t="n">
        <v>46292</v>
      </c>
      <c r="F11" s="20" t="n">
        <f aca="false">IF(E11="","",E11+5)</f>
        <v>46297</v>
      </c>
      <c r="G11" s="19" t="n">
        <v>46302</v>
      </c>
      <c r="H11" s="14" t="n">
        <v>5</v>
      </c>
      <c r="I11" s="21" t="str">
        <f aca="false">IF(E11="","",IF(G11="","Pending",IF(G11&lt;=F11,"SLA Met","SLA Overdue")))</f>
        <v>SLA Overdue</v>
      </c>
      <c r="J11" s="14"/>
      <c r="K11" s="11" t="str">
        <f aca="false">IF(I11="SLA Overdue","Yes","No")</f>
        <v>Yes</v>
      </c>
      <c r="L11" s="12"/>
    </row>
    <row r="12" customFormat="false" ht="15" hidden="false" customHeight="false" outlineLevel="0" collapsed="false">
      <c r="B12" s="11" t="n">
        <v>7</v>
      </c>
      <c r="C12" s="5" t="s">
        <v>69</v>
      </c>
      <c r="D12" s="5" t="s">
        <v>61</v>
      </c>
      <c r="E12" s="19" t="n">
        <v>46267</v>
      </c>
      <c r="F12" s="20" t="n">
        <f aca="false">IF(E12="","",E12+5)</f>
        <v>46272</v>
      </c>
      <c r="G12" s="19" t="n">
        <v>46270</v>
      </c>
      <c r="H12" s="14" t="n">
        <v>2</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70</v>
      </c>
      <c r="D13" s="5" t="s">
        <v>71</v>
      </c>
      <c r="E13" s="19" t="n">
        <v>46288</v>
      </c>
      <c r="F13" s="20" t="n">
        <f aca="false">IF(E13="","",E13+5)</f>
        <v>46293</v>
      </c>
      <c r="G13" s="19" t="n">
        <v>46289</v>
      </c>
      <c r="H13" s="14" t="n">
        <v>2</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72</v>
      </c>
      <c r="D14" s="5" t="s">
        <v>61</v>
      </c>
      <c r="E14" s="19" t="n">
        <v>46290</v>
      </c>
      <c r="F14" s="20" t="n">
        <f aca="false">IF(E14="","",E14+5)</f>
        <v>46295</v>
      </c>
      <c r="G14" s="19" t="n">
        <v>46299</v>
      </c>
      <c r="H14" s="14" t="n">
        <v>3</v>
      </c>
      <c r="I14" s="21" t="str">
        <f aca="false">IF(E14="","",IF(G14="","Pending",IF(G14&lt;=F14,"SLA Met","SLA Overdue")))</f>
        <v>SLA Overdue</v>
      </c>
      <c r="J14" s="14"/>
      <c r="K14" s="11" t="str">
        <f aca="false">IF(I14="SLA Overdue","Yes","No")</f>
        <v>Yes</v>
      </c>
      <c r="L14" s="12"/>
    </row>
    <row r="15" customFormat="false" ht="15" hidden="false" customHeight="false" outlineLevel="0" collapsed="false">
      <c r="B15" s="11" t="n">
        <v>10</v>
      </c>
      <c r="C15" s="5" t="s">
        <v>73</v>
      </c>
      <c r="D15" s="5" t="s">
        <v>66</v>
      </c>
      <c r="E15" s="19" t="n">
        <v>46292</v>
      </c>
      <c r="F15" s="20" t="n">
        <f aca="false">IF(E15="","",E15+5)</f>
        <v>46297</v>
      </c>
      <c r="G15" s="19" t="n">
        <v>46294</v>
      </c>
      <c r="H15" s="14" t="n">
        <v>6</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74</v>
      </c>
      <c r="D16" s="5" t="s">
        <v>61</v>
      </c>
      <c r="E16" s="19" t="n">
        <v>46266</v>
      </c>
      <c r="F16" s="20" t="n">
        <f aca="false">IF(E16="","",E16+5)</f>
        <v>46271</v>
      </c>
      <c r="G16" s="19" t="n">
        <v>46270</v>
      </c>
      <c r="H16" s="14" t="n">
        <v>6</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75</v>
      </c>
      <c r="D17" s="5" t="s">
        <v>71</v>
      </c>
      <c r="E17" s="19" t="n">
        <v>46273</v>
      </c>
      <c r="F17" s="20" t="n">
        <f aca="false">IF(E17="","",E17+5)</f>
        <v>46278</v>
      </c>
      <c r="G17" s="19" t="n">
        <v>46274</v>
      </c>
      <c r="H17" s="14" t="n">
        <v>4</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76</v>
      </c>
      <c r="D18" s="5" t="s">
        <v>77</v>
      </c>
      <c r="E18" s="19" t="n">
        <v>46266</v>
      </c>
      <c r="F18" s="20" t="n">
        <f aca="false">IF(E18="","",E18+5)</f>
        <v>46271</v>
      </c>
      <c r="G18" s="19" t="n">
        <v>46267</v>
      </c>
      <c r="H18" s="14" t="n">
        <v>11</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78</v>
      </c>
      <c r="D19" s="5" t="s">
        <v>79</v>
      </c>
      <c r="E19" s="19" t="n">
        <v>46276</v>
      </c>
      <c r="F19" s="20" t="n">
        <f aca="false">IF(E19="","",E19+5)</f>
        <v>46281</v>
      </c>
      <c r="G19" s="19" t="n">
        <v>46278</v>
      </c>
      <c r="H19" s="14" t="n">
        <v>5</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80</v>
      </c>
      <c r="D20" s="5" t="s">
        <v>77</v>
      </c>
      <c r="E20" s="19" t="n">
        <v>46292</v>
      </c>
      <c r="F20" s="20" t="n">
        <f aca="false">IF(E20="","",E20+5)</f>
        <v>46297</v>
      </c>
      <c r="G20" s="19" t="n">
        <v>46294</v>
      </c>
      <c r="H20" s="14" t="n">
        <v>8</v>
      </c>
      <c r="I20" s="21" t="str">
        <f aca="false">IF(E20="","",IF(G20="","Pending",IF(G20&lt;=F20,"SLA Met","SLA Overdue")))</f>
        <v>SLA Met</v>
      </c>
      <c r="J20" s="14"/>
      <c r="K20" s="11" t="str">
        <f aca="false">IF(I20="SLA Overdue","Yes","No")</f>
        <v>No</v>
      </c>
      <c r="L20" s="12"/>
    </row>
  </sheetData>
  <autoFilter ref="B5:L20"/>
  <mergeCells count="2">
    <mergeCell ref="B2:K2"/>
    <mergeCell ref="B3:K3"/>
  </mergeCells>
  <conditionalFormatting sqref="I6:I20">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0"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